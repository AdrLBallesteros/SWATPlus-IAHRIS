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Ex5.xml" ContentType="application/vnd.ms-office.chartex+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13.xml" ContentType="application/vnd.ms-office.chartstyle+xml"/>
  <Override PartName="/xl/charts/colors13.xml" ContentType="application/vnd.ms-office.chartcolorstyle+xml"/>
  <Override PartName="/xl/charts/chart9.xml" ContentType="application/vnd.openxmlformats-officedocument.drawingml.chart+xml"/>
  <Override PartName="/xl/charts/style14.xml" ContentType="application/vnd.ms-office.chartstyle+xml"/>
  <Override PartName="/xl/charts/colors14.xml" ContentType="application/vnd.ms-office.chartcolorstyle+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charts/chartEx6.xml" ContentType="application/vnd.ms-office.chartex+xml"/>
  <Override PartName="/xl/charts/style16.xml" ContentType="application/vnd.ms-office.chartstyle+xml"/>
  <Override PartName="/xl/charts/colors16.xml" ContentType="application/vnd.ms-office.chartcolorstyle+xml"/>
  <Override PartName="/xl/charts/chart11.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9.xml" ContentType="application/vnd.openxmlformats-officedocument.drawing+xml"/>
  <Override PartName="/xl/charts/chart12.xml" ContentType="application/vnd.openxmlformats-officedocument.drawingml.chart+xml"/>
  <Override PartName="/xl/charts/style18.xml" ContentType="application/vnd.ms-office.chartstyle+xml"/>
  <Override PartName="/xl/charts/colors18.xml" ContentType="application/vnd.ms-office.chartcolorstyle+xml"/>
  <Override PartName="/xl/charts/chart13.xml" ContentType="application/vnd.openxmlformats-officedocument.drawingml.chart+xml"/>
  <Override PartName="/xl/charts/style19.xml" ContentType="application/vnd.ms-office.chartstyle+xml"/>
  <Override PartName="/xl/charts/colors19.xml" ContentType="application/vnd.ms-office.chartcolorstyle+xml"/>
  <Override PartName="/xl/charts/chart14.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0.xml" ContentType="application/vnd.openxmlformats-officedocument.drawing+xml"/>
  <Override PartName="/xl/charts/chart15.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xml" ContentType="application/vnd.openxmlformats-officedocument.themeOverride+xml"/>
  <Override PartName="/xl/charts/chart16.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2.xml" ContentType="application/vnd.openxmlformats-officedocument.themeOverride+xml"/>
  <Override PartName="/xl/charts/chart17.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3.xml" ContentType="application/vnd.openxmlformats-officedocument.themeOverride+xml"/>
  <Override PartName="/xl/drawings/drawing11.xml" ContentType="application/vnd.openxmlformats-officedocument.drawing+xml"/>
  <Override PartName="/xl/charts/chart18.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4.xml" ContentType="application/vnd.openxmlformats-officedocument.themeOverride+xml"/>
  <Override PartName="/xl/charts/chart19.xml" ContentType="application/vnd.openxmlformats-officedocument.drawingml.chart+xml"/>
  <Override PartName="/xl/charts/style25.xml" ContentType="application/vnd.ms-office.chartstyle+xml"/>
  <Override PartName="/xl/charts/colors25.xml" ContentType="application/vnd.ms-office.chartcolorstyle+xml"/>
  <Override PartName="/xl/theme/themeOverride5.xml" ContentType="application/vnd.openxmlformats-officedocument.themeOverride+xml"/>
  <Override PartName="/xl/charts/chart20.xml" ContentType="application/vnd.openxmlformats-officedocument.drawingml.chart+xml"/>
  <Override PartName="/xl/charts/style26.xml" ContentType="application/vnd.ms-office.chartstyle+xml"/>
  <Override PartName="/xl/charts/colors26.xml" ContentType="application/vnd.ms-office.chartcolorstyle+xml"/>
  <Override PartName="/xl/theme/themeOverride6.xml" ContentType="application/vnd.openxmlformats-officedocument.themeOverride+xml"/>
  <Override PartName="/xl/charts/chart21.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2.xml" ContentType="application/vnd.openxmlformats-officedocument.drawing+xml"/>
  <Override PartName="/xl/charts/chart22.xml" ContentType="application/vnd.openxmlformats-officedocument.drawingml.chart+xml"/>
  <Override PartName="/xl/theme/themeOverride7.xml" ContentType="application/vnd.openxmlformats-officedocument.themeOverride+xml"/>
  <Override PartName="/xl/drawings/drawing13.xml" ContentType="application/vnd.openxmlformats-officedocument.drawing+xml"/>
  <Override PartName="/xl/charts/chart23.xml" ContentType="application/vnd.openxmlformats-officedocument.drawingml.chart+xml"/>
  <Override PartName="/xl/theme/themeOverride8.xml" ContentType="application/vnd.openxmlformats-officedocument.themeOverride+xml"/>
  <Override PartName="/xl/drawings/drawing14.xml" ContentType="application/vnd.openxmlformats-officedocument.drawing+xml"/>
  <Override PartName="/xl/charts/chart24.xml" ContentType="application/vnd.openxmlformats-officedocument.drawingml.chart+xml"/>
  <Override PartName="/xl/theme/themeOverride9.xml" ContentType="application/vnd.openxmlformats-officedocument.themeOverride+xml"/>
  <Override PartName="/xl/drawings/drawing15.xml" ContentType="application/vnd.openxmlformats-officedocument.drawing+xml"/>
  <Override PartName="/xl/charts/chart25.xml" ContentType="application/vnd.openxmlformats-officedocument.drawingml.chart+xml"/>
  <Override PartName="/xl/theme/themeOverride10.xml" ContentType="application/vnd.openxmlformats-officedocument.themeOverride+xml"/>
  <Override PartName="/xl/drawings/drawing16.xml" ContentType="application/vnd.openxmlformats-officedocument.drawing+xml"/>
  <Override PartName="/xl/charts/chart26.xml" ContentType="application/vnd.openxmlformats-officedocument.drawingml.chart+xml"/>
  <Override PartName="/xl/theme/themeOverride11.xml" ContentType="application/vnd.openxmlformats-officedocument.themeOverride+xml"/>
  <Override PartName="/xl/drawings/drawing17.xml" ContentType="application/vnd.openxmlformats-officedocument.drawing+xml"/>
  <Override PartName="/xl/charts/chart27.xml" ContentType="application/vnd.openxmlformats-officedocument.drawingml.chart+xml"/>
  <Override PartName="/xl/theme/themeOverride12.xml" ContentType="application/vnd.openxmlformats-officedocument.themeOverride+xml"/>
  <Override PartName="/xl/charts/chart28.xml" ContentType="application/vnd.openxmlformats-officedocument.drawingml.chart+xml"/>
  <Override PartName="/xl/theme/themeOverride13.xml" ContentType="application/vnd.openxmlformats-officedocument.themeOverride+xml"/>
  <Override PartName="/xl/charts/chart29.xml" ContentType="application/vnd.openxmlformats-officedocument.drawingml.chart+xml"/>
  <Override PartName="/xl/theme/themeOverride14.xml" ContentType="application/vnd.openxmlformats-officedocument.themeOverride+xml"/>
  <Override PartName="/xl/charts/chart30.xml" ContentType="application/vnd.openxmlformats-officedocument.drawingml.chart+xml"/>
  <Override PartName="/xl/theme/themeOverride15.xml" ContentType="application/vnd.openxmlformats-officedocument.themeOverride+xml"/>
  <Override PartName="/xl/charts/chart31.xml" ContentType="application/vnd.openxmlformats-officedocument.drawingml.chart+xml"/>
  <Override PartName="/xl/theme/themeOverride16.xml" ContentType="application/vnd.openxmlformats-officedocument.themeOverride+xml"/>
  <Override PartName="/xl/charts/chart32.xml" ContentType="application/vnd.openxmlformats-officedocument.drawingml.chart+xml"/>
  <Override PartName="/xl/theme/themeOverride17.xml" ContentType="application/vnd.openxmlformats-officedocument.themeOverride+xml"/>
  <Override PartName="/xl/charts/chart33.xml" ContentType="application/vnd.openxmlformats-officedocument.drawingml.chart+xml"/>
  <Override PartName="/xl/theme/themeOverride18.xml" ContentType="application/vnd.openxmlformats-officedocument.themeOverride+xml"/>
  <Override PartName="/xl/charts/chart34.xml" ContentType="application/vnd.openxmlformats-officedocument.drawingml.chart+xml"/>
  <Override PartName="/xl/theme/themeOverride19.xml" ContentType="application/vnd.openxmlformats-officedocument.themeOverride+xml"/>
  <Override PartName="/xl/charts/chart35.xml" ContentType="application/vnd.openxmlformats-officedocument.drawingml.chart+xml"/>
  <Override PartName="/xl/theme/themeOverride20.xml" ContentType="application/vnd.openxmlformats-officedocument.themeOverride+xml"/>
  <Override PartName="/xl/charts/chart36.xml" ContentType="application/vnd.openxmlformats-officedocument.drawingml.chart+xml"/>
  <Override PartName="/xl/theme/themeOverride21.xml" ContentType="application/vnd.openxmlformats-officedocument.themeOverride+xml"/>
  <Override PartName="/xl/charts/chart37.xml" ContentType="application/vnd.openxmlformats-officedocument.drawingml.chart+xml"/>
  <Override PartName="/xl/theme/themeOverride22.xml" ContentType="application/vnd.openxmlformats-officedocument.themeOverride+xml"/>
  <Override PartName="/xl/charts/chart38.xml" ContentType="application/vnd.openxmlformats-officedocument.drawingml.chart+xml"/>
  <Override PartName="/xl/theme/themeOverride23.xml" ContentType="application/vnd.openxmlformats-officedocument.themeOverride+xml"/>
  <Override PartName="/xl/drawings/drawing18.xml" ContentType="application/vnd.openxmlformats-officedocument.drawing+xml"/>
  <Override PartName="/xl/charts/chart39.xml" ContentType="application/vnd.openxmlformats-officedocument.drawingml.chart+xml"/>
  <Override PartName="/xl/charts/style28.xml" ContentType="application/vnd.ms-office.chartstyle+xml"/>
  <Override PartName="/xl/charts/colors28.xml" ContentType="application/vnd.ms-office.chartcolorstyle+xml"/>
  <Override PartName="/xl/charts/chart40.xml" ContentType="application/vnd.openxmlformats-officedocument.drawingml.chart+xml"/>
  <Override PartName="/xl/charts/chart41.xml" ContentType="application/vnd.openxmlformats-officedocument.drawingml.chart+xml"/>
  <Override PartName="/xl/drawings/drawing19.xml" ContentType="application/vnd.openxmlformats-officedocument.drawing+xml"/>
  <Override PartName="/xl/charts/chart42.xml" ContentType="application/vnd.openxmlformats-officedocument.drawingml.chart+xml"/>
  <Override PartName="/xl/charts/style29.xml" ContentType="application/vnd.ms-office.chartstyle+xml"/>
  <Override PartName="/xl/charts/colors29.xml" ContentType="application/vnd.ms-office.chartcolorstyle+xml"/>
  <Override PartName="/xl/charts/chart43.xml" ContentType="application/vnd.openxmlformats-officedocument.drawingml.chart+xml"/>
  <Override PartName="/xl/charts/style30.xml" ContentType="application/vnd.ms-office.chartstyle+xml"/>
  <Override PartName="/xl/charts/colors30.xml" ContentType="application/vnd.ms-office.chartcolorstyle+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defaultThemeVersion="124226"/>
  <xr:revisionPtr revIDLastSave="0" documentId="13_ncr:1_{43761687-67BB-4254-9655-8F20AA05520F}" xr6:coauthVersionLast="47" xr6:coauthVersionMax="47" xr10:uidLastSave="{00000000-0000-0000-0000-000000000000}"/>
  <bookViews>
    <workbookView xWindow="3040" yWindow="3040" windowWidth="19200" windowHeight="11170" tabRatio="912" xr2:uid="{00000000-000D-0000-FFFF-FFFF00000000}"/>
  </bookViews>
  <sheets>
    <sheet name="REPORTS" sheetId="10" r:id="rId1"/>
    <sheet name="Informe nº1" sheetId="75" r:id="rId2"/>
    <sheet name="Informe nº1a" sheetId="76" r:id="rId3"/>
    <sheet name="Informe nº 1b" sheetId="77" r:id="rId4"/>
    <sheet name="Informe nº 2" sheetId="34" r:id="rId5"/>
    <sheet name="Informe nº2a" sheetId="35" r:id="rId6"/>
    <sheet name="Informe nº3" sheetId="36" r:id="rId7"/>
    <sheet name="Informe nº3a" sheetId="37" r:id="rId8"/>
    <sheet name="Informe nº 3b" sheetId="47" r:id="rId9"/>
    <sheet name="Informe nº3c" sheetId="80" r:id="rId10"/>
    <sheet name="Informe nº4" sheetId="53" r:id="rId11"/>
    <sheet name="Informe nº5" sheetId="51" r:id="rId12"/>
    <sheet name="Informe nº 6" sheetId="60" r:id="rId13"/>
    <sheet name="Informe nº 6a" sheetId="59" r:id="rId14"/>
    <sheet name="Informe nº6b" sheetId="58" r:id="rId15"/>
    <sheet name="Informe nº6c" sheetId="57" r:id="rId16"/>
    <sheet name="Informe nº6d" sheetId="56" r:id="rId17"/>
    <sheet name="Informe nº6e" sheetId="55" r:id="rId18"/>
    <sheet name="Informe nº 7c" sheetId="19" r:id="rId19"/>
    <sheet name="Informe nº 7d" sheetId="20" r:id="rId20"/>
    <sheet name="Informe nº 8" sheetId="25" r:id="rId21"/>
    <sheet name="Informe nº8b" sheetId="27" r:id="rId22"/>
    <sheet name="Informe nº 10c" sheetId="66" r:id="rId23"/>
  </sheets>
  <definedNames>
    <definedName name="_xlchart.v1.0" hidden="1">'Informe nº1'!$C$14:$C$614</definedName>
    <definedName name="_xlchart.v1.1" hidden="1">'Informe nº1'!$G$33</definedName>
    <definedName name="_xlchart.v1.10" hidden="1">'Informe nº3'!$O$14:$O$612</definedName>
    <definedName name="_xlchart.v1.11" hidden="1">'Informe nº3'!$S$46</definedName>
    <definedName name="_xlchart.v1.12" hidden="1">'Informe nº 2'!$O$15:$O$612</definedName>
    <definedName name="_xlchart.v1.13" hidden="1">'Informe nº 3b'!$L$2</definedName>
    <definedName name="_xlchart.v1.14" hidden="1">'Informe nº 3b'!$M$2</definedName>
    <definedName name="_xlchart.v1.15" hidden="1">'Informe nº3'!$O$15:$O$612</definedName>
    <definedName name="_xlchart.v1.2" hidden="1">'Informe nº1a'!$C$14:$C$614</definedName>
    <definedName name="_xlchart.v1.3" hidden="1">'Informe nº1a'!$G$33</definedName>
    <definedName name="_xlchart.v1.4" hidden="1">'Informe nº 1b'!$C$14:$C$614</definedName>
    <definedName name="_xlchart.v1.5" hidden="1">'Informe nº 1b'!$D$14:$D$614</definedName>
    <definedName name="_xlchart.v1.6" hidden="1">'Informe nº 1b'!$P$14</definedName>
    <definedName name="_xlchart.v1.7" hidden="1">'Informe nº 1b'!$Q$14</definedName>
    <definedName name="_xlchart.v1.8" hidden="1">'Informe nº 2'!$O$14:$O$612</definedName>
    <definedName name="_xlchart.v1.9" hidden="1">'Informe nº 2'!$R$46</definedName>
    <definedName name="_xlnm.Print_Area" localSheetId="4">'Informe nº 2'!$A$1:$AE$37</definedName>
    <definedName name="_xlnm.Print_Area" localSheetId="18">'Informe nº 7c'!$A$1:$S$46</definedName>
    <definedName name="_xlnm.Print_Area" localSheetId="19">'Informe nº 7d'!$A$1:$V$52</definedName>
    <definedName name="_xlnm.Print_Area" localSheetId="20">'Informe nº 8'!$B$1:$J$52</definedName>
    <definedName name="_xlnm.Print_Area" localSheetId="5">'Informe nº2a'!$B$2:$H$64</definedName>
    <definedName name="_xlnm.Print_Area" localSheetId="6">'Informe nº3'!$A$1:$AF$37</definedName>
    <definedName name="_xlnm.Print_Area" localSheetId="7">'Informe nº3a'!$B$2:$H$64</definedName>
    <definedName name="_xlnm.Print_Area" localSheetId="21">'Informe nº8b'!$A$1:$I$42</definedName>
    <definedName name="_xlnm.Print_Titles" localSheetId="0">REPORTS!$1:$33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2" i="66" l="1"/>
  <c r="M92" i="66" s="1"/>
  <c r="K91" i="66"/>
  <c r="M91" i="66" s="1"/>
  <c r="K88" i="66"/>
  <c r="M88" i="66" s="1"/>
  <c r="K87" i="66"/>
  <c r="M87" i="66" s="1"/>
  <c r="K86" i="66"/>
  <c r="M86" i="66" s="1"/>
  <c r="K85" i="66"/>
  <c r="M85" i="66" s="1"/>
  <c r="K84" i="66"/>
  <c r="M84" i="66" s="1"/>
  <c r="K83" i="66"/>
  <c r="M83" i="66" s="1"/>
  <c r="M82" i="66"/>
  <c r="L82" i="66"/>
  <c r="K82" i="66"/>
  <c r="K81" i="66"/>
  <c r="M81" i="66" s="1"/>
  <c r="M80" i="66"/>
  <c r="L80" i="66"/>
  <c r="K80" i="66"/>
  <c r="K72" i="66"/>
  <c r="M72" i="66" s="1"/>
  <c r="L71" i="66"/>
  <c r="K71" i="66"/>
  <c r="M71" i="66" s="1"/>
  <c r="M68" i="66"/>
  <c r="L68" i="66"/>
  <c r="K68" i="66"/>
  <c r="L67" i="66"/>
  <c r="K67" i="66"/>
  <c r="M67" i="66" s="1"/>
  <c r="M66" i="66"/>
  <c r="L66" i="66"/>
  <c r="K66" i="66"/>
  <c r="L65" i="66"/>
  <c r="K65" i="66"/>
  <c r="M65" i="66" s="1"/>
  <c r="M64" i="66"/>
  <c r="K64" i="66"/>
  <c r="L64" i="66" s="1"/>
  <c r="L63" i="66"/>
  <c r="K63" i="66"/>
  <c r="M63" i="66" s="1"/>
  <c r="K62" i="66"/>
  <c r="M62" i="66" s="1"/>
  <c r="M61" i="66"/>
  <c r="K61" i="66"/>
  <c r="L61" i="66" s="1"/>
  <c r="M51" i="66"/>
  <c r="L51" i="66"/>
  <c r="K51" i="66"/>
  <c r="L50" i="66"/>
  <c r="K50" i="66"/>
  <c r="K49" i="66"/>
  <c r="L49" i="66" s="1"/>
  <c r="M48" i="66"/>
  <c r="L48" i="66"/>
  <c r="K48" i="66"/>
  <c r="K47" i="66"/>
  <c r="M47" i="66" s="1"/>
  <c r="L46" i="66"/>
  <c r="K46" i="66"/>
  <c r="M46" i="66" s="1"/>
  <c r="M45" i="66"/>
  <c r="L45" i="66"/>
  <c r="K45" i="66"/>
  <c r="L43" i="66"/>
  <c r="K43" i="66"/>
  <c r="M43" i="66" s="1"/>
  <c r="M35" i="66"/>
  <c r="L35" i="66"/>
  <c r="K35" i="66"/>
  <c r="L34" i="66"/>
  <c r="K34" i="66"/>
  <c r="M34" i="66" s="1"/>
  <c r="M33" i="66"/>
  <c r="K33" i="66"/>
  <c r="L33" i="66" s="1"/>
  <c r="L32" i="66"/>
  <c r="K32" i="66"/>
  <c r="M32" i="66" s="1"/>
  <c r="K31" i="66"/>
  <c r="M31" i="66" s="1"/>
  <c r="M30" i="66"/>
  <c r="K30" i="66"/>
  <c r="L30" i="66" s="1"/>
  <c r="M29" i="66"/>
  <c r="L29" i="66"/>
  <c r="K29" i="66"/>
  <c r="M28" i="66"/>
  <c r="L28" i="66"/>
  <c r="K28" i="66"/>
  <c r="M27" i="66"/>
  <c r="L27" i="66"/>
  <c r="K27" i="66"/>
  <c r="M19" i="66"/>
  <c r="L19" i="66"/>
  <c r="K19" i="66"/>
  <c r="M18" i="66"/>
  <c r="K18" i="66"/>
  <c r="L18" i="66" s="1"/>
  <c r="L17" i="66"/>
  <c r="K17" i="66"/>
  <c r="M17" i="66" s="1"/>
  <c r="O46" i="27"/>
  <c r="O45" i="27"/>
  <c r="O39" i="27"/>
  <c r="O36" i="27"/>
  <c r="O34" i="27"/>
  <c r="D23" i="27"/>
  <c r="O41" i="27" s="1"/>
  <c r="U22" i="27"/>
  <c r="V22" i="27" s="1"/>
  <c r="Q22" i="27"/>
  <c r="P22" i="27"/>
  <c r="R22" i="27" s="1"/>
  <c r="O22" i="27"/>
  <c r="D22" i="27"/>
  <c r="F22" i="27" s="1"/>
  <c r="U21" i="27"/>
  <c r="V21" i="27" s="1"/>
  <c r="R21" i="27"/>
  <c r="P21" i="27"/>
  <c r="O21" i="27"/>
  <c r="Q21" i="27" s="1"/>
  <c r="V20" i="27"/>
  <c r="U20" i="27"/>
  <c r="P20" i="27"/>
  <c r="R20" i="27" s="1"/>
  <c r="O20" i="27"/>
  <c r="Q20" i="27" s="1"/>
  <c r="D20" i="27"/>
  <c r="O40" i="27" s="1"/>
  <c r="O42" i="27" s="1"/>
  <c r="P42" i="27" s="1"/>
  <c r="V19" i="27"/>
  <c r="U19" i="27"/>
  <c r="P19" i="27"/>
  <c r="R19" i="27" s="1"/>
  <c r="O19" i="27"/>
  <c r="Q19" i="27" s="1"/>
  <c r="F19" i="27"/>
  <c r="D19" i="27"/>
  <c r="U18" i="27"/>
  <c r="V18" i="27" s="1"/>
  <c r="Q18" i="27"/>
  <c r="P18" i="27"/>
  <c r="R18" i="27" s="1"/>
  <c r="O18" i="27"/>
  <c r="D18" i="27"/>
  <c r="O35" i="27" s="1"/>
  <c r="U17" i="27"/>
  <c r="V17" i="27" s="1"/>
  <c r="Q17" i="27"/>
  <c r="P17" i="27"/>
  <c r="R17" i="27" s="1"/>
  <c r="O17" i="27"/>
  <c r="D17" i="27"/>
  <c r="F17" i="27" s="1"/>
  <c r="U16" i="27"/>
  <c r="V16" i="27" s="1"/>
  <c r="R16" i="27"/>
  <c r="P16" i="27"/>
  <c r="O16" i="27"/>
  <c r="Q16" i="27" s="1"/>
  <c r="D16" i="27"/>
  <c r="O43" i="27" s="1"/>
  <c r="V15" i="27"/>
  <c r="U15" i="27"/>
  <c r="P15" i="27"/>
  <c r="R15" i="27" s="1"/>
  <c r="O15" i="27"/>
  <c r="Q15" i="27" s="1"/>
  <c r="D15" i="27"/>
  <c r="F15" i="27" s="1"/>
  <c r="V14" i="27"/>
  <c r="U14" i="27"/>
  <c r="P14" i="27"/>
  <c r="R14" i="27" s="1"/>
  <c r="O14" i="27"/>
  <c r="Q14" i="27" s="1"/>
  <c r="U13" i="27"/>
  <c r="V13" i="27" s="1"/>
  <c r="Q13" i="27"/>
  <c r="P13" i="27"/>
  <c r="R13" i="27" s="1"/>
  <c r="O13" i="27"/>
  <c r="D13" i="27"/>
  <c r="O33" i="27" s="1"/>
  <c r="U12" i="27"/>
  <c r="V12" i="27" s="1"/>
  <c r="Q12" i="27"/>
  <c r="P12" i="27"/>
  <c r="R12" i="27" s="1"/>
  <c r="O12" i="27"/>
  <c r="U11" i="27"/>
  <c r="V11" i="27" s="1"/>
  <c r="V23" i="27" s="1"/>
  <c r="R11" i="27"/>
  <c r="Q11" i="27"/>
  <c r="P11" i="27"/>
  <c r="O11" i="27"/>
  <c r="P10" i="27"/>
  <c r="R10" i="27" s="1"/>
  <c r="O10" i="27"/>
  <c r="Q10" i="27" s="1"/>
  <c r="C2" i="27"/>
  <c r="C37" i="25"/>
  <c r="B37" i="25"/>
  <c r="H34" i="25"/>
  <c r="F34" i="25"/>
  <c r="E34" i="25"/>
  <c r="G34" i="25" s="1"/>
  <c r="I34" i="25" s="1"/>
  <c r="J34" i="25" s="1"/>
  <c r="D34" i="25"/>
  <c r="C34" i="25"/>
  <c r="F30" i="25"/>
  <c r="C30" i="25"/>
  <c r="H27" i="25"/>
  <c r="H26" i="25"/>
  <c r="D26" i="25"/>
  <c r="H25" i="25"/>
  <c r="H24" i="25"/>
  <c r="H23" i="25"/>
  <c r="H22" i="25"/>
  <c r="H21" i="25"/>
  <c r="H20" i="25"/>
  <c r="H19" i="25"/>
  <c r="H18" i="25"/>
  <c r="H17" i="25"/>
  <c r="H16" i="25"/>
  <c r="H28" i="25" s="1"/>
  <c r="D16" i="25"/>
  <c r="F12" i="25"/>
  <c r="C12" i="25"/>
  <c r="D2" i="25"/>
  <c r="N48" i="20"/>
  <c r="W35" i="20"/>
  <c r="V35" i="20"/>
  <c r="D2" i="20"/>
  <c r="O16" i="19"/>
  <c r="N16" i="19"/>
  <c r="D2" i="19"/>
  <c r="AT36" i="55"/>
  <c r="V36" i="55"/>
  <c r="U36" i="55"/>
  <c r="R36" i="55"/>
  <c r="M36" i="55"/>
  <c r="F36" i="55"/>
  <c r="E36" i="55"/>
  <c r="AD35" i="55"/>
  <c r="AC35" i="55"/>
  <c r="U35" i="55"/>
  <c r="N35" i="55"/>
  <c r="AL34" i="55"/>
  <c r="AK34" i="55"/>
  <c r="AH34" i="55"/>
  <c r="V34" i="55"/>
  <c r="U34" i="55"/>
  <c r="AT33" i="55"/>
  <c r="AS33" i="55"/>
  <c r="AK33" i="55"/>
  <c r="AD33" i="55"/>
  <c r="F33" i="55"/>
  <c r="E33" i="55"/>
  <c r="AX32" i="55"/>
  <c r="AL32" i="55"/>
  <c r="AK32" i="55"/>
  <c r="N32" i="55"/>
  <c r="M32" i="55"/>
  <c r="E32" i="55"/>
  <c r="AT31" i="55"/>
  <c r="V31" i="55"/>
  <c r="U31" i="55"/>
  <c r="R31" i="55"/>
  <c r="F31" i="55"/>
  <c r="E31" i="55"/>
  <c r="AD30" i="55"/>
  <c r="AC30" i="55"/>
  <c r="U30" i="55"/>
  <c r="N30" i="55"/>
  <c r="AL29" i="55"/>
  <c r="AK29" i="55"/>
  <c r="AH29" i="55"/>
  <c r="V29" i="55"/>
  <c r="U29" i="55"/>
  <c r="AT28" i="55"/>
  <c r="AS28" i="55"/>
  <c r="AK28" i="55"/>
  <c r="AD28" i="55"/>
  <c r="F28" i="55"/>
  <c r="E28" i="55"/>
  <c r="AX27" i="55"/>
  <c r="AL27" i="55"/>
  <c r="AK27" i="55"/>
  <c r="N27" i="55"/>
  <c r="M27" i="55"/>
  <c r="E27" i="55"/>
  <c r="AT26" i="55"/>
  <c r="V26" i="55"/>
  <c r="U26" i="55"/>
  <c r="R26" i="55"/>
  <c r="F26" i="55"/>
  <c r="E26" i="55"/>
  <c r="AD25" i="55"/>
  <c r="AC25" i="55"/>
  <c r="U25" i="55"/>
  <c r="N25" i="55"/>
  <c r="AL24" i="55"/>
  <c r="AK24" i="55"/>
  <c r="AH24" i="55"/>
  <c r="V24" i="55"/>
  <c r="U24" i="55"/>
  <c r="AT23" i="55"/>
  <c r="AS23" i="55"/>
  <c r="AK23" i="55"/>
  <c r="AD23" i="55"/>
  <c r="F23" i="55"/>
  <c r="E23" i="55"/>
  <c r="AX22" i="55"/>
  <c r="AL22" i="55"/>
  <c r="AK22" i="55"/>
  <c r="N22" i="55"/>
  <c r="M22" i="55"/>
  <c r="E22" i="55"/>
  <c r="AT21" i="55"/>
  <c r="V21" i="55"/>
  <c r="U21" i="55"/>
  <c r="R21" i="55"/>
  <c r="F21" i="55"/>
  <c r="E21" i="55"/>
  <c r="AD20" i="55"/>
  <c r="AC20" i="55"/>
  <c r="U20" i="55"/>
  <c r="N20" i="55"/>
  <c r="AL19" i="55"/>
  <c r="AK19" i="55"/>
  <c r="AH19" i="55"/>
  <c r="AC19" i="55"/>
  <c r="V19" i="55"/>
  <c r="U19" i="55"/>
  <c r="AT18" i="55"/>
  <c r="AS18" i="55"/>
  <c r="AK18" i="55"/>
  <c r="AD18" i="55"/>
  <c r="F18" i="55"/>
  <c r="AX17" i="55"/>
  <c r="AW17" i="55"/>
  <c r="AT17" i="55"/>
  <c r="AS17" i="55"/>
  <c r="AP17" i="55"/>
  <c r="AO17" i="55"/>
  <c r="AL17" i="55"/>
  <c r="AK17" i="55"/>
  <c r="AH17" i="55"/>
  <c r="AG17" i="55"/>
  <c r="AD17" i="55"/>
  <c r="AC17" i="55"/>
  <c r="Z17" i="55"/>
  <c r="Y17" i="55"/>
  <c r="V17" i="55"/>
  <c r="U17" i="55"/>
  <c r="R17" i="55"/>
  <c r="Q17" i="55"/>
  <c r="N17" i="55"/>
  <c r="M17" i="55"/>
  <c r="J17" i="55"/>
  <c r="I17" i="55"/>
  <c r="F17" i="55"/>
  <c r="E17" i="55"/>
  <c r="D2" i="55"/>
  <c r="E42" i="56"/>
  <c r="D14" i="56" s="1"/>
  <c r="P36" i="56"/>
  <c r="AX36" i="55" s="1"/>
  <c r="O36" i="56"/>
  <c r="N36" i="56"/>
  <c r="AP36" i="55" s="1"/>
  <c r="M36" i="56"/>
  <c r="AL36" i="55" s="1"/>
  <c r="L36" i="56"/>
  <c r="AH36" i="55" s="1"/>
  <c r="K36" i="56"/>
  <c r="AD36" i="55" s="1"/>
  <c r="J36" i="56"/>
  <c r="Z36" i="55" s="1"/>
  <c r="I36" i="56"/>
  <c r="H36" i="56"/>
  <c r="G36" i="56"/>
  <c r="N36" i="55" s="1"/>
  <c r="F36" i="56"/>
  <c r="J36" i="55" s="1"/>
  <c r="E36" i="56"/>
  <c r="P35" i="56"/>
  <c r="AX35" i="55" s="1"/>
  <c r="O35" i="56"/>
  <c r="AT35" i="55" s="1"/>
  <c r="N35" i="56"/>
  <c r="AP35" i="55" s="1"/>
  <c r="M35" i="56"/>
  <c r="AL35" i="55" s="1"/>
  <c r="L35" i="56"/>
  <c r="AH35" i="55" s="1"/>
  <c r="K35" i="56"/>
  <c r="J35" i="56"/>
  <c r="Z35" i="55" s="1"/>
  <c r="I35" i="56"/>
  <c r="V35" i="55" s="1"/>
  <c r="H35" i="56"/>
  <c r="R35" i="55" s="1"/>
  <c r="G35" i="56"/>
  <c r="F35" i="56"/>
  <c r="J35" i="55" s="1"/>
  <c r="E35" i="56"/>
  <c r="F35" i="55" s="1"/>
  <c r="P34" i="56"/>
  <c r="AX34" i="55" s="1"/>
  <c r="O34" i="56"/>
  <c r="AT34" i="55" s="1"/>
  <c r="N34" i="56"/>
  <c r="AP34" i="55" s="1"/>
  <c r="M34" i="56"/>
  <c r="L34" i="56"/>
  <c r="K34" i="56"/>
  <c r="AD34" i="55" s="1"/>
  <c r="J34" i="56"/>
  <c r="Z34" i="55" s="1"/>
  <c r="I34" i="56"/>
  <c r="H34" i="56"/>
  <c r="R34" i="55" s="1"/>
  <c r="G34" i="56"/>
  <c r="N34" i="55" s="1"/>
  <c r="F34" i="56"/>
  <c r="J34" i="55" s="1"/>
  <c r="E34" i="56"/>
  <c r="F34" i="55" s="1"/>
  <c r="P33" i="56"/>
  <c r="AX33" i="55" s="1"/>
  <c r="O33" i="56"/>
  <c r="N33" i="56"/>
  <c r="AP33" i="55" s="1"/>
  <c r="M33" i="56"/>
  <c r="AL33" i="55" s="1"/>
  <c r="L33" i="56"/>
  <c r="AH33" i="55" s="1"/>
  <c r="K33" i="56"/>
  <c r="J33" i="56"/>
  <c r="Z33" i="55" s="1"/>
  <c r="I33" i="56"/>
  <c r="V33" i="55" s="1"/>
  <c r="H33" i="56"/>
  <c r="R33" i="55" s="1"/>
  <c r="G33" i="56"/>
  <c r="N33" i="55" s="1"/>
  <c r="F33" i="56"/>
  <c r="J33" i="55" s="1"/>
  <c r="E33" i="56"/>
  <c r="P32" i="56"/>
  <c r="O32" i="56"/>
  <c r="AT32" i="55" s="1"/>
  <c r="N32" i="56"/>
  <c r="AP32" i="55" s="1"/>
  <c r="M32" i="56"/>
  <c r="L32" i="56"/>
  <c r="AH32" i="55" s="1"/>
  <c r="K32" i="56"/>
  <c r="AD32" i="55" s="1"/>
  <c r="J32" i="56"/>
  <c r="Z32" i="55" s="1"/>
  <c r="I32" i="56"/>
  <c r="V32" i="55" s="1"/>
  <c r="H32" i="56"/>
  <c r="R32" i="55" s="1"/>
  <c r="G32" i="56"/>
  <c r="F32" i="56"/>
  <c r="J32" i="55" s="1"/>
  <c r="E32" i="56"/>
  <c r="F32" i="55" s="1"/>
  <c r="P31" i="56"/>
  <c r="AX31" i="55" s="1"/>
  <c r="O31" i="56"/>
  <c r="N31" i="56"/>
  <c r="AP31" i="55" s="1"/>
  <c r="M31" i="56"/>
  <c r="AL31" i="55" s="1"/>
  <c r="L31" i="56"/>
  <c r="AH31" i="55" s="1"/>
  <c r="K31" i="56"/>
  <c r="AD31" i="55" s="1"/>
  <c r="J31" i="56"/>
  <c r="Z31" i="55" s="1"/>
  <c r="I31" i="56"/>
  <c r="H31" i="56"/>
  <c r="G31" i="56"/>
  <c r="N31" i="55" s="1"/>
  <c r="F31" i="56"/>
  <c r="J31" i="55" s="1"/>
  <c r="E31" i="56"/>
  <c r="P30" i="56"/>
  <c r="AX30" i="55" s="1"/>
  <c r="O30" i="56"/>
  <c r="AT30" i="55" s="1"/>
  <c r="N30" i="56"/>
  <c r="AP30" i="55" s="1"/>
  <c r="M30" i="56"/>
  <c r="AL30" i="55" s="1"/>
  <c r="L30" i="56"/>
  <c r="AH30" i="55" s="1"/>
  <c r="K30" i="56"/>
  <c r="J30" i="56"/>
  <c r="Z30" i="55" s="1"/>
  <c r="I30" i="56"/>
  <c r="V30" i="55" s="1"/>
  <c r="H30" i="56"/>
  <c r="R30" i="55" s="1"/>
  <c r="G30" i="56"/>
  <c r="F30" i="56"/>
  <c r="J30" i="55" s="1"/>
  <c r="E30" i="56"/>
  <c r="F30" i="55" s="1"/>
  <c r="P29" i="56"/>
  <c r="AX29" i="55" s="1"/>
  <c r="O29" i="56"/>
  <c r="AT29" i="55" s="1"/>
  <c r="N29" i="56"/>
  <c r="AP29" i="55" s="1"/>
  <c r="M29" i="56"/>
  <c r="L29" i="56"/>
  <c r="K29" i="56"/>
  <c r="AD29" i="55" s="1"/>
  <c r="J29" i="56"/>
  <c r="Z29" i="55" s="1"/>
  <c r="I29" i="56"/>
  <c r="H29" i="56"/>
  <c r="R29" i="55" s="1"/>
  <c r="G29" i="56"/>
  <c r="N29" i="55" s="1"/>
  <c r="F29" i="56"/>
  <c r="J29" i="55" s="1"/>
  <c r="E29" i="56"/>
  <c r="F29" i="55" s="1"/>
  <c r="P28" i="56"/>
  <c r="AX28" i="55" s="1"/>
  <c r="O28" i="56"/>
  <c r="N28" i="56"/>
  <c r="AP28" i="55" s="1"/>
  <c r="M28" i="56"/>
  <c r="AL28" i="55" s="1"/>
  <c r="L28" i="56"/>
  <c r="AH28" i="55" s="1"/>
  <c r="K28" i="56"/>
  <c r="J28" i="56"/>
  <c r="Z28" i="55" s="1"/>
  <c r="I28" i="56"/>
  <c r="V28" i="55" s="1"/>
  <c r="H28" i="56"/>
  <c r="R28" i="55" s="1"/>
  <c r="G28" i="56"/>
  <c r="N28" i="55" s="1"/>
  <c r="F28" i="56"/>
  <c r="J28" i="55" s="1"/>
  <c r="E28" i="56"/>
  <c r="P27" i="56"/>
  <c r="O27" i="56"/>
  <c r="AT27" i="55" s="1"/>
  <c r="N27" i="56"/>
  <c r="AP27" i="55" s="1"/>
  <c r="M27" i="56"/>
  <c r="L27" i="56"/>
  <c r="AH27" i="55" s="1"/>
  <c r="K27" i="56"/>
  <c r="AD27" i="55" s="1"/>
  <c r="J27" i="56"/>
  <c r="Z27" i="55" s="1"/>
  <c r="I27" i="56"/>
  <c r="V27" i="55" s="1"/>
  <c r="H27" i="56"/>
  <c r="R27" i="55" s="1"/>
  <c r="G27" i="56"/>
  <c r="F27" i="56"/>
  <c r="J27" i="55" s="1"/>
  <c r="E27" i="56"/>
  <c r="F27" i="55" s="1"/>
  <c r="P26" i="56"/>
  <c r="AX26" i="55" s="1"/>
  <c r="O26" i="56"/>
  <c r="N26" i="56"/>
  <c r="AP26" i="55" s="1"/>
  <c r="M26" i="56"/>
  <c r="AL26" i="55" s="1"/>
  <c r="L26" i="56"/>
  <c r="AH26" i="55" s="1"/>
  <c r="K26" i="56"/>
  <c r="AD26" i="55" s="1"/>
  <c r="J26" i="56"/>
  <c r="Z26" i="55" s="1"/>
  <c r="I26" i="56"/>
  <c r="H26" i="56"/>
  <c r="G26" i="56"/>
  <c r="N26" i="55" s="1"/>
  <c r="F26" i="56"/>
  <c r="J26" i="55" s="1"/>
  <c r="E26" i="56"/>
  <c r="P25" i="56"/>
  <c r="AX25" i="55" s="1"/>
  <c r="O25" i="56"/>
  <c r="AT25" i="55" s="1"/>
  <c r="N25" i="56"/>
  <c r="AP25" i="55" s="1"/>
  <c r="M25" i="56"/>
  <c r="AL25" i="55" s="1"/>
  <c r="L25" i="56"/>
  <c r="AH25" i="55" s="1"/>
  <c r="K25" i="56"/>
  <c r="J25" i="56"/>
  <c r="Z25" i="55" s="1"/>
  <c r="I25" i="56"/>
  <c r="V25" i="55" s="1"/>
  <c r="H25" i="56"/>
  <c r="R25" i="55" s="1"/>
  <c r="G25" i="56"/>
  <c r="F25" i="56"/>
  <c r="J25" i="55" s="1"/>
  <c r="E25" i="56"/>
  <c r="F25" i="55" s="1"/>
  <c r="P24" i="56"/>
  <c r="AX24" i="55" s="1"/>
  <c r="O24" i="56"/>
  <c r="AT24" i="55" s="1"/>
  <c r="N24" i="56"/>
  <c r="AP24" i="55" s="1"/>
  <c r="M24" i="56"/>
  <c r="L24" i="56"/>
  <c r="K24" i="56"/>
  <c r="AD24" i="55" s="1"/>
  <c r="J24" i="56"/>
  <c r="Z24" i="55" s="1"/>
  <c r="I24" i="56"/>
  <c r="H24" i="56"/>
  <c r="R24" i="55" s="1"/>
  <c r="G24" i="56"/>
  <c r="N24" i="55" s="1"/>
  <c r="F24" i="56"/>
  <c r="J24" i="55" s="1"/>
  <c r="E24" i="56"/>
  <c r="F24" i="55" s="1"/>
  <c r="P23" i="56"/>
  <c r="AX23" i="55" s="1"/>
  <c r="O23" i="56"/>
  <c r="N23" i="56"/>
  <c r="AP23" i="55" s="1"/>
  <c r="M23" i="56"/>
  <c r="AL23" i="55" s="1"/>
  <c r="L23" i="56"/>
  <c r="AH23" i="55" s="1"/>
  <c r="K23" i="56"/>
  <c r="J23" i="56"/>
  <c r="Z23" i="55" s="1"/>
  <c r="I23" i="56"/>
  <c r="V23" i="55" s="1"/>
  <c r="H23" i="56"/>
  <c r="R23" i="55" s="1"/>
  <c r="G23" i="56"/>
  <c r="N23" i="55" s="1"/>
  <c r="F23" i="56"/>
  <c r="J23" i="55" s="1"/>
  <c r="E23" i="56"/>
  <c r="P22" i="56"/>
  <c r="O22" i="56"/>
  <c r="AT22" i="55" s="1"/>
  <c r="N22" i="56"/>
  <c r="AP22" i="55" s="1"/>
  <c r="M22" i="56"/>
  <c r="L22" i="56"/>
  <c r="AH22" i="55" s="1"/>
  <c r="K22" i="56"/>
  <c r="AD22" i="55" s="1"/>
  <c r="J22" i="56"/>
  <c r="Z22" i="55" s="1"/>
  <c r="I22" i="56"/>
  <c r="V22" i="55" s="1"/>
  <c r="H22" i="56"/>
  <c r="R22" i="55" s="1"/>
  <c r="G22" i="56"/>
  <c r="F22" i="56"/>
  <c r="J22" i="55" s="1"/>
  <c r="E22" i="56"/>
  <c r="F22" i="55" s="1"/>
  <c r="P21" i="56"/>
  <c r="AX21" i="55" s="1"/>
  <c r="O21" i="56"/>
  <c r="N21" i="56"/>
  <c r="AP21" i="55" s="1"/>
  <c r="M21" i="56"/>
  <c r="AL21" i="55" s="1"/>
  <c r="L21" i="56"/>
  <c r="AH21" i="55" s="1"/>
  <c r="K21" i="56"/>
  <c r="AD21" i="55" s="1"/>
  <c r="J21" i="56"/>
  <c r="Z21" i="55" s="1"/>
  <c r="I21" i="56"/>
  <c r="H21" i="56"/>
  <c r="G21" i="56"/>
  <c r="N21" i="55" s="1"/>
  <c r="F21" i="56"/>
  <c r="J21" i="55" s="1"/>
  <c r="E21" i="56"/>
  <c r="P20" i="56"/>
  <c r="AX20" i="55" s="1"/>
  <c r="O20" i="56"/>
  <c r="AT20" i="55" s="1"/>
  <c r="N20" i="56"/>
  <c r="AP20" i="55" s="1"/>
  <c r="M20" i="56"/>
  <c r="AL20" i="55" s="1"/>
  <c r="L20" i="56"/>
  <c r="AH20" i="55" s="1"/>
  <c r="K20" i="56"/>
  <c r="J20" i="56"/>
  <c r="Z20" i="55" s="1"/>
  <c r="I20" i="56"/>
  <c r="V20" i="55" s="1"/>
  <c r="H20" i="56"/>
  <c r="R20" i="55" s="1"/>
  <c r="G20" i="56"/>
  <c r="F20" i="56"/>
  <c r="J20" i="55" s="1"/>
  <c r="E20" i="56"/>
  <c r="F20" i="55" s="1"/>
  <c r="P19" i="56"/>
  <c r="AX19" i="55" s="1"/>
  <c r="O19" i="56"/>
  <c r="AT19" i="55" s="1"/>
  <c r="N19" i="56"/>
  <c r="AP19" i="55" s="1"/>
  <c r="M19" i="56"/>
  <c r="L19" i="56"/>
  <c r="K19" i="56"/>
  <c r="AD19" i="55" s="1"/>
  <c r="J19" i="56"/>
  <c r="Z19" i="55" s="1"/>
  <c r="I19" i="56"/>
  <c r="H19" i="56"/>
  <c r="R19" i="55" s="1"/>
  <c r="G19" i="56"/>
  <c r="N19" i="55" s="1"/>
  <c r="F19" i="56"/>
  <c r="J19" i="55" s="1"/>
  <c r="E19" i="56"/>
  <c r="F19" i="55" s="1"/>
  <c r="P18" i="56"/>
  <c r="AX18" i="55" s="1"/>
  <c r="O18" i="56"/>
  <c r="N18" i="56"/>
  <c r="AP18" i="55" s="1"/>
  <c r="M18" i="56"/>
  <c r="AL18" i="55" s="1"/>
  <c r="L18" i="56"/>
  <c r="AH18" i="55" s="1"/>
  <c r="K18" i="56"/>
  <c r="J18" i="56"/>
  <c r="Z18" i="55" s="1"/>
  <c r="I18" i="56"/>
  <c r="V18" i="55" s="1"/>
  <c r="H18" i="56"/>
  <c r="R18" i="55" s="1"/>
  <c r="G18" i="56"/>
  <c r="N18" i="55" s="1"/>
  <c r="F18" i="56"/>
  <c r="J18" i="55" s="1"/>
  <c r="E18" i="56"/>
  <c r="D2" i="56"/>
  <c r="AF67" i="57"/>
  <c r="AF66" i="57"/>
  <c r="AF65" i="57"/>
  <c r="AF64" i="57"/>
  <c r="AF63" i="57"/>
  <c r="AF62" i="57"/>
  <c r="AF61" i="57"/>
  <c r="AF60" i="57"/>
  <c r="AF59" i="57"/>
  <c r="AF58" i="57"/>
  <c r="AF57" i="57"/>
  <c r="AF56" i="57"/>
  <c r="AF55" i="57"/>
  <c r="AF54" i="57"/>
  <c r="AF53" i="57"/>
  <c r="AF52" i="57"/>
  <c r="E42" i="57"/>
  <c r="D14" i="57" s="1"/>
  <c r="P36" i="57"/>
  <c r="AW36" i="55" s="1"/>
  <c r="O36" i="57"/>
  <c r="AS36" i="55" s="1"/>
  <c r="N36" i="57"/>
  <c r="AO36" i="55" s="1"/>
  <c r="M36" i="57"/>
  <c r="AK36" i="55" s="1"/>
  <c r="L36" i="57"/>
  <c r="AG36" i="55" s="1"/>
  <c r="K36" i="57"/>
  <c r="AC36" i="55" s="1"/>
  <c r="J36" i="57"/>
  <c r="Y36" i="55" s="1"/>
  <c r="I36" i="57"/>
  <c r="H36" i="57"/>
  <c r="Q36" i="55" s="1"/>
  <c r="G36" i="57"/>
  <c r="F36" i="57"/>
  <c r="I36" i="55" s="1"/>
  <c r="E36" i="57"/>
  <c r="P35" i="57"/>
  <c r="AW35" i="55" s="1"/>
  <c r="O35" i="57"/>
  <c r="AS35" i="55" s="1"/>
  <c r="N35" i="57"/>
  <c r="AO35" i="55" s="1"/>
  <c r="M35" i="57"/>
  <c r="AK35" i="55" s="1"/>
  <c r="L35" i="57"/>
  <c r="AG35" i="55" s="1"/>
  <c r="K35" i="57"/>
  <c r="J35" i="57"/>
  <c r="Y35" i="55" s="1"/>
  <c r="I35" i="57"/>
  <c r="H35" i="57"/>
  <c r="Q35" i="55" s="1"/>
  <c r="G35" i="57"/>
  <c r="M35" i="55" s="1"/>
  <c r="F35" i="57"/>
  <c r="I35" i="55" s="1"/>
  <c r="E35" i="57"/>
  <c r="E35" i="55" s="1"/>
  <c r="P34" i="57"/>
  <c r="AW34" i="55" s="1"/>
  <c r="O34" i="57"/>
  <c r="AS34" i="55" s="1"/>
  <c r="N34" i="57"/>
  <c r="AO34" i="55" s="1"/>
  <c r="M34" i="57"/>
  <c r="L34" i="57"/>
  <c r="AG34" i="55" s="1"/>
  <c r="K34" i="57"/>
  <c r="AC34" i="55" s="1"/>
  <c r="J34" i="57"/>
  <c r="Y34" i="55" s="1"/>
  <c r="I34" i="57"/>
  <c r="H34" i="57"/>
  <c r="Q34" i="55" s="1"/>
  <c r="G34" i="57"/>
  <c r="M34" i="55" s="1"/>
  <c r="F34" i="57"/>
  <c r="I34" i="55" s="1"/>
  <c r="E34" i="57"/>
  <c r="E34" i="55" s="1"/>
  <c r="P33" i="57"/>
  <c r="AW33" i="55" s="1"/>
  <c r="O33" i="57"/>
  <c r="N33" i="57"/>
  <c r="AO33" i="55" s="1"/>
  <c r="M33" i="57"/>
  <c r="L33" i="57"/>
  <c r="AG33" i="55" s="1"/>
  <c r="K33" i="57"/>
  <c r="AC33" i="55" s="1"/>
  <c r="J33" i="57"/>
  <c r="Y33" i="55" s="1"/>
  <c r="I33" i="57"/>
  <c r="U33" i="55" s="1"/>
  <c r="H33" i="57"/>
  <c r="Q33" i="55" s="1"/>
  <c r="G33" i="57"/>
  <c r="M33" i="55" s="1"/>
  <c r="F33" i="57"/>
  <c r="I33" i="55" s="1"/>
  <c r="E33" i="57"/>
  <c r="P32" i="57"/>
  <c r="AW32" i="55" s="1"/>
  <c r="O32" i="57"/>
  <c r="AS32" i="55" s="1"/>
  <c r="N32" i="57"/>
  <c r="AO32" i="55" s="1"/>
  <c r="M32" i="57"/>
  <c r="L32" i="57"/>
  <c r="AG32" i="55" s="1"/>
  <c r="K32" i="57"/>
  <c r="AC32" i="55" s="1"/>
  <c r="J32" i="57"/>
  <c r="Y32" i="55" s="1"/>
  <c r="I32" i="57"/>
  <c r="U32" i="55" s="1"/>
  <c r="H32" i="57"/>
  <c r="Q32" i="55" s="1"/>
  <c r="G32" i="57"/>
  <c r="F32" i="57"/>
  <c r="I32" i="55" s="1"/>
  <c r="E32" i="57"/>
  <c r="P31" i="57"/>
  <c r="AW31" i="55" s="1"/>
  <c r="O31" i="57"/>
  <c r="AS31" i="55" s="1"/>
  <c r="N31" i="57"/>
  <c r="AO31" i="55" s="1"/>
  <c r="M31" i="57"/>
  <c r="AK31" i="55" s="1"/>
  <c r="L31" i="57"/>
  <c r="AG31" i="55" s="1"/>
  <c r="K31" i="57"/>
  <c r="AC31" i="55" s="1"/>
  <c r="J31" i="57"/>
  <c r="Y31" i="55" s="1"/>
  <c r="I31" i="57"/>
  <c r="H31" i="57"/>
  <c r="Q31" i="55" s="1"/>
  <c r="G31" i="57"/>
  <c r="M31" i="55" s="1"/>
  <c r="F31" i="57"/>
  <c r="I31" i="55" s="1"/>
  <c r="E31" i="57"/>
  <c r="P30" i="57"/>
  <c r="AW30" i="55" s="1"/>
  <c r="O30" i="57"/>
  <c r="AS30" i="55" s="1"/>
  <c r="N30" i="57"/>
  <c r="AO30" i="55" s="1"/>
  <c r="M30" i="57"/>
  <c r="AK30" i="55" s="1"/>
  <c r="L30" i="57"/>
  <c r="AG30" i="55" s="1"/>
  <c r="K30" i="57"/>
  <c r="J30" i="57"/>
  <c r="Y30" i="55" s="1"/>
  <c r="I30" i="57"/>
  <c r="H30" i="57"/>
  <c r="Q30" i="55" s="1"/>
  <c r="G30" i="57"/>
  <c r="M30" i="55" s="1"/>
  <c r="F30" i="57"/>
  <c r="I30" i="55" s="1"/>
  <c r="E30" i="57"/>
  <c r="E30" i="55" s="1"/>
  <c r="P29" i="57"/>
  <c r="AW29" i="55" s="1"/>
  <c r="O29" i="57"/>
  <c r="AS29" i="55" s="1"/>
  <c r="N29" i="57"/>
  <c r="AO29" i="55" s="1"/>
  <c r="M29" i="57"/>
  <c r="L29" i="57"/>
  <c r="AG29" i="55" s="1"/>
  <c r="K29" i="57"/>
  <c r="AC29" i="55" s="1"/>
  <c r="J29" i="57"/>
  <c r="Y29" i="55" s="1"/>
  <c r="I29" i="57"/>
  <c r="H29" i="57"/>
  <c r="Q29" i="55" s="1"/>
  <c r="G29" i="57"/>
  <c r="M29" i="55" s="1"/>
  <c r="F29" i="57"/>
  <c r="I29" i="55" s="1"/>
  <c r="E29" i="57"/>
  <c r="E29" i="55" s="1"/>
  <c r="P28" i="57"/>
  <c r="AW28" i="55" s="1"/>
  <c r="O28" i="57"/>
  <c r="N28" i="57"/>
  <c r="AO28" i="55" s="1"/>
  <c r="M28" i="57"/>
  <c r="L28" i="57"/>
  <c r="AG28" i="55" s="1"/>
  <c r="K28" i="57"/>
  <c r="AC28" i="55" s="1"/>
  <c r="J28" i="57"/>
  <c r="Y28" i="55" s="1"/>
  <c r="I28" i="57"/>
  <c r="U28" i="55" s="1"/>
  <c r="H28" i="57"/>
  <c r="Q28" i="55" s="1"/>
  <c r="G28" i="57"/>
  <c r="M28" i="55" s="1"/>
  <c r="F28" i="57"/>
  <c r="I28" i="55" s="1"/>
  <c r="E28" i="57"/>
  <c r="P27" i="57"/>
  <c r="AW27" i="55" s="1"/>
  <c r="O27" i="57"/>
  <c r="AS27" i="55" s="1"/>
  <c r="N27" i="57"/>
  <c r="AO27" i="55" s="1"/>
  <c r="M27" i="57"/>
  <c r="L27" i="57"/>
  <c r="AG27" i="55" s="1"/>
  <c r="K27" i="57"/>
  <c r="AC27" i="55" s="1"/>
  <c r="J27" i="57"/>
  <c r="Y27" i="55" s="1"/>
  <c r="I27" i="57"/>
  <c r="U27" i="55" s="1"/>
  <c r="H27" i="57"/>
  <c r="Q27" i="55" s="1"/>
  <c r="G27" i="57"/>
  <c r="F27" i="57"/>
  <c r="I27" i="55" s="1"/>
  <c r="E27" i="57"/>
  <c r="P26" i="57"/>
  <c r="AW26" i="55" s="1"/>
  <c r="O26" i="57"/>
  <c r="AS26" i="55" s="1"/>
  <c r="N26" i="57"/>
  <c r="AO26" i="55" s="1"/>
  <c r="M26" i="57"/>
  <c r="AK26" i="55" s="1"/>
  <c r="L26" i="57"/>
  <c r="AG26" i="55" s="1"/>
  <c r="K26" i="57"/>
  <c r="AC26" i="55" s="1"/>
  <c r="J26" i="57"/>
  <c r="Y26" i="55" s="1"/>
  <c r="I26" i="57"/>
  <c r="H26" i="57"/>
  <c r="Q26" i="55" s="1"/>
  <c r="G26" i="57"/>
  <c r="M26" i="55" s="1"/>
  <c r="F26" i="57"/>
  <c r="I26" i="55" s="1"/>
  <c r="E26" i="57"/>
  <c r="P25" i="57"/>
  <c r="AW25" i="55" s="1"/>
  <c r="O25" i="57"/>
  <c r="AS25" i="55" s="1"/>
  <c r="N25" i="57"/>
  <c r="AO25" i="55" s="1"/>
  <c r="M25" i="57"/>
  <c r="AK25" i="55" s="1"/>
  <c r="L25" i="57"/>
  <c r="AG25" i="55" s="1"/>
  <c r="K25" i="57"/>
  <c r="J25" i="57"/>
  <c r="Y25" i="55" s="1"/>
  <c r="I25" i="57"/>
  <c r="H25" i="57"/>
  <c r="Q25" i="55" s="1"/>
  <c r="G25" i="57"/>
  <c r="M25" i="55" s="1"/>
  <c r="F25" i="57"/>
  <c r="I25" i="55" s="1"/>
  <c r="E25" i="57"/>
  <c r="E25" i="55" s="1"/>
  <c r="P24" i="57"/>
  <c r="AW24" i="55" s="1"/>
  <c r="O24" i="57"/>
  <c r="AS24" i="55" s="1"/>
  <c r="N24" i="57"/>
  <c r="AO24" i="55" s="1"/>
  <c r="M24" i="57"/>
  <c r="L24" i="57"/>
  <c r="AG24" i="55" s="1"/>
  <c r="K24" i="57"/>
  <c r="AC24" i="55" s="1"/>
  <c r="J24" i="57"/>
  <c r="Y24" i="55" s="1"/>
  <c r="I24" i="57"/>
  <c r="H24" i="57"/>
  <c r="Q24" i="55" s="1"/>
  <c r="G24" i="57"/>
  <c r="M24" i="55" s="1"/>
  <c r="F24" i="57"/>
  <c r="I24" i="55" s="1"/>
  <c r="E24" i="57"/>
  <c r="E24" i="55" s="1"/>
  <c r="P23" i="57"/>
  <c r="AW23" i="55" s="1"/>
  <c r="O23" i="57"/>
  <c r="N23" i="57"/>
  <c r="AO23" i="55" s="1"/>
  <c r="M23" i="57"/>
  <c r="L23" i="57"/>
  <c r="AG23" i="55" s="1"/>
  <c r="K23" i="57"/>
  <c r="AC23" i="55" s="1"/>
  <c r="J23" i="57"/>
  <c r="Y23" i="55" s="1"/>
  <c r="I23" i="57"/>
  <c r="U23" i="55" s="1"/>
  <c r="H23" i="57"/>
  <c r="Q23" i="55" s="1"/>
  <c r="G23" i="57"/>
  <c r="M23" i="55" s="1"/>
  <c r="F23" i="57"/>
  <c r="I23" i="55" s="1"/>
  <c r="E23" i="57"/>
  <c r="P22" i="57"/>
  <c r="AW22" i="55" s="1"/>
  <c r="O22" i="57"/>
  <c r="AS22" i="55" s="1"/>
  <c r="N22" i="57"/>
  <c r="AO22" i="55" s="1"/>
  <c r="M22" i="57"/>
  <c r="L22" i="57"/>
  <c r="AG22" i="55" s="1"/>
  <c r="K22" i="57"/>
  <c r="AC22" i="55" s="1"/>
  <c r="J22" i="57"/>
  <c r="Y22" i="55" s="1"/>
  <c r="I22" i="57"/>
  <c r="U22" i="55" s="1"/>
  <c r="H22" i="57"/>
  <c r="Q22" i="55" s="1"/>
  <c r="G22" i="57"/>
  <c r="F22" i="57"/>
  <c r="I22" i="55" s="1"/>
  <c r="E22" i="57"/>
  <c r="P21" i="57"/>
  <c r="AW21" i="55" s="1"/>
  <c r="O21" i="57"/>
  <c r="AS21" i="55" s="1"/>
  <c r="N21" i="57"/>
  <c r="AO21" i="55" s="1"/>
  <c r="M21" i="57"/>
  <c r="AK21" i="55" s="1"/>
  <c r="L21" i="57"/>
  <c r="AG21" i="55" s="1"/>
  <c r="K21" i="57"/>
  <c r="AC21" i="55" s="1"/>
  <c r="J21" i="57"/>
  <c r="Y21" i="55" s="1"/>
  <c r="I21" i="57"/>
  <c r="H21" i="57"/>
  <c r="Q21" i="55" s="1"/>
  <c r="G21" i="57"/>
  <c r="M21" i="55" s="1"/>
  <c r="F21" i="57"/>
  <c r="I21" i="55" s="1"/>
  <c r="E21" i="57"/>
  <c r="P20" i="57"/>
  <c r="AW20" i="55" s="1"/>
  <c r="O20" i="57"/>
  <c r="AS20" i="55" s="1"/>
  <c r="N20" i="57"/>
  <c r="AO20" i="55" s="1"/>
  <c r="M20" i="57"/>
  <c r="AK20" i="55" s="1"/>
  <c r="L20" i="57"/>
  <c r="AG20" i="55" s="1"/>
  <c r="K20" i="57"/>
  <c r="J20" i="57"/>
  <c r="Y20" i="55" s="1"/>
  <c r="I20" i="57"/>
  <c r="H20" i="57"/>
  <c r="Q20" i="55" s="1"/>
  <c r="G20" i="57"/>
  <c r="M20" i="55" s="1"/>
  <c r="F20" i="57"/>
  <c r="I20" i="55" s="1"/>
  <c r="E20" i="57"/>
  <c r="E20" i="55" s="1"/>
  <c r="P19" i="57"/>
  <c r="AW19" i="55" s="1"/>
  <c r="O19" i="57"/>
  <c r="AS19" i="55" s="1"/>
  <c r="N19" i="57"/>
  <c r="AO19" i="55" s="1"/>
  <c r="M19" i="57"/>
  <c r="L19" i="57"/>
  <c r="AG19" i="55" s="1"/>
  <c r="K19" i="57"/>
  <c r="J19" i="57"/>
  <c r="Y19" i="55" s="1"/>
  <c r="I19" i="57"/>
  <c r="H19" i="57"/>
  <c r="Q19" i="55" s="1"/>
  <c r="G19" i="57"/>
  <c r="M19" i="55" s="1"/>
  <c r="F19" i="57"/>
  <c r="I19" i="55" s="1"/>
  <c r="E19" i="57"/>
  <c r="E19" i="55" s="1"/>
  <c r="P18" i="57"/>
  <c r="AW18" i="55" s="1"/>
  <c r="O18" i="57"/>
  <c r="N18" i="57"/>
  <c r="AO18" i="55" s="1"/>
  <c r="M18" i="57"/>
  <c r="L18" i="57"/>
  <c r="AG18" i="55" s="1"/>
  <c r="K18" i="57"/>
  <c r="AC18" i="55" s="1"/>
  <c r="J18" i="57"/>
  <c r="Y18" i="55" s="1"/>
  <c r="I18" i="57"/>
  <c r="U18" i="55" s="1"/>
  <c r="H18" i="57"/>
  <c r="Q18" i="55" s="1"/>
  <c r="G18" i="57"/>
  <c r="M18" i="55" s="1"/>
  <c r="F18" i="57"/>
  <c r="I18" i="55" s="1"/>
  <c r="E18" i="57"/>
  <c r="E18" i="55" s="1"/>
  <c r="D2" i="57"/>
  <c r="M382" i="58"/>
  <c r="L382" i="58"/>
  <c r="K382" i="58"/>
  <c r="M381" i="58"/>
  <c r="L381" i="58"/>
  <c r="K381" i="58"/>
  <c r="M380" i="58"/>
  <c r="L380" i="58"/>
  <c r="K380" i="58"/>
  <c r="M379" i="58"/>
  <c r="L379" i="58"/>
  <c r="K379" i="58"/>
  <c r="M378" i="58"/>
  <c r="L378" i="58"/>
  <c r="K378" i="58"/>
  <c r="M377" i="58"/>
  <c r="L377" i="58"/>
  <c r="K377" i="58"/>
  <c r="M376" i="58"/>
  <c r="L376" i="58"/>
  <c r="K376" i="58"/>
  <c r="M375" i="58"/>
  <c r="L375" i="58"/>
  <c r="K375" i="58"/>
  <c r="M374" i="58"/>
  <c r="L374" i="58"/>
  <c r="K374" i="58"/>
  <c r="M373" i="58"/>
  <c r="L373" i="58"/>
  <c r="K373" i="58"/>
  <c r="M372" i="58"/>
  <c r="L372" i="58"/>
  <c r="K372" i="58"/>
  <c r="M371" i="58"/>
  <c r="L371" i="58"/>
  <c r="K371" i="58"/>
  <c r="M370" i="58"/>
  <c r="L370" i="58"/>
  <c r="K370" i="58"/>
  <c r="M369" i="58"/>
  <c r="L369" i="58"/>
  <c r="K369" i="58"/>
  <c r="M368" i="58"/>
  <c r="L368" i="58"/>
  <c r="K368" i="58"/>
  <c r="M367" i="58"/>
  <c r="L367" i="58"/>
  <c r="K367" i="58"/>
  <c r="M366" i="58"/>
  <c r="L366" i="58"/>
  <c r="K366" i="58"/>
  <c r="M365" i="58"/>
  <c r="L365" i="58"/>
  <c r="K365" i="58"/>
  <c r="M364" i="58"/>
  <c r="L364" i="58"/>
  <c r="K364" i="58"/>
  <c r="M363" i="58"/>
  <c r="L363" i="58"/>
  <c r="K363" i="58"/>
  <c r="M362" i="58"/>
  <c r="L362" i="58"/>
  <c r="K362" i="58"/>
  <c r="M361" i="58"/>
  <c r="L361" i="58"/>
  <c r="K361" i="58"/>
  <c r="M360" i="58"/>
  <c r="L360" i="58"/>
  <c r="K360" i="58"/>
  <c r="M359" i="58"/>
  <c r="L359" i="58"/>
  <c r="K359" i="58"/>
  <c r="M358" i="58"/>
  <c r="L358" i="58"/>
  <c r="K358" i="58"/>
  <c r="M357" i="58"/>
  <c r="L357" i="58"/>
  <c r="K357" i="58"/>
  <c r="M356" i="58"/>
  <c r="L356" i="58"/>
  <c r="K356" i="58"/>
  <c r="M355" i="58"/>
  <c r="L355" i="58"/>
  <c r="K355" i="58"/>
  <c r="M354" i="58"/>
  <c r="L354" i="58"/>
  <c r="K354" i="58"/>
  <c r="M353" i="58"/>
  <c r="L353" i="58"/>
  <c r="K353" i="58"/>
  <c r="M352" i="58"/>
  <c r="L352" i="58"/>
  <c r="K352" i="58"/>
  <c r="M351" i="58"/>
  <c r="L351" i="58"/>
  <c r="K351" i="58"/>
  <c r="M350" i="58"/>
  <c r="L350" i="58"/>
  <c r="K350" i="58"/>
  <c r="M349" i="58"/>
  <c r="L349" i="58"/>
  <c r="K349" i="58"/>
  <c r="M348" i="58"/>
  <c r="L348" i="58"/>
  <c r="K348" i="58"/>
  <c r="M347" i="58"/>
  <c r="L347" i="58"/>
  <c r="K347" i="58"/>
  <c r="M346" i="58"/>
  <c r="L346" i="58"/>
  <c r="K346" i="58"/>
  <c r="M345" i="58"/>
  <c r="L345" i="58"/>
  <c r="K345" i="58"/>
  <c r="M344" i="58"/>
  <c r="L344" i="58"/>
  <c r="K344" i="58"/>
  <c r="M343" i="58"/>
  <c r="L343" i="58"/>
  <c r="K343" i="58"/>
  <c r="M342" i="58"/>
  <c r="L342" i="58"/>
  <c r="K342" i="58"/>
  <c r="M341" i="58"/>
  <c r="L341" i="58"/>
  <c r="K341" i="58"/>
  <c r="M340" i="58"/>
  <c r="L340" i="58"/>
  <c r="K340" i="58"/>
  <c r="M339" i="58"/>
  <c r="L339" i="58"/>
  <c r="K339" i="58"/>
  <c r="M338" i="58"/>
  <c r="L338" i="58"/>
  <c r="K338" i="58"/>
  <c r="M337" i="58"/>
  <c r="L337" i="58"/>
  <c r="K337" i="58"/>
  <c r="M336" i="58"/>
  <c r="L336" i="58"/>
  <c r="K336" i="58"/>
  <c r="M335" i="58"/>
  <c r="L335" i="58"/>
  <c r="K335" i="58"/>
  <c r="M334" i="58"/>
  <c r="L334" i="58"/>
  <c r="K334" i="58"/>
  <c r="M333" i="58"/>
  <c r="L333" i="58"/>
  <c r="K333" i="58"/>
  <c r="M332" i="58"/>
  <c r="L332" i="58"/>
  <c r="K332" i="58"/>
  <c r="M331" i="58"/>
  <c r="L331" i="58"/>
  <c r="K331" i="58"/>
  <c r="M330" i="58"/>
  <c r="L330" i="58"/>
  <c r="K330" i="58"/>
  <c r="M329" i="58"/>
  <c r="L329" i="58"/>
  <c r="K329" i="58"/>
  <c r="M328" i="58"/>
  <c r="L328" i="58"/>
  <c r="K328" i="58"/>
  <c r="M327" i="58"/>
  <c r="L327" i="58"/>
  <c r="K327" i="58"/>
  <c r="M326" i="58"/>
  <c r="L326" i="58"/>
  <c r="K326" i="58"/>
  <c r="M325" i="58"/>
  <c r="L325" i="58"/>
  <c r="K325" i="58"/>
  <c r="M324" i="58"/>
  <c r="L324" i="58"/>
  <c r="K324" i="58"/>
  <c r="M323" i="58"/>
  <c r="L323" i="58"/>
  <c r="K323" i="58"/>
  <c r="M322" i="58"/>
  <c r="L322" i="58"/>
  <c r="K322" i="58"/>
  <c r="M321" i="58"/>
  <c r="L321" i="58"/>
  <c r="K321" i="58"/>
  <c r="M320" i="58"/>
  <c r="L320" i="58"/>
  <c r="K320" i="58"/>
  <c r="M319" i="58"/>
  <c r="L319" i="58"/>
  <c r="K319" i="58"/>
  <c r="M318" i="58"/>
  <c r="L318" i="58"/>
  <c r="K318" i="58"/>
  <c r="M317" i="58"/>
  <c r="L317" i="58"/>
  <c r="K317" i="58"/>
  <c r="M316" i="58"/>
  <c r="L316" i="58"/>
  <c r="K316" i="58"/>
  <c r="M315" i="58"/>
  <c r="L315" i="58"/>
  <c r="K315" i="58"/>
  <c r="M314" i="58"/>
  <c r="L314" i="58"/>
  <c r="K314" i="58"/>
  <c r="M313" i="58"/>
  <c r="L313" i="58"/>
  <c r="K313" i="58"/>
  <c r="M312" i="58"/>
  <c r="L312" i="58"/>
  <c r="K312" i="58"/>
  <c r="M311" i="58"/>
  <c r="L311" i="58"/>
  <c r="K311" i="58"/>
  <c r="M310" i="58"/>
  <c r="L310" i="58"/>
  <c r="K310" i="58"/>
  <c r="M309" i="58"/>
  <c r="L309" i="58"/>
  <c r="K309" i="58"/>
  <c r="M308" i="58"/>
  <c r="L308" i="58"/>
  <c r="K308" i="58"/>
  <c r="M307" i="58"/>
  <c r="L307" i="58"/>
  <c r="K307" i="58"/>
  <c r="M306" i="58"/>
  <c r="L306" i="58"/>
  <c r="K306" i="58"/>
  <c r="M305" i="58"/>
  <c r="L305" i="58"/>
  <c r="K305" i="58"/>
  <c r="M304" i="58"/>
  <c r="L304" i="58"/>
  <c r="K304" i="58"/>
  <c r="M303" i="58"/>
  <c r="L303" i="58"/>
  <c r="K303" i="58"/>
  <c r="M302" i="58"/>
  <c r="L302" i="58"/>
  <c r="K302" i="58"/>
  <c r="M301" i="58"/>
  <c r="L301" i="58"/>
  <c r="K301" i="58"/>
  <c r="M300" i="58"/>
  <c r="L300" i="58"/>
  <c r="K300" i="58"/>
  <c r="M299" i="58"/>
  <c r="L299" i="58"/>
  <c r="K299" i="58"/>
  <c r="M298" i="58"/>
  <c r="L298" i="58"/>
  <c r="K298" i="58"/>
  <c r="M297" i="58"/>
  <c r="L297" i="58"/>
  <c r="K297" i="58"/>
  <c r="M296" i="58"/>
  <c r="L296" i="58"/>
  <c r="K296" i="58"/>
  <c r="M295" i="58"/>
  <c r="L295" i="58"/>
  <c r="K295" i="58"/>
  <c r="M294" i="58"/>
  <c r="L294" i="58"/>
  <c r="K294" i="58"/>
  <c r="M293" i="58"/>
  <c r="L293" i="58"/>
  <c r="K293" i="58"/>
  <c r="M292" i="58"/>
  <c r="L292" i="58"/>
  <c r="K292" i="58"/>
  <c r="M291" i="58"/>
  <c r="L291" i="58"/>
  <c r="K291" i="58"/>
  <c r="M290" i="58"/>
  <c r="L290" i="58"/>
  <c r="K290" i="58"/>
  <c r="M289" i="58"/>
  <c r="L289" i="58"/>
  <c r="K289" i="58"/>
  <c r="M288" i="58"/>
  <c r="L288" i="58"/>
  <c r="K288" i="58"/>
  <c r="M287" i="58"/>
  <c r="L287" i="58"/>
  <c r="K287" i="58"/>
  <c r="M286" i="58"/>
  <c r="L286" i="58"/>
  <c r="K286" i="58"/>
  <c r="M285" i="58"/>
  <c r="L285" i="58"/>
  <c r="K285" i="58"/>
  <c r="M284" i="58"/>
  <c r="L284" i="58"/>
  <c r="K284" i="58"/>
  <c r="M283" i="58"/>
  <c r="L283" i="58"/>
  <c r="K283" i="58"/>
  <c r="M282" i="58"/>
  <c r="L282" i="58"/>
  <c r="K282" i="58"/>
  <c r="M281" i="58"/>
  <c r="L281" i="58"/>
  <c r="K281" i="58"/>
  <c r="M280" i="58"/>
  <c r="L280" i="58"/>
  <c r="K280" i="58"/>
  <c r="M279" i="58"/>
  <c r="L279" i="58"/>
  <c r="K279" i="58"/>
  <c r="M278" i="58"/>
  <c r="L278" i="58"/>
  <c r="K278" i="58"/>
  <c r="M277" i="58"/>
  <c r="L277" i="58"/>
  <c r="K277" i="58"/>
  <c r="M276" i="58"/>
  <c r="L276" i="58"/>
  <c r="K276" i="58"/>
  <c r="M275" i="58"/>
  <c r="L275" i="58"/>
  <c r="K275" i="58"/>
  <c r="M274" i="58"/>
  <c r="L274" i="58"/>
  <c r="K274" i="58"/>
  <c r="M273" i="58"/>
  <c r="L273" i="58"/>
  <c r="K273" i="58"/>
  <c r="M272" i="58"/>
  <c r="L272" i="58"/>
  <c r="K272" i="58"/>
  <c r="M271" i="58"/>
  <c r="L271" i="58"/>
  <c r="K271" i="58"/>
  <c r="M270" i="58"/>
  <c r="L270" i="58"/>
  <c r="K270" i="58"/>
  <c r="M269" i="58"/>
  <c r="L269" i="58"/>
  <c r="K269" i="58"/>
  <c r="M268" i="58"/>
  <c r="L268" i="58"/>
  <c r="K268" i="58"/>
  <c r="M267" i="58"/>
  <c r="L267" i="58"/>
  <c r="K267" i="58"/>
  <c r="M266" i="58"/>
  <c r="L266" i="58"/>
  <c r="K266" i="58"/>
  <c r="M265" i="58"/>
  <c r="L265" i="58"/>
  <c r="K265" i="58"/>
  <c r="M264" i="58"/>
  <c r="L264" i="58"/>
  <c r="K264" i="58"/>
  <c r="M263" i="58"/>
  <c r="L263" i="58"/>
  <c r="K263" i="58"/>
  <c r="M262" i="58"/>
  <c r="L262" i="58"/>
  <c r="K262" i="58"/>
  <c r="M261" i="58"/>
  <c r="L261" i="58"/>
  <c r="K261" i="58"/>
  <c r="M260" i="58"/>
  <c r="L260" i="58"/>
  <c r="K260" i="58"/>
  <c r="M259" i="58"/>
  <c r="L259" i="58"/>
  <c r="K259" i="58"/>
  <c r="M258" i="58"/>
  <c r="L258" i="58"/>
  <c r="K258" i="58"/>
  <c r="M257" i="58"/>
  <c r="L257" i="58"/>
  <c r="K257" i="58"/>
  <c r="M256" i="58"/>
  <c r="L256" i="58"/>
  <c r="K256" i="58"/>
  <c r="M255" i="58"/>
  <c r="L255" i="58"/>
  <c r="K255" i="58"/>
  <c r="M254" i="58"/>
  <c r="L254" i="58"/>
  <c r="K254" i="58"/>
  <c r="M253" i="58"/>
  <c r="L253" i="58"/>
  <c r="K253" i="58"/>
  <c r="M252" i="58"/>
  <c r="L252" i="58"/>
  <c r="K252" i="58"/>
  <c r="M251" i="58"/>
  <c r="L251" i="58"/>
  <c r="K251" i="58"/>
  <c r="M250" i="58"/>
  <c r="L250" i="58"/>
  <c r="K250" i="58"/>
  <c r="M249" i="58"/>
  <c r="L249" i="58"/>
  <c r="K249" i="58"/>
  <c r="M248" i="58"/>
  <c r="L248" i="58"/>
  <c r="K248" i="58"/>
  <c r="M247" i="58"/>
  <c r="L247" i="58"/>
  <c r="K247" i="58"/>
  <c r="M246" i="58"/>
  <c r="L246" i="58"/>
  <c r="K246" i="58"/>
  <c r="M245" i="58"/>
  <c r="L245" i="58"/>
  <c r="K245" i="58"/>
  <c r="M244" i="58"/>
  <c r="L244" i="58"/>
  <c r="K244" i="58"/>
  <c r="M243" i="58"/>
  <c r="L243" i="58"/>
  <c r="K243" i="58"/>
  <c r="M242" i="58"/>
  <c r="L242" i="58"/>
  <c r="K242" i="58"/>
  <c r="M241" i="58"/>
  <c r="L241" i="58"/>
  <c r="K241" i="58"/>
  <c r="M240" i="58"/>
  <c r="L240" i="58"/>
  <c r="K240" i="58"/>
  <c r="M239" i="58"/>
  <c r="L239" i="58"/>
  <c r="K239" i="58"/>
  <c r="M238" i="58"/>
  <c r="L238" i="58"/>
  <c r="K238" i="58"/>
  <c r="M237" i="58"/>
  <c r="L237" i="58"/>
  <c r="K237" i="58"/>
  <c r="M236" i="58"/>
  <c r="L236" i="58"/>
  <c r="K236" i="58"/>
  <c r="M235" i="58"/>
  <c r="L235" i="58"/>
  <c r="K235" i="58"/>
  <c r="M234" i="58"/>
  <c r="L234" i="58"/>
  <c r="K234" i="58"/>
  <c r="M233" i="58"/>
  <c r="L233" i="58"/>
  <c r="K233" i="58"/>
  <c r="M232" i="58"/>
  <c r="L232" i="58"/>
  <c r="K232" i="58"/>
  <c r="M231" i="58"/>
  <c r="L231" i="58"/>
  <c r="K231" i="58"/>
  <c r="M230" i="58"/>
  <c r="L230" i="58"/>
  <c r="K230" i="58"/>
  <c r="M229" i="58"/>
  <c r="L229" i="58"/>
  <c r="K229" i="58"/>
  <c r="M228" i="58"/>
  <c r="L228" i="58"/>
  <c r="K228" i="58"/>
  <c r="M227" i="58"/>
  <c r="L227" i="58"/>
  <c r="K227" i="58"/>
  <c r="M226" i="58"/>
  <c r="L226" i="58"/>
  <c r="K226" i="58"/>
  <c r="M225" i="58"/>
  <c r="L225" i="58"/>
  <c r="K225" i="58"/>
  <c r="M224" i="58"/>
  <c r="L224" i="58"/>
  <c r="K224" i="58"/>
  <c r="M223" i="58"/>
  <c r="L223" i="58"/>
  <c r="K223" i="58"/>
  <c r="M222" i="58"/>
  <c r="L222" i="58"/>
  <c r="K222" i="58"/>
  <c r="M221" i="58"/>
  <c r="L221" i="58"/>
  <c r="K221" i="58"/>
  <c r="M220" i="58"/>
  <c r="L220" i="58"/>
  <c r="K220" i="58"/>
  <c r="M219" i="58"/>
  <c r="L219" i="58"/>
  <c r="K219" i="58"/>
  <c r="M218" i="58"/>
  <c r="L218" i="58"/>
  <c r="K218" i="58"/>
  <c r="M217" i="58"/>
  <c r="L217" i="58"/>
  <c r="K217" i="58"/>
  <c r="M216" i="58"/>
  <c r="L216" i="58"/>
  <c r="K216" i="58"/>
  <c r="M215" i="58"/>
  <c r="L215" i="58"/>
  <c r="K215" i="58"/>
  <c r="M214" i="58"/>
  <c r="L214" i="58"/>
  <c r="K214" i="58"/>
  <c r="M213" i="58"/>
  <c r="L213" i="58"/>
  <c r="K213" i="58"/>
  <c r="M212" i="58"/>
  <c r="L212" i="58"/>
  <c r="K212" i="58"/>
  <c r="M211" i="58"/>
  <c r="L211" i="58"/>
  <c r="K211" i="58"/>
  <c r="M210" i="58"/>
  <c r="L210" i="58"/>
  <c r="K210" i="58"/>
  <c r="M209" i="58"/>
  <c r="L209" i="58"/>
  <c r="K209" i="58"/>
  <c r="M208" i="58"/>
  <c r="L208" i="58"/>
  <c r="K208" i="58"/>
  <c r="M207" i="58"/>
  <c r="L207" i="58"/>
  <c r="K207" i="58"/>
  <c r="M206" i="58"/>
  <c r="L206" i="58"/>
  <c r="K206" i="58"/>
  <c r="M205" i="58"/>
  <c r="L205" i="58"/>
  <c r="K205" i="58"/>
  <c r="M204" i="58"/>
  <c r="L204" i="58"/>
  <c r="K204" i="58"/>
  <c r="M203" i="58"/>
  <c r="L203" i="58"/>
  <c r="K203" i="58"/>
  <c r="M202" i="58"/>
  <c r="L202" i="58"/>
  <c r="K202" i="58"/>
  <c r="M201" i="58"/>
  <c r="L201" i="58"/>
  <c r="K201" i="58"/>
  <c r="M200" i="58"/>
  <c r="L200" i="58"/>
  <c r="K200" i="58"/>
  <c r="M199" i="58"/>
  <c r="L199" i="58"/>
  <c r="K199" i="58"/>
  <c r="M198" i="58"/>
  <c r="L198" i="58"/>
  <c r="K198" i="58"/>
  <c r="M197" i="58"/>
  <c r="L197" i="58"/>
  <c r="K197" i="58"/>
  <c r="M196" i="58"/>
  <c r="L196" i="58"/>
  <c r="K196" i="58"/>
  <c r="M195" i="58"/>
  <c r="L195" i="58"/>
  <c r="K195" i="58"/>
  <c r="M194" i="58"/>
  <c r="L194" i="58"/>
  <c r="K194" i="58"/>
  <c r="M193" i="58"/>
  <c r="L193" i="58"/>
  <c r="K193" i="58"/>
  <c r="M192" i="58"/>
  <c r="L192" i="58"/>
  <c r="K192" i="58"/>
  <c r="M191" i="58"/>
  <c r="L191" i="58"/>
  <c r="K191" i="58"/>
  <c r="M190" i="58"/>
  <c r="L190" i="58"/>
  <c r="K190" i="58"/>
  <c r="M189" i="58"/>
  <c r="L189" i="58"/>
  <c r="K189" i="58"/>
  <c r="M188" i="58"/>
  <c r="L188" i="58"/>
  <c r="K188" i="58"/>
  <c r="M187" i="58"/>
  <c r="L187" i="58"/>
  <c r="K187" i="58"/>
  <c r="M186" i="58"/>
  <c r="L186" i="58"/>
  <c r="K186" i="58"/>
  <c r="M185" i="58"/>
  <c r="L185" i="58"/>
  <c r="K185" i="58"/>
  <c r="M184" i="58"/>
  <c r="L184" i="58"/>
  <c r="K184" i="58"/>
  <c r="M183" i="58"/>
  <c r="L183" i="58"/>
  <c r="K183" i="58"/>
  <c r="M182" i="58"/>
  <c r="L182" i="58"/>
  <c r="K182" i="58"/>
  <c r="M181" i="58"/>
  <c r="L181" i="58"/>
  <c r="K181" i="58"/>
  <c r="M180" i="58"/>
  <c r="L180" i="58"/>
  <c r="K180" i="58"/>
  <c r="M179" i="58"/>
  <c r="L179" i="58"/>
  <c r="K179" i="58"/>
  <c r="M178" i="58"/>
  <c r="L178" i="58"/>
  <c r="K178" i="58"/>
  <c r="M177" i="58"/>
  <c r="L177" i="58"/>
  <c r="K177" i="58"/>
  <c r="M176" i="58"/>
  <c r="L176" i="58"/>
  <c r="K176" i="58"/>
  <c r="M175" i="58"/>
  <c r="L175" i="58"/>
  <c r="K175" i="58"/>
  <c r="M174" i="58"/>
  <c r="L174" i="58"/>
  <c r="K174" i="58"/>
  <c r="M173" i="58"/>
  <c r="L173" i="58"/>
  <c r="K173" i="58"/>
  <c r="M172" i="58"/>
  <c r="L172" i="58"/>
  <c r="K172" i="58"/>
  <c r="M171" i="58"/>
  <c r="L171" i="58"/>
  <c r="K171" i="58"/>
  <c r="M170" i="58"/>
  <c r="L170" i="58"/>
  <c r="K170" i="58"/>
  <c r="M169" i="58"/>
  <c r="L169" i="58"/>
  <c r="K169" i="58"/>
  <c r="M168" i="58"/>
  <c r="L168" i="58"/>
  <c r="K168" i="58"/>
  <c r="M167" i="58"/>
  <c r="L167" i="58"/>
  <c r="K167" i="58"/>
  <c r="M166" i="58"/>
  <c r="L166" i="58"/>
  <c r="K166" i="58"/>
  <c r="M165" i="58"/>
  <c r="L165" i="58"/>
  <c r="K165" i="58"/>
  <c r="M164" i="58"/>
  <c r="L164" i="58"/>
  <c r="K164" i="58"/>
  <c r="M163" i="58"/>
  <c r="L163" i="58"/>
  <c r="K163" i="58"/>
  <c r="M162" i="58"/>
  <c r="L162" i="58"/>
  <c r="K162" i="58"/>
  <c r="M161" i="58"/>
  <c r="L161" i="58"/>
  <c r="K161" i="58"/>
  <c r="M160" i="58"/>
  <c r="L160" i="58"/>
  <c r="K160" i="58"/>
  <c r="M159" i="58"/>
  <c r="L159" i="58"/>
  <c r="K159" i="58"/>
  <c r="M158" i="58"/>
  <c r="L158" i="58"/>
  <c r="K158" i="58"/>
  <c r="M157" i="58"/>
  <c r="L157" i="58"/>
  <c r="K157" i="58"/>
  <c r="M156" i="58"/>
  <c r="L156" i="58"/>
  <c r="K156" i="58"/>
  <c r="M155" i="58"/>
  <c r="L155" i="58"/>
  <c r="K155" i="58"/>
  <c r="M154" i="58"/>
  <c r="L154" i="58"/>
  <c r="K154" i="58"/>
  <c r="M153" i="58"/>
  <c r="L153" i="58"/>
  <c r="K153" i="58"/>
  <c r="M152" i="58"/>
  <c r="L152" i="58"/>
  <c r="K152" i="58"/>
  <c r="M151" i="58"/>
  <c r="L151" i="58"/>
  <c r="K151" i="58"/>
  <c r="M150" i="58"/>
  <c r="L150" i="58"/>
  <c r="K150" i="58"/>
  <c r="M149" i="58"/>
  <c r="L149" i="58"/>
  <c r="K149" i="58"/>
  <c r="M148" i="58"/>
  <c r="L148" i="58"/>
  <c r="K148" i="58"/>
  <c r="M147" i="58"/>
  <c r="L147" i="58"/>
  <c r="K147" i="58"/>
  <c r="M146" i="58"/>
  <c r="L146" i="58"/>
  <c r="K146" i="58"/>
  <c r="M145" i="58"/>
  <c r="L145" i="58"/>
  <c r="K145" i="58"/>
  <c r="M144" i="58"/>
  <c r="L144" i="58"/>
  <c r="K144" i="58"/>
  <c r="M143" i="58"/>
  <c r="L143" i="58"/>
  <c r="K143" i="58"/>
  <c r="M142" i="58"/>
  <c r="L142" i="58"/>
  <c r="K142" i="58"/>
  <c r="M141" i="58"/>
  <c r="L141" i="58"/>
  <c r="K141" i="58"/>
  <c r="M140" i="58"/>
  <c r="L140" i="58"/>
  <c r="K140" i="58"/>
  <c r="M139" i="58"/>
  <c r="L139" i="58"/>
  <c r="K139" i="58"/>
  <c r="M138" i="58"/>
  <c r="L138" i="58"/>
  <c r="K138" i="58"/>
  <c r="M137" i="58"/>
  <c r="L137" i="58"/>
  <c r="K137" i="58"/>
  <c r="M136" i="58"/>
  <c r="L136" i="58"/>
  <c r="K136" i="58"/>
  <c r="M135" i="58"/>
  <c r="L135" i="58"/>
  <c r="K135" i="58"/>
  <c r="M134" i="58"/>
  <c r="L134" i="58"/>
  <c r="K134" i="58"/>
  <c r="M133" i="58"/>
  <c r="L133" i="58"/>
  <c r="K133" i="58"/>
  <c r="M132" i="58"/>
  <c r="L132" i="58"/>
  <c r="K132" i="58"/>
  <c r="M131" i="58"/>
  <c r="L131" i="58"/>
  <c r="K131" i="58"/>
  <c r="M130" i="58"/>
  <c r="L130" i="58"/>
  <c r="K130" i="58"/>
  <c r="M129" i="58"/>
  <c r="L129" i="58"/>
  <c r="K129" i="58"/>
  <c r="M128" i="58"/>
  <c r="L128" i="58"/>
  <c r="K128" i="58"/>
  <c r="M127" i="58"/>
  <c r="L127" i="58"/>
  <c r="K127" i="58"/>
  <c r="M126" i="58"/>
  <c r="L126" i="58"/>
  <c r="K126" i="58"/>
  <c r="M125" i="58"/>
  <c r="L125" i="58"/>
  <c r="K125" i="58"/>
  <c r="M124" i="58"/>
  <c r="L124" i="58"/>
  <c r="K124" i="58"/>
  <c r="M123" i="58"/>
  <c r="L123" i="58"/>
  <c r="K123" i="58"/>
  <c r="M122" i="58"/>
  <c r="L122" i="58"/>
  <c r="K122" i="58"/>
  <c r="M121" i="58"/>
  <c r="L121" i="58"/>
  <c r="K121" i="58"/>
  <c r="M120" i="58"/>
  <c r="L120" i="58"/>
  <c r="K120" i="58"/>
  <c r="M119" i="58"/>
  <c r="L119" i="58"/>
  <c r="K119" i="58"/>
  <c r="M118" i="58"/>
  <c r="L118" i="58"/>
  <c r="K118" i="58"/>
  <c r="M117" i="58"/>
  <c r="L117" i="58"/>
  <c r="K117" i="58"/>
  <c r="M116" i="58"/>
  <c r="L116" i="58"/>
  <c r="K116" i="58"/>
  <c r="M115" i="58"/>
  <c r="L115" i="58"/>
  <c r="K115" i="58"/>
  <c r="M114" i="58"/>
  <c r="L114" i="58"/>
  <c r="K114" i="58"/>
  <c r="M113" i="58"/>
  <c r="L113" i="58"/>
  <c r="K113" i="58"/>
  <c r="M112" i="58"/>
  <c r="L112" i="58"/>
  <c r="K112" i="58"/>
  <c r="M111" i="58"/>
  <c r="L111" i="58"/>
  <c r="K111" i="58"/>
  <c r="M110" i="58"/>
  <c r="L110" i="58"/>
  <c r="K110" i="58"/>
  <c r="M109" i="58"/>
  <c r="L109" i="58"/>
  <c r="K109" i="58"/>
  <c r="M108" i="58"/>
  <c r="L108" i="58"/>
  <c r="K108" i="58"/>
  <c r="M107" i="58"/>
  <c r="L107" i="58"/>
  <c r="K107" i="58"/>
  <c r="M106" i="58"/>
  <c r="L106" i="58"/>
  <c r="K106" i="58"/>
  <c r="M105" i="58"/>
  <c r="L105" i="58"/>
  <c r="K105" i="58"/>
  <c r="M104" i="58"/>
  <c r="L104" i="58"/>
  <c r="K104" i="58"/>
  <c r="M103" i="58"/>
  <c r="L103" i="58"/>
  <c r="K103" i="58"/>
  <c r="M102" i="58"/>
  <c r="L102" i="58"/>
  <c r="K102" i="58"/>
  <c r="M101" i="58"/>
  <c r="L101" i="58"/>
  <c r="K101" i="58"/>
  <c r="M100" i="58"/>
  <c r="L100" i="58"/>
  <c r="K100" i="58"/>
  <c r="M99" i="58"/>
  <c r="L99" i="58"/>
  <c r="K99" i="58"/>
  <c r="M98" i="58"/>
  <c r="L98" i="58"/>
  <c r="K98" i="58"/>
  <c r="M97" i="58"/>
  <c r="L97" i="58"/>
  <c r="K97" i="58"/>
  <c r="M96" i="58"/>
  <c r="L96" i="58"/>
  <c r="K96" i="58"/>
  <c r="M95" i="58"/>
  <c r="L95" i="58"/>
  <c r="K95" i="58"/>
  <c r="M94" i="58"/>
  <c r="L94" i="58"/>
  <c r="K94" i="58"/>
  <c r="M93" i="58"/>
  <c r="L93" i="58"/>
  <c r="K93" i="58"/>
  <c r="M92" i="58"/>
  <c r="L92" i="58"/>
  <c r="K92" i="58"/>
  <c r="M91" i="58"/>
  <c r="L91" i="58"/>
  <c r="K91" i="58"/>
  <c r="M90" i="58"/>
  <c r="L90" i="58"/>
  <c r="K90" i="58"/>
  <c r="M89" i="58"/>
  <c r="L89" i="58"/>
  <c r="K89" i="58"/>
  <c r="M88" i="58"/>
  <c r="L88" i="58"/>
  <c r="K88" i="58"/>
  <c r="M87" i="58"/>
  <c r="L87" i="58"/>
  <c r="K87" i="58"/>
  <c r="M86" i="58"/>
  <c r="L86" i="58"/>
  <c r="K86" i="58"/>
  <c r="M85" i="58"/>
  <c r="L85" i="58"/>
  <c r="K85" i="58"/>
  <c r="M84" i="58"/>
  <c r="L84" i="58"/>
  <c r="K84" i="58"/>
  <c r="M83" i="58"/>
  <c r="L83" i="58"/>
  <c r="K83" i="58"/>
  <c r="M82" i="58"/>
  <c r="L82" i="58"/>
  <c r="K82" i="58"/>
  <c r="M81" i="58"/>
  <c r="L81" i="58"/>
  <c r="K81" i="58"/>
  <c r="M80" i="58"/>
  <c r="L80" i="58"/>
  <c r="K80" i="58"/>
  <c r="M79" i="58"/>
  <c r="L79" i="58"/>
  <c r="K79" i="58"/>
  <c r="M78" i="58"/>
  <c r="L78" i="58"/>
  <c r="K78" i="58"/>
  <c r="M77" i="58"/>
  <c r="L77" i="58"/>
  <c r="K77" i="58"/>
  <c r="M76" i="58"/>
  <c r="L76" i="58"/>
  <c r="K76" i="58"/>
  <c r="M75" i="58"/>
  <c r="L75" i="58"/>
  <c r="K75" i="58"/>
  <c r="M74" i="58"/>
  <c r="L74" i="58"/>
  <c r="K74" i="58"/>
  <c r="M73" i="58"/>
  <c r="L73" i="58"/>
  <c r="K73" i="58"/>
  <c r="M72" i="58"/>
  <c r="L72" i="58"/>
  <c r="K72" i="58"/>
  <c r="M71" i="58"/>
  <c r="L71" i="58"/>
  <c r="K71" i="58"/>
  <c r="M70" i="58"/>
  <c r="L70" i="58"/>
  <c r="K70" i="58"/>
  <c r="M69" i="58"/>
  <c r="L69" i="58"/>
  <c r="K69" i="58"/>
  <c r="M68" i="58"/>
  <c r="L68" i="58"/>
  <c r="K68" i="58"/>
  <c r="M67" i="58"/>
  <c r="L67" i="58"/>
  <c r="K67" i="58"/>
  <c r="M66" i="58"/>
  <c r="L66" i="58"/>
  <c r="K66" i="58"/>
  <c r="M65" i="58"/>
  <c r="L65" i="58"/>
  <c r="K65" i="58"/>
  <c r="M64" i="58"/>
  <c r="L64" i="58"/>
  <c r="K64" i="58"/>
  <c r="M63" i="58"/>
  <c r="L63" i="58"/>
  <c r="K63" i="58"/>
  <c r="M62" i="58"/>
  <c r="L62" i="58"/>
  <c r="K62" i="58"/>
  <c r="M61" i="58"/>
  <c r="L61" i="58"/>
  <c r="K61" i="58"/>
  <c r="M60" i="58"/>
  <c r="L60" i="58"/>
  <c r="K60" i="58"/>
  <c r="M59" i="58"/>
  <c r="L59" i="58"/>
  <c r="K59" i="58"/>
  <c r="M58" i="58"/>
  <c r="L58" i="58"/>
  <c r="K58" i="58"/>
  <c r="M57" i="58"/>
  <c r="L57" i="58"/>
  <c r="K57" i="58"/>
  <c r="M56" i="58"/>
  <c r="L56" i="58"/>
  <c r="K56" i="58"/>
  <c r="M55" i="58"/>
  <c r="L55" i="58"/>
  <c r="K55" i="58"/>
  <c r="M54" i="58"/>
  <c r="L54" i="58"/>
  <c r="K54" i="58"/>
  <c r="M53" i="58"/>
  <c r="L53" i="58"/>
  <c r="K53" i="58"/>
  <c r="M52" i="58"/>
  <c r="L52" i="58"/>
  <c r="K52" i="58"/>
  <c r="M51" i="58"/>
  <c r="L51" i="58"/>
  <c r="E25" i="58" s="1"/>
  <c r="K51" i="58"/>
  <c r="M50" i="58"/>
  <c r="L50" i="58"/>
  <c r="K50" i="58"/>
  <c r="M49" i="58"/>
  <c r="L49" i="58"/>
  <c r="K49" i="58"/>
  <c r="M48" i="58"/>
  <c r="L48" i="58"/>
  <c r="K48" i="58"/>
  <c r="M47" i="58"/>
  <c r="L47" i="58"/>
  <c r="K47" i="58"/>
  <c r="M46" i="58"/>
  <c r="L46" i="58"/>
  <c r="K46" i="58"/>
  <c r="M45" i="58"/>
  <c r="L45" i="58"/>
  <c r="K45" i="58"/>
  <c r="M44" i="58"/>
  <c r="L44" i="58"/>
  <c r="K44" i="58"/>
  <c r="M43" i="58"/>
  <c r="L43" i="58"/>
  <c r="K43" i="58"/>
  <c r="M42" i="58"/>
  <c r="L42" i="58"/>
  <c r="K42" i="58"/>
  <c r="M41" i="58"/>
  <c r="L41" i="58"/>
  <c r="K41" i="58"/>
  <c r="M40" i="58"/>
  <c r="L40" i="58"/>
  <c r="K40" i="58"/>
  <c r="C40" i="58"/>
  <c r="M39" i="58"/>
  <c r="L39" i="58"/>
  <c r="K39" i="58"/>
  <c r="C39" i="58"/>
  <c r="M38" i="58"/>
  <c r="L38" i="58"/>
  <c r="K38" i="58"/>
  <c r="C38" i="58"/>
  <c r="M37" i="58"/>
  <c r="L37" i="58"/>
  <c r="K37" i="58"/>
  <c r="C37" i="58"/>
  <c r="M36" i="58"/>
  <c r="L36" i="58"/>
  <c r="K36" i="58"/>
  <c r="C36" i="58"/>
  <c r="M35" i="58"/>
  <c r="L35" i="58"/>
  <c r="K35" i="58"/>
  <c r="C35" i="58"/>
  <c r="M34" i="58"/>
  <c r="L34" i="58"/>
  <c r="K34" i="58"/>
  <c r="C34" i="58"/>
  <c r="M33" i="58"/>
  <c r="L33" i="58"/>
  <c r="K33" i="58"/>
  <c r="C33" i="58"/>
  <c r="M32" i="58"/>
  <c r="L32" i="58"/>
  <c r="K32" i="58"/>
  <c r="C32" i="58"/>
  <c r="M31" i="58"/>
  <c r="L31" i="58"/>
  <c r="K31" i="58"/>
  <c r="C31" i="58"/>
  <c r="M30" i="58"/>
  <c r="L30" i="58"/>
  <c r="K30" i="58"/>
  <c r="C30" i="58"/>
  <c r="M29" i="58"/>
  <c r="L29" i="58"/>
  <c r="K29" i="58"/>
  <c r="C29" i="58"/>
  <c r="M28" i="58"/>
  <c r="L28" i="58"/>
  <c r="K28" i="58"/>
  <c r="C28" i="58"/>
  <c r="M27" i="58"/>
  <c r="L27" i="58"/>
  <c r="K27" i="58"/>
  <c r="C27" i="58"/>
  <c r="M26" i="58"/>
  <c r="L26" i="58"/>
  <c r="K26" i="58"/>
  <c r="C26" i="58"/>
  <c r="M25" i="58"/>
  <c r="L25" i="58"/>
  <c r="K25" i="58"/>
  <c r="C25" i="58"/>
  <c r="M24" i="58"/>
  <c r="L24" i="58"/>
  <c r="K24" i="58"/>
  <c r="C24" i="58"/>
  <c r="M23" i="58"/>
  <c r="L23" i="58"/>
  <c r="K23" i="58"/>
  <c r="C23" i="58"/>
  <c r="M22" i="58"/>
  <c r="L22" i="58"/>
  <c r="K22" i="58"/>
  <c r="C22" i="58"/>
  <c r="M21" i="58"/>
  <c r="L21" i="58"/>
  <c r="K21" i="58"/>
  <c r="C21" i="58"/>
  <c r="M20" i="58"/>
  <c r="L20" i="58"/>
  <c r="K20" i="58"/>
  <c r="C20" i="58"/>
  <c r="M19" i="58"/>
  <c r="L19" i="58"/>
  <c r="K19" i="58"/>
  <c r="C19" i="58"/>
  <c r="M18" i="58"/>
  <c r="L18" i="58"/>
  <c r="K18" i="58"/>
  <c r="C18" i="58"/>
  <c r="M17" i="58"/>
  <c r="L17" i="58"/>
  <c r="F17" i="58"/>
  <c r="E17" i="58"/>
  <c r="D2" i="58"/>
  <c r="C42" i="58" s="1"/>
  <c r="K382" i="59"/>
  <c r="K381" i="59"/>
  <c r="K380" i="59"/>
  <c r="K379" i="59"/>
  <c r="K378" i="59"/>
  <c r="K377" i="59"/>
  <c r="K376" i="59"/>
  <c r="K375" i="59"/>
  <c r="K374" i="59"/>
  <c r="K373" i="59"/>
  <c r="K372" i="59"/>
  <c r="K371" i="59"/>
  <c r="K370" i="59"/>
  <c r="K369" i="59"/>
  <c r="K368" i="59"/>
  <c r="K367" i="59"/>
  <c r="K366" i="59"/>
  <c r="K365" i="59"/>
  <c r="K364" i="59"/>
  <c r="K363" i="59"/>
  <c r="K362" i="59"/>
  <c r="K361" i="59"/>
  <c r="K360" i="59"/>
  <c r="K359" i="59"/>
  <c r="K358" i="59"/>
  <c r="K357" i="59"/>
  <c r="K356" i="59"/>
  <c r="K355" i="59"/>
  <c r="K354" i="59"/>
  <c r="K353" i="59"/>
  <c r="K352" i="59"/>
  <c r="K351" i="59"/>
  <c r="K350" i="59"/>
  <c r="K349" i="59"/>
  <c r="K348" i="59"/>
  <c r="K347" i="59"/>
  <c r="K346" i="59"/>
  <c r="K345" i="59"/>
  <c r="K344" i="59"/>
  <c r="K343" i="59"/>
  <c r="K342" i="59"/>
  <c r="K341" i="59"/>
  <c r="K340" i="59"/>
  <c r="K339" i="59"/>
  <c r="K338" i="59"/>
  <c r="K337" i="59"/>
  <c r="K336" i="59"/>
  <c r="K335" i="59"/>
  <c r="K334" i="59"/>
  <c r="K333" i="59"/>
  <c r="K332" i="59"/>
  <c r="K331" i="59"/>
  <c r="K330" i="59"/>
  <c r="K329" i="59"/>
  <c r="K328" i="59"/>
  <c r="K327" i="59"/>
  <c r="K326" i="59"/>
  <c r="K325" i="59"/>
  <c r="K324" i="59"/>
  <c r="K323" i="59"/>
  <c r="K322" i="59"/>
  <c r="K321" i="59"/>
  <c r="K320" i="59"/>
  <c r="K319" i="59"/>
  <c r="K318" i="59"/>
  <c r="K317" i="59"/>
  <c r="K316" i="59"/>
  <c r="K315" i="59"/>
  <c r="K314" i="59"/>
  <c r="K313" i="59"/>
  <c r="K312" i="59"/>
  <c r="K311" i="59"/>
  <c r="K310" i="59"/>
  <c r="K309" i="59"/>
  <c r="K308" i="59"/>
  <c r="K307" i="59"/>
  <c r="K306" i="59"/>
  <c r="K305" i="59"/>
  <c r="K304" i="59"/>
  <c r="K303" i="59"/>
  <c r="K302" i="59"/>
  <c r="K301" i="59"/>
  <c r="K300" i="59"/>
  <c r="K299" i="59"/>
  <c r="K298" i="59"/>
  <c r="K297" i="59"/>
  <c r="K296" i="59"/>
  <c r="K295" i="59"/>
  <c r="K294" i="59"/>
  <c r="K293" i="59"/>
  <c r="K292" i="59"/>
  <c r="K291" i="59"/>
  <c r="K290" i="59"/>
  <c r="K289" i="59"/>
  <c r="K288" i="59"/>
  <c r="K287" i="59"/>
  <c r="K286" i="59"/>
  <c r="K285" i="59"/>
  <c r="K284" i="59"/>
  <c r="K283" i="59"/>
  <c r="K282" i="59"/>
  <c r="K281" i="59"/>
  <c r="K280" i="59"/>
  <c r="K279" i="59"/>
  <c r="K278" i="59"/>
  <c r="K277" i="59"/>
  <c r="K276" i="59"/>
  <c r="K275" i="59"/>
  <c r="K274" i="59"/>
  <c r="K273" i="59"/>
  <c r="K272" i="59"/>
  <c r="K271" i="59"/>
  <c r="K270" i="59"/>
  <c r="K269" i="59"/>
  <c r="K268" i="59"/>
  <c r="K267" i="59"/>
  <c r="K266" i="59"/>
  <c r="K265" i="59"/>
  <c r="K264" i="59"/>
  <c r="K263" i="59"/>
  <c r="K262" i="59"/>
  <c r="K261" i="59"/>
  <c r="K260" i="59"/>
  <c r="K259" i="59"/>
  <c r="K258" i="59"/>
  <c r="K257" i="59"/>
  <c r="K256" i="59"/>
  <c r="K255" i="59"/>
  <c r="K254" i="59"/>
  <c r="K253" i="59"/>
  <c r="K252" i="59"/>
  <c r="K251" i="59"/>
  <c r="K250" i="59"/>
  <c r="K249" i="59"/>
  <c r="K248" i="59"/>
  <c r="K247" i="59"/>
  <c r="K246" i="59"/>
  <c r="K245" i="59"/>
  <c r="K244" i="59"/>
  <c r="K243" i="59"/>
  <c r="K242" i="59"/>
  <c r="K241" i="59"/>
  <c r="K240" i="59"/>
  <c r="K239" i="59"/>
  <c r="K238" i="59"/>
  <c r="K237" i="59"/>
  <c r="K236" i="59"/>
  <c r="K235" i="59"/>
  <c r="K234" i="59"/>
  <c r="K233" i="59"/>
  <c r="K232" i="59"/>
  <c r="K231" i="59"/>
  <c r="K230" i="59"/>
  <c r="K229" i="59"/>
  <c r="K228" i="59"/>
  <c r="K227" i="59"/>
  <c r="K226" i="59"/>
  <c r="K225" i="59"/>
  <c r="K224" i="59"/>
  <c r="K223" i="59"/>
  <c r="K222" i="59"/>
  <c r="K221" i="59"/>
  <c r="K220" i="59"/>
  <c r="K219" i="59"/>
  <c r="K218" i="59"/>
  <c r="K217" i="59"/>
  <c r="K216" i="59"/>
  <c r="K215" i="59"/>
  <c r="K214" i="59"/>
  <c r="K213" i="59"/>
  <c r="K212" i="59"/>
  <c r="K211" i="59"/>
  <c r="K210" i="59"/>
  <c r="K209" i="59"/>
  <c r="K208" i="59"/>
  <c r="K207" i="59"/>
  <c r="K206" i="59"/>
  <c r="K205" i="59"/>
  <c r="K204" i="59"/>
  <c r="K203" i="59"/>
  <c r="K202" i="59"/>
  <c r="K201" i="59"/>
  <c r="K200" i="59"/>
  <c r="K199" i="59"/>
  <c r="K198" i="59"/>
  <c r="K197" i="59"/>
  <c r="K196" i="59"/>
  <c r="K195" i="59"/>
  <c r="K194" i="59"/>
  <c r="K193" i="59"/>
  <c r="K192" i="59"/>
  <c r="K191" i="59"/>
  <c r="K190" i="59"/>
  <c r="K189" i="59"/>
  <c r="K188" i="59"/>
  <c r="K187" i="59"/>
  <c r="K186" i="59"/>
  <c r="K185" i="59"/>
  <c r="K184" i="59"/>
  <c r="K183" i="59"/>
  <c r="K182" i="59"/>
  <c r="K181" i="59"/>
  <c r="K180" i="59"/>
  <c r="K179" i="59"/>
  <c r="K178" i="59"/>
  <c r="K177" i="59"/>
  <c r="K176" i="59"/>
  <c r="K175" i="59"/>
  <c r="K174" i="59"/>
  <c r="K173" i="59"/>
  <c r="K172" i="59"/>
  <c r="K171" i="59"/>
  <c r="K170" i="59"/>
  <c r="K169" i="59"/>
  <c r="K168" i="59"/>
  <c r="K167" i="59"/>
  <c r="K166" i="59"/>
  <c r="K165" i="59"/>
  <c r="K164" i="59"/>
  <c r="K163" i="59"/>
  <c r="K162" i="59"/>
  <c r="K161" i="59"/>
  <c r="K160" i="59"/>
  <c r="K159" i="59"/>
  <c r="K158" i="59"/>
  <c r="K157" i="59"/>
  <c r="K156" i="59"/>
  <c r="K155" i="59"/>
  <c r="K154" i="59"/>
  <c r="K153" i="59"/>
  <c r="K152" i="59"/>
  <c r="K151" i="59"/>
  <c r="K150" i="59"/>
  <c r="K149" i="59"/>
  <c r="K148" i="59"/>
  <c r="K147" i="59"/>
  <c r="K146" i="59"/>
  <c r="K145" i="59"/>
  <c r="K144" i="59"/>
  <c r="K143" i="59"/>
  <c r="K142" i="59"/>
  <c r="K141" i="59"/>
  <c r="K140" i="59"/>
  <c r="K139" i="59"/>
  <c r="K138" i="59"/>
  <c r="K137" i="59"/>
  <c r="K136" i="59"/>
  <c r="K135" i="59"/>
  <c r="K134" i="59"/>
  <c r="K133" i="59"/>
  <c r="K132" i="59"/>
  <c r="K131" i="59"/>
  <c r="K130" i="59"/>
  <c r="K129" i="59"/>
  <c r="K128" i="59"/>
  <c r="K127" i="59"/>
  <c r="K126" i="59"/>
  <c r="K125" i="59"/>
  <c r="K124" i="59"/>
  <c r="K123" i="59"/>
  <c r="K122" i="59"/>
  <c r="K121" i="59"/>
  <c r="K120" i="59"/>
  <c r="K119" i="59"/>
  <c r="K118" i="59"/>
  <c r="K117" i="59"/>
  <c r="K116" i="59"/>
  <c r="K115" i="59"/>
  <c r="K114" i="59"/>
  <c r="K113" i="59"/>
  <c r="K112" i="59"/>
  <c r="K111" i="59"/>
  <c r="K110" i="59"/>
  <c r="K109" i="59"/>
  <c r="K108" i="59"/>
  <c r="K107" i="59"/>
  <c r="K106" i="59"/>
  <c r="K105" i="59"/>
  <c r="K104" i="59"/>
  <c r="K103" i="59"/>
  <c r="K102" i="59"/>
  <c r="K101" i="59"/>
  <c r="K100" i="59"/>
  <c r="K99" i="59"/>
  <c r="K98" i="59"/>
  <c r="K97" i="59"/>
  <c r="K96" i="59"/>
  <c r="K95" i="59"/>
  <c r="K94" i="59"/>
  <c r="K93" i="59"/>
  <c r="K92" i="59"/>
  <c r="K91" i="59"/>
  <c r="K90" i="59"/>
  <c r="K89" i="59"/>
  <c r="K88" i="59"/>
  <c r="K87" i="59"/>
  <c r="K86" i="59"/>
  <c r="K85" i="59"/>
  <c r="K84" i="59"/>
  <c r="K83" i="59"/>
  <c r="K82" i="59"/>
  <c r="K81" i="59"/>
  <c r="K80" i="59"/>
  <c r="K79" i="59"/>
  <c r="K78" i="59"/>
  <c r="K77" i="59"/>
  <c r="K76" i="59"/>
  <c r="K75" i="59"/>
  <c r="K74" i="59"/>
  <c r="K73" i="59"/>
  <c r="K72" i="59"/>
  <c r="K71" i="59"/>
  <c r="K70" i="59"/>
  <c r="K69" i="59"/>
  <c r="K68" i="59"/>
  <c r="K67" i="59"/>
  <c r="K66" i="59"/>
  <c r="K65" i="59"/>
  <c r="K64" i="59"/>
  <c r="K63" i="59"/>
  <c r="K62" i="59"/>
  <c r="K61" i="59"/>
  <c r="K60" i="59"/>
  <c r="K59" i="59"/>
  <c r="K58" i="59"/>
  <c r="K57" i="59"/>
  <c r="K56" i="59"/>
  <c r="K55" i="59"/>
  <c r="K54" i="59"/>
  <c r="K53" i="59"/>
  <c r="K52" i="59"/>
  <c r="K51" i="59"/>
  <c r="K50" i="59"/>
  <c r="K49" i="59"/>
  <c r="K48" i="59"/>
  <c r="K47" i="59"/>
  <c r="K46" i="59"/>
  <c r="K45" i="59"/>
  <c r="K44" i="59"/>
  <c r="K43" i="59"/>
  <c r="K42" i="59"/>
  <c r="C42" i="59"/>
  <c r="K41" i="59"/>
  <c r="K40" i="59"/>
  <c r="F40" i="59"/>
  <c r="D40" i="59"/>
  <c r="K39" i="59"/>
  <c r="F39" i="59"/>
  <c r="D39" i="59"/>
  <c r="K38" i="59"/>
  <c r="F38" i="59"/>
  <c r="D38" i="59"/>
  <c r="K37" i="59"/>
  <c r="F37" i="59"/>
  <c r="D37" i="59"/>
  <c r="K36" i="59"/>
  <c r="F36" i="59"/>
  <c r="D36" i="59"/>
  <c r="K35" i="59"/>
  <c r="F35" i="59"/>
  <c r="D35" i="59"/>
  <c r="K34" i="59"/>
  <c r="F34" i="59"/>
  <c r="D34" i="59"/>
  <c r="K33" i="59"/>
  <c r="F33" i="59"/>
  <c r="D33" i="59"/>
  <c r="K32" i="59"/>
  <c r="F32" i="59"/>
  <c r="D32" i="59"/>
  <c r="K31" i="59"/>
  <c r="F31" i="59"/>
  <c r="D31" i="59"/>
  <c r="K30" i="59"/>
  <c r="F30" i="59"/>
  <c r="D30" i="59"/>
  <c r="K29" i="59"/>
  <c r="F29" i="59"/>
  <c r="D29" i="59"/>
  <c r="K28" i="59"/>
  <c r="F28" i="59"/>
  <c r="D28" i="59"/>
  <c r="K27" i="59"/>
  <c r="F27" i="59"/>
  <c r="D27" i="59"/>
  <c r="K26" i="59"/>
  <c r="F26" i="59"/>
  <c r="D26" i="59"/>
  <c r="K25" i="59"/>
  <c r="F25" i="59"/>
  <c r="D25" i="59"/>
  <c r="K24" i="59"/>
  <c r="F24" i="59"/>
  <c r="D24" i="59"/>
  <c r="K23" i="59"/>
  <c r="F23" i="59"/>
  <c r="D23" i="59"/>
  <c r="K22" i="59"/>
  <c r="F22" i="59"/>
  <c r="D22" i="59"/>
  <c r="K21" i="59"/>
  <c r="F21" i="59"/>
  <c r="D21" i="59"/>
  <c r="K20" i="59"/>
  <c r="F20" i="59"/>
  <c r="D20" i="59"/>
  <c r="K19" i="59"/>
  <c r="F19" i="59"/>
  <c r="D19" i="59"/>
  <c r="K18" i="59"/>
  <c r="F18" i="59"/>
  <c r="D18" i="59"/>
  <c r="L17" i="59"/>
  <c r="F17" i="59"/>
  <c r="D2" i="59"/>
  <c r="K382" i="60"/>
  <c r="K381" i="60"/>
  <c r="K380" i="60"/>
  <c r="K379" i="60"/>
  <c r="K378" i="60"/>
  <c r="K377" i="60"/>
  <c r="K376" i="60"/>
  <c r="K375" i="60"/>
  <c r="K374" i="60"/>
  <c r="K373" i="60"/>
  <c r="K372" i="60"/>
  <c r="K371" i="60"/>
  <c r="K370" i="60"/>
  <c r="K369" i="60"/>
  <c r="K368" i="60"/>
  <c r="K367" i="60"/>
  <c r="K366" i="60"/>
  <c r="K365" i="60"/>
  <c r="K364" i="60"/>
  <c r="K363" i="60"/>
  <c r="K362" i="60"/>
  <c r="K361" i="60"/>
  <c r="K360" i="60"/>
  <c r="K359" i="60"/>
  <c r="K358" i="60"/>
  <c r="K357" i="60"/>
  <c r="K356" i="60"/>
  <c r="K355" i="60"/>
  <c r="K354" i="60"/>
  <c r="K353" i="60"/>
  <c r="K352" i="60"/>
  <c r="K351" i="60"/>
  <c r="K350" i="60"/>
  <c r="K349" i="60"/>
  <c r="K348" i="60"/>
  <c r="K347" i="60"/>
  <c r="K346" i="60"/>
  <c r="K345" i="60"/>
  <c r="K344" i="60"/>
  <c r="K343" i="60"/>
  <c r="K342" i="60"/>
  <c r="K341" i="60"/>
  <c r="K340" i="60"/>
  <c r="K339" i="60"/>
  <c r="K338" i="60"/>
  <c r="K337" i="60"/>
  <c r="K336" i="60"/>
  <c r="K335" i="60"/>
  <c r="K334" i="60"/>
  <c r="K333" i="60"/>
  <c r="K332" i="60"/>
  <c r="K331" i="60"/>
  <c r="K330" i="60"/>
  <c r="K329" i="60"/>
  <c r="K328" i="60"/>
  <c r="K327" i="60"/>
  <c r="K326" i="60"/>
  <c r="K325" i="60"/>
  <c r="K324" i="60"/>
  <c r="K323" i="60"/>
  <c r="K322" i="60"/>
  <c r="K321" i="60"/>
  <c r="K320" i="60"/>
  <c r="K319" i="60"/>
  <c r="K318" i="60"/>
  <c r="K317" i="60"/>
  <c r="K316" i="60"/>
  <c r="K315" i="60"/>
  <c r="K314" i="60"/>
  <c r="K313" i="60"/>
  <c r="K312" i="60"/>
  <c r="K311" i="60"/>
  <c r="K310" i="60"/>
  <c r="K309" i="60"/>
  <c r="K308" i="60"/>
  <c r="K307" i="60"/>
  <c r="K306" i="60"/>
  <c r="K305" i="60"/>
  <c r="K304" i="60"/>
  <c r="K303" i="60"/>
  <c r="K302" i="60"/>
  <c r="K301" i="60"/>
  <c r="K300" i="60"/>
  <c r="K299" i="60"/>
  <c r="K298" i="60"/>
  <c r="K297" i="60"/>
  <c r="K296" i="60"/>
  <c r="K295" i="60"/>
  <c r="K294" i="60"/>
  <c r="K293" i="60"/>
  <c r="K292" i="60"/>
  <c r="K291" i="60"/>
  <c r="K290" i="60"/>
  <c r="K289" i="60"/>
  <c r="K288" i="60"/>
  <c r="K287" i="60"/>
  <c r="K286" i="60"/>
  <c r="K285" i="60"/>
  <c r="K284" i="60"/>
  <c r="K283" i="60"/>
  <c r="K282" i="60"/>
  <c r="K281" i="60"/>
  <c r="K280" i="60"/>
  <c r="K279" i="60"/>
  <c r="K278" i="60"/>
  <c r="K277" i="60"/>
  <c r="K276" i="60"/>
  <c r="K275" i="60"/>
  <c r="K274" i="60"/>
  <c r="K273" i="60"/>
  <c r="K272" i="60"/>
  <c r="K271" i="60"/>
  <c r="K270" i="60"/>
  <c r="K269" i="60"/>
  <c r="K268" i="60"/>
  <c r="K267" i="60"/>
  <c r="K266" i="60"/>
  <c r="K265" i="60"/>
  <c r="K264" i="60"/>
  <c r="K263" i="60"/>
  <c r="K262" i="60"/>
  <c r="K261" i="60"/>
  <c r="K260" i="60"/>
  <c r="K259" i="60"/>
  <c r="K258" i="60"/>
  <c r="K257" i="60"/>
  <c r="K256" i="60"/>
  <c r="K255" i="60"/>
  <c r="K254" i="60"/>
  <c r="K253" i="60"/>
  <c r="K252" i="60"/>
  <c r="K251" i="60"/>
  <c r="K250" i="60"/>
  <c r="K249" i="60"/>
  <c r="K248" i="60"/>
  <c r="K247" i="60"/>
  <c r="K246" i="60"/>
  <c r="K245" i="60"/>
  <c r="K244" i="60"/>
  <c r="K243" i="60"/>
  <c r="K242" i="60"/>
  <c r="K241" i="60"/>
  <c r="K240" i="60"/>
  <c r="K239" i="60"/>
  <c r="K238" i="60"/>
  <c r="K237" i="60"/>
  <c r="K236" i="60"/>
  <c r="K235" i="60"/>
  <c r="K234" i="60"/>
  <c r="K233" i="60"/>
  <c r="K232" i="60"/>
  <c r="K231" i="60"/>
  <c r="K230" i="60"/>
  <c r="K229" i="60"/>
  <c r="K228" i="60"/>
  <c r="K227" i="60"/>
  <c r="K226" i="60"/>
  <c r="K225" i="60"/>
  <c r="K224" i="60"/>
  <c r="K223" i="60"/>
  <c r="K222" i="60"/>
  <c r="K221" i="60"/>
  <c r="K220" i="60"/>
  <c r="K219" i="60"/>
  <c r="K218" i="60"/>
  <c r="K217" i="60"/>
  <c r="K216" i="60"/>
  <c r="K215" i="60"/>
  <c r="K214" i="60"/>
  <c r="K213" i="60"/>
  <c r="K212" i="60"/>
  <c r="K211" i="60"/>
  <c r="K210" i="60"/>
  <c r="K209" i="60"/>
  <c r="K208" i="60"/>
  <c r="K207" i="60"/>
  <c r="K206" i="60"/>
  <c r="K205" i="60"/>
  <c r="K204" i="60"/>
  <c r="K203" i="60"/>
  <c r="K202" i="60"/>
  <c r="K201" i="60"/>
  <c r="K200" i="60"/>
  <c r="K199" i="60"/>
  <c r="K198" i="60"/>
  <c r="K197" i="60"/>
  <c r="K196" i="60"/>
  <c r="K195" i="60"/>
  <c r="K194" i="60"/>
  <c r="K193" i="60"/>
  <c r="K192" i="60"/>
  <c r="K191" i="60"/>
  <c r="K190" i="60"/>
  <c r="K189" i="60"/>
  <c r="K188" i="60"/>
  <c r="K187" i="60"/>
  <c r="K186" i="60"/>
  <c r="K185" i="60"/>
  <c r="K184" i="60"/>
  <c r="K183" i="60"/>
  <c r="K182" i="60"/>
  <c r="K181" i="60"/>
  <c r="K180" i="60"/>
  <c r="K179" i="60"/>
  <c r="K178" i="60"/>
  <c r="K177" i="60"/>
  <c r="K176" i="60"/>
  <c r="K175" i="60"/>
  <c r="K174" i="60"/>
  <c r="K173" i="60"/>
  <c r="K172" i="60"/>
  <c r="K171" i="60"/>
  <c r="K170" i="60"/>
  <c r="K169" i="60"/>
  <c r="K168" i="60"/>
  <c r="K167" i="60"/>
  <c r="K166" i="60"/>
  <c r="K165" i="60"/>
  <c r="K164" i="60"/>
  <c r="K163" i="60"/>
  <c r="K162" i="60"/>
  <c r="K161" i="60"/>
  <c r="K160" i="60"/>
  <c r="K159" i="60"/>
  <c r="K158" i="60"/>
  <c r="K157" i="60"/>
  <c r="K156" i="60"/>
  <c r="K155" i="60"/>
  <c r="K154" i="60"/>
  <c r="K153" i="60"/>
  <c r="K152" i="60"/>
  <c r="K151" i="60"/>
  <c r="K150" i="60"/>
  <c r="K149" i="60"/>
  <c r="K148" i="60"/>
  <c r="K147" i="60"/>
  <c r="K146" i="60"/>
  <c r="K145" i="60"/>
  <c r="K144" i="60"/>
  <c r="K143" i="60"/>
  <c r="K142" i="60"/>
  <c r="K141" i="60"/>
  <c r="K140" i="60"/>
  <c r="K139" i="60"/>
  <c r="K138" i="60"/>
  <c r="K137" i="60"/>
  <c r="K136" i="60"/>
  <c r="K135" i="60"/>
  <c r="K134" i="60"/>
  <c r="K133" i="60"/>
  <c r="K132" i="60"/>
  <c r="K131" i="60"/>
  <c r="K130" i="60"/>
  <c r="K129" i="60"/>
  <c r="K128" i="60"/>
  <c r="K127" i="60"/>
  <c r="K126" i="60"/>
  <c r="K125" i="60"/>
  <c r="K124" i="60"/>
  <c r="K123" i="60"/>
  <c r="K122" i="60"/>
  <c r="K121" i="60"/>
  <c r="K120" i="60"/>
  <c r="K119" i="60"/>
  <c r="K118" i="60"/>
  <c r="K117" i="60"/>
  <c r="K116" i="60"/>
  <c r="K115" i="60"/>
  <c r="K114" i="60"/>
  <c r="K113" i="60"/>
  <c r="K112" i="60"/>
  <c r="K111" i="60"/>
  <c r="K110" i="60"/>
  <c r="K109" i="60"/>
  <c r="K108" i="60"/>
  <c r="K107" i="60"/>
  <c r="K106" i="60"/>
  <c r="K105" i="60"/>
  <c r="K104" i="60"/>
  <c r="K103" i="60"/>
  <c r="K102" i="60"/>
  <c r="K101" i="60"/>
  <c r="K100" i="60"/>
  <c r="K99" i="60"/>
  <c r="K98" i="60"/>
  <c r="K97" i="60"/>
  <c r="K96" i="60"/>
  <c r="K95" i="60"/>
  <c r="K94" i="60"/>
  <c r="K93" i="60"/>
  <c r="K92" i="60"/>
  <c r="K91" i="60"/>
  <c r="K90" i="60"/>
  <c r="K89" i="60"/>
  <c r="K88" i="60"/>
  <c r="K87" i="60"/>
  <c r="K86" i="60"/>
  <c r="K85" i="60"/>
  <c r="K84" i="60"/>
  <c r="K83" i="60"/>
  <c r="K82" i="60"/>
  <c r="K81" i="60"/>
  <c r="K80" i="60"/>
  <c r="K79" i="60"/>
  <c r="K78" i="60"/>
  <c r="K77" i="60"/>
  <c r="K76" i="60"/>
  <c r="K75" i="60"/>
  <c r="K74" i="60"/>
  <c r="K73" i="60"/>
  <c r="K72" i="60"/>
  <c r="K71" i="60"/>
  <c r="K70" i="60"/>
  <c r="K69" i="60"/>
  <c r="K68" i="60"/>
  <c r="K67" i="60"/>
  <c r="K66" i="60"/>
  <c r="K65" i="60"/>
  <c r="K64" i="60"/>
  <c r="K63" i="60"/>
  <c r="K62" i="60"/>
  <c r="K61" i="60"/>
  <c r="K60" i="60"/>
  <c r="K59" i="60"/>
  <c r="K58" i="60"/>
  <c r="K57" i="60"/>
  <c r="K56" i="60"/>
  <c r="K55" i="60"/>
  <c r="K54" i="60"/>
  <c r="K53" i="60"/>
  <c r="K52" i="60"/>
  <c r="K51" i="60"/>
  <c r="K50" i="60"/>
  <c r="K49" i="60"/>
  <c r="K48" i="60"/>
  <c r="K47" i="60"/>
  <c r="K46" i="60"/>
  <c r="K45" i="60"/>
  <c r="K44" i="60"/>
  <c r="K43" i="60"/>
  <c r="K42" i="60"/>
  <c r="K41" i="60"/>
  <c r="K40" i="60"/>
  <c r="F40" i="60"/>
  <c r="D40" i="60"/>
  <c r="K39" i="60"/>
  <c r="F39" i="60"/>
  <c r="D39" i="60"/>
  <c r="K38" i="60"/>
  <c r="F38" i="60"/>
  <c r="D38" i="60"/>
  <c r="K37" i="60"/>
  <c r="F37" i="60"/>
  <c r="D37" i="60"/>
  <c r="K36" i="60"/>
  <c r="F36" i="60"/>
  <c r="D36" i="60"/>
  <c r="K35" i="60"/>
  <c r="F35" i="60"/>
  <c r="D35" i="60"/>
  <c r="K34" i="60"/>
  <c r="F34" i="60"/>
  <c r="D34" i="60"/>
  <c r="K33" i="60"/>
  <c r="F33" i="60"/>
  <c r="D33" i="60"/>
  <c r="K32" i="60"/>
  <c r="F32" i="60"/>
  <c r="D32" i="60"/>
  <c r="K31" i="60"/>
  <c r="F31" i="60"/>
  <c r="D31" i="60"/>
  <c r="K30" i="60"/>
  <c r="F30" i="60"/>
  <c r="D30" i="60"/>
  <c r="K29" i="60"/>
  <c r="F29" i="60"/>
  <c r="D29" i="60"/>
  <c r="K28" i="60"/>
  <c r="F28" i="60"/>
  <c r="D28" i="60"/>
  <c r="K27" i="60"/>
  <c r="F27" i="60"/>
  <c r="D27" i="60"/>
  <c r="K26" i="60"/>
  <c r="F26" i="60"/>
  <c r="D26" i="60"/>
  <c r="K25" i="60"/>
  <c r="F25" i="60"/>
  <c r="D25" i="60"/>
  <c r="K24" i="60"/>
  <c r="F24" i="60"/>
  <c r="D24" i="60"/>
  <c r="K23" i="60"/>
  <c r="F23" i="60"/>
  <c r="D23" i="60"/>
  <c r="K22" i="60"/>
  <c r="F22" i="60"/>
  <c r="D22" i="60"/>
  <c r="K21" i="60"/>
  <c r="F21" i="60"/>
  <c r="D21" i="60"/>
  <c r="K20" i="60"/>
  <c r="F20" i="60"/>
  <c r="D20" i="60"/>
  <c r="K19" i="60"/>
  <c r="F19" i="60"/>
  <c r="D19" i="60"/>
  <c r="K18" i="60"/>
  <c r="F18" i="60"/>
  <c r="D18" i="60"/>
  <c r="L17" i="60"/>
  <c r="F17" i="60"/>
  <c r="D2" i="60"/>
  <c r="C42" i="60" s="1"/>
  <c r="G85" i="51"/>
  <c r="F85" i="51"/>
  <c r="H50" i="51"/>
  <c r="C50" i="51"/>
  <c r="AI48" i="51"/>
  <c r="AG48" i="51"/>
  <c r="AF48" i="51"/>
  <c r="AE48" i="51"/>
  <c r="AD48" i="51"/>
  <c r="AC48" i="51"/>
  <c r="AB48" i="51"/>
  <c r="AA48" i="51"/>
  <c r="Z48" i="51"/>
  <c r="Y48" i="51"/>
  <c r="X48" i="51"/>
  <c r="W48" i="51"/>
  <c r="V48" i="51"/>
  <c r="AI47" i="51"/>
  <c r="AG47" i="51"/>
  <c r="AF47" i="51"/>
  <c r="AE47" i="51"/>
  <c r="AD47" i="51"/>
  <c r="AC47" i="51"/>
  <c r="AB47" i="51"/>
  <c r="AA47" i="51"/>
  <c r="Z47" i="51"/>
  <c r="Y47" i="51"/>
  <c r="X47" i="51"/>
  <c r="W47" i="51"/>
  <c r="V47" i="51"/>
  <c r="S47" i="51"/>
  <c r="B47" i="51"/>
  <c r="AI46" i="51"/>
  <c r="AG46" i="51"/>
  <c r="AF46" i="51"/>
  <c r="AE46" i="51"/>
  <c r="AD46" i="51"/>
  <c r="AC46" i="51"/>
  <c r="AB46" i="51"/>
  <c r="AA46" i="51"/>
  <c r="Z46" i="51"/>
  <c r="Y46" i="51"/>
  <c r="X46" i="51"/>
  <c r="W46" i="51"/>
  <c r="V46" i="51"/>
  <c r="S46" i="51"/>
  <c r="B46" i="51"/>
  <c r="AI45" i="51"/>
  <c r="S45" i="51"/>
  <c r="O39" i="51"/>
  <c r="O37" i="51"/>
  <c r="O33" i="51"/>
  <c r="O31" i="51"/>
  <c r="O27" i="51"/>
  <c r="O26" i="51"/>
  <c r="D2" i="51"/>
  <c r="I50" i="53"/>
  <c r="C50" i="53"/>
  <c r="B47" i="53"/>
  <c r="B46" i="53"/>
  <c r="O39" i="53"/>
  <c r="O37" i="53"/>
  <c r="O33" i="53"/>
  <c r="O31" i="53"/>
  <c r="O27" i="53"/>
  <c r="O26" i="53"/>
  <c r="D2" i="53"/>
  <c r="X13" i="80"/>
  <c r="T13" i="80"/>
  <c r="S13" i="80"/>
  <c r="R13" i="80"/>
  <c r="M13" i="80"/>
  <c r="W12" i="80"/>
  <c r="V12" i="80"/>
  <c r="T12" i="80"/>
  <c r="X11" i="80"/>
  <c r="W11" i="80"/>
  <c r="V11" i="80"/>
  <c r="O11" i="80"/>
  <c r="M11" i="80"/>
  <c r="X7" i="80"/>
  <c r="W7" i="80"/>
  <c r="W13" i="80" s="1"/>
  <c r="V7" i="80"/>
  <c r="U7" i="80"/>
  <c r="T7" i="80"/>
  <c r="S7" i="80"/>
  <c r="R7" i="80"/>
  <c r="Q7" i="80"/>
  <c r="Q13" i="80" s="1"/>
  <c r="P7" i="80"/>
  <c r="P13" i="80" s="1"/>
  <c r="O7" i="80"/>
  <c r="N7" i="80"/>
  <c r="N13" i="80" s="1"/>
  <c r="M7" i="80"/>
  <c r="X6" i="80"/>
  <c r="W6" i="80"/>
  <c r="V6" i="80"/>
  <c r="U6" i="80"/>
  <c r="U12" i="80" s="1"/>
  <c r="T6" i="80"/>
  <c r="S6" i="80"/>
  <c r="S12" i="80" s="1"/>
  <c r="R6" i="80"/>
  <c r="R12" i="80" s="1"/>
  <c r="Q6" i="80"/>
  <c r="Q12" i="80" s="1"/>
  <c r="P6" i="80"/>
  <c r="P12" i="80" s="1"/>
  <c r="O6" i="80"/>
  <c r="N6" i="80"/>
  <c r="N12" i="80" s="1"/>
  <c r="M6" i="80"/>
  <c r="K6" i="80"/>
  <c r="X5" i="80"/>
  <c r="E27" i="25" s="1"/>
  <c r="G27" i="25" s="1"/>
  <c r="I27" i="25" s="1"/>
  <c r="J27" i="25" s="1"/>
  <c r="W5" i="80"/>
  <c r="E26" i="25" s="1"/>
  <c r="G26" i="25" s="1"/>
  <c r="I26" i="25" s="1"/>
  <c r="J26" i="25" s="1"/>
  <c r="V5" i="80"/>
  <c r="E25" i="25" s="1"/>
  <c r="G25" i="25" s="1"/>
  <c r="I25" i="25" s="1"/>
  <c r="J25" i="25" s="1"/>
  <c r="U5" i="80"/>
  <c r="T5" i="80"/>
  <c r="E23" i="25" s="1"/>
  <c r="S5" i="80"/>
  <c r="E22" i="25" s="1"/>
  <c r="G22" i="25" s="1"/>
  <c r="I22" i="25" s="1"/>
  <c r="J22" i="25" s="1"/>
  <c r="R5" i="80"/>
  <c r="E21" i="25" s="1"/>
  <c r="Q5" i="80"/>
  <c r="E20" i="25" s="1"/>
  <c r="P5" i="80"/>
  <c r="E19" i="25" s="1"/>
  <c r="O5" i="80"/>
  <c r="E18" i="25" s="1"/>
  <c r="N5" i="80"/>
  <c r="E17" i="25" s="1"/>
  <c r="G17" i="25" s="1"/>
  <c r="I17" i="25" s="1"/>
  <c r="J17" i="25" s="1"/>
  <c r="M5" i="80"/>
  <c r="E16" i="25" s="1"/>
  <c r="G16" i="25" s="1"/>
  <c r="X4" i="80"/>
  <c r="C27" i="25" s="1"/>
  <c r="W4" i="80"/>
  <c r="C26" i="25" s="1"/>
  <c r="V4" i="80"/>
  <c r="C25" i="25" s="1"/>
  <c r="U4" i="80"/>
  <c r="C24" i="25" s="1"/>
  <c r="T4" i="80"/>
  <c r="C23" i="25" s="1"/>
  <c r="S4" i="80"/>
  <c r="C22" i="25" s="1"/>
  <c r="R4" i="80"/>
  <c r="C21" i="25" s="1"/>
  <c r="Q4" i="80"/>
  <c r="C20" i="25" s="1"/>
  <c r="P4" i="80"/>
  <c r="C19" i="25" s="1"/>
  <c r="O4" i="80"/>
  <c r="C18" i="25" s="1"/>
  <c r="N4" i="80"/>
  <c r="C17" i="25" s="1"/>
  <c r="M4" i="80"/>
  <c r="C16" i="25" s="1"/>
  <c r="K4" i="80"/>
  <c r="X3" i="80"/>
  <c r="W3" i="80"/>
  <c r="V3" i="80"/>
  <c r="U3" i="80"/>
  <c r="U11" i="80" s="1"/>
  <c r="T3" i="80"/>
  <c r="T11" i="80" s="1"/>
  <c r="S3" i="80"/>
  <c r="S11" i="80" s="1"/>
  <c r="R3" i="80"/>
  <c r="R11" i="80" s="1"/>
  <c r="Q3" i="80"/>
  <c r="Q11" i="80" s="1"/>
  <c r="P3" i="80"/>
  <c r="P11" i="80" s="1"/>
  <c r="O3" i="80"/>
  <c r="N3" i="80"/>
  <c r="N11" i="80" s="1"/>
  <c r="M3" i="80"/>
  <c r="D2" i="80"/>
  <c r="D69" i="47"/>
  <c r="B66" i="47"/>
  <c r="D64" i="47"/>
  <c r="B64" i="47"/>
  <c r="C62" i="47"/>
  <c r="C61" i="47"/>
  <c r="B61" i="47"/>
  <c r="C59" i="47"/>
  <c r="C58" i="47"/>
  <c r="E57" i="47"/>
  <c r="C57" i="47"/>
  <c r="B57" i="47"/>
  <c r="B56" i="47"/>
  <c r="D55" i="47"/>
  <c r="C55" i="47"/>
  <c r="C54" i="47"/>
  <c r="B53" i="47"/>
  <c r="I52" i="47"/>
  <c r="C50" i="47"/>
  <c r="B50" i="47"/>
  <c r="H46" i="47"/>
  <c r="G46" i="47"/>
  <c r="F46" i="47"/>
  <c r="E46" i="47"/>
  <c r="E64" i="47" s="1"/>
  <c r="D46" i="47"/>
  <c r="C46" i="47"/>
  <c r="B46" i="47"/>
  <c r="E45" i="47"/>
  <c r="E63" i="47" s="1"/>
  <c r="D45" i="47"/>
  <c r="D63" i="47" s="1"/>
  <c r="C45" i="47"/>
  <c r="E44" i="47"/>
  <c r="E62" i="47" s="1"/>
  <c r="D44" i="47"/>
  <c r="D62" i="47" s="1"/>
  <c r="C44" i="47"/>
  <c r="E43" i="47"/>
  <c r="E61" i="47" s="1"/>
  <c r="D43" i="47"/>
  <c r="C43" i="47"/>
  <c r="E42" i="47"/>
  <c r="E60" i="47" s="1"/>
  <c r="D42" i="47"/>
  <c r="C42" i="47"/>
  <c r="E41" i="47"/>
  <c r="D41" i="47"/>
  <c r="C41" i="47"/>
  <c r="H40" i="47"/>
  <c r="E40" i="47"/>
  <c r="D40" i="47"/>
  <c r="C40" i="47"/>
  <c r="E39" i="47"/>
  <c r="D39" i="47"/>
  <c r="C39" i="47"/>
  <c r="B39" i="47"/>
  <c r="G38" i="47"/>
  <c r="E38" i="47"/>
  <c r="D38" i="47"/>
  <c r="D56" i="47" s="1"/>
  <c r="C38" i="47"/>
  <c r="C56" i="47" s="1"/>
  <c r="B38" i="47"/>
  <c r="G37" i="47"/>
  <c r="E37" i="47"/>
  <c r="E55" i="47" s="1"/>
  <c r="D37" i="47"/>
  <c r="C37" i="47"/>
  <c r="E36" i="47"/>
  <c r="D36" i="47"/>
  <c r="C36" i="47"/>
  <c r="F35" i="47"/>
  <c r="E35" i="47"/>
  <c r="E53" i="47" s="1"/>
  <c r="D35" i="47"/>
  <c r="D53" i="47" s="1"/>
  <c r="C35" i="47"/>
  <c r="B35" i="47"/>
  <c r="B32" i="47"/>
  <c r="E28" i="47"/>
  <c r="D28" i="47"/>
  <c r="C28" i="47"/>
  <c r="T18" i="47" s="1"/>
  <c r="B28" i="47"/>
  <c r="S18" i="47" s="1"/>
  <c r="E27" i="47"/>
  <c r="D27" i="47"/>
  <c r="C27" i="47"/>
  <c r="E26" i="47"/>
  <c r="D26" i="47"/>
  <c r="C26" i="47"/>
  <c r="T16" i="47" s="1"/>
  <c r="E25" i="47"/>
  <c r="D25" i="47"/>
  <c r="D61" i="47" s="1"/>
  <c r="C25" i="47"/>
  <c r="T15" i="47" s="1"/>
  <c r="E24" i="47"/>
  <c r="D24" i="47"/>
  <c r="D60" i="47" s="1"/>
  <c r="C24" i="47"/>
  <c r="C60" i="47" s="1"/>
  <c r="B24" i="47"/>
  <c r="S14" i="47" s="1"/>
  <c r="E23" i="47"/>
  <c r="E59" i="47" s="1"/>
  <c r="D23" i="47"/>
  <c r="C23" i="47"/>
  <c r="E22" i="47"/>
  <c r="D22" i="47"/>
  <c r="C22" i="47"/>
  <c r="E21" i="47"/>
  <c r="D21" i="47"/>
  <c r="D57" i="47" s="1"/>
  <c r="C21" i="47"/>
  <c r="B21" i="47"/>
  <c r="S11" i="47" s="1"/>
  <c r="G20" i="47"/>
  <c r="F20" i="47"/>
  <c r="E20" i="47"/>
  <c r="D20" i="47"/>
  <c r="C20" i="47"/>
  <c r="E19" i="47"/>
  <c r="D19" i="47"/>
  <c r="C19" i="47"/>
  <c r="E18" i="47"/>
  <c r="E54" i="47" s="1"/>
  <c r="D18" i="47"/>
  <c r="D54" i="47" s="1"/>
  <c r="C18" i="47"/>
  <c r="E17" i="47"/>
  <c r="D17" i="47"/>
  <c r="C17" i="47"/>
  <c r="T7" i="47" s="1"/>
  <c r="T14" i="47"/>
  <c r="B14" i="47"/>
  <c r="T13" i="47"/>
  <c r="T12" i="47"/>
  <c r="T11" i="47"/>
  <c r="T10" i="47"/>
  <c r="T9" i="47"/>
  <c r="T8" i="47"/>
  <c r="Y4" i="47"/>
  <c r="X4" i="47"/>
  <c r="W4" i="47"/>
  <c r="V4" i="47"/>
  <c r="U4" i="47"/>
  <c r="T4" i="47"/>
  <c r="M2" i="47"/>
  <c r="L2" i="47"/>
  <c r="D2" i="47"/>
  <c r="J39" i="37"/>
  <c r="K28" i="37"/>
  <c r="H28" i="37"/>
  <c r="G28" i="37"/>
  <c r="B28" i="37"/>
  <c r="F28" i="37" s="1"/>
  <c r="B27" i="37"/>
  <c r="K26" i="37"/>
  <c r="H26" i="37"/>
  <c r="H44" i="47" s="1"/>
  <c r="G26" i="37"/>
  <c r="G44" i="47" s="1"/>
  <c r="F26" i="37"/>
  <c r="F44" i="47" s="1"/>
  <c r="B26" i="37"/>
  <c r="S16" i="37" s="1"/>
  <c r="H25" i="37"/>
  <c r="H43" i="47" s="1"/>
  <c r="B25" i="37"/>
  <c r="K25" i="37" s="1"/>
  <c r="K24" i="37"/>
  <c r="H24" i="37"/>
  <c r="H42" i="47" s="1"/>
  <c r="G24" i="37"/>
  <c r="G42" i="47" s="1"/>
  <c r="B24" i="37"/>
  <c r="B60" i="47" s="1"/>
  <c r="B23" i="37"/>
  <c r="H22" i="37"/>
  <c r="G22" i="37"/>
  <c r="G40" i="47" s="1"/>
  <c r="B22" i="37"/>
  <c r="H21" i="37"/>
  <c r="H39" i="47" s="1"/>
  <c r="B21" i="37"/>
  <c r="K21" i="37" s="1"/>
  <c r="K20" i="37"/>
  <c r="H20" i="37"/>
  <c r="H38" i="47" s="1"/>
  <c r="G20" i="37"/>
  <c r="B20" i="37"/>
  <c r="S10" i="37" s="1"/>
  <c r="G19" i="37"/>
  <c r="B19" i="37"/>
  <c r="T18" i="37"/>
  <c r="S18" i="37"/>
  <c r="B18" i="37"/>
  <c r="T17" i="37"/>
  <c r="K17" i="37"/>
  <c r="H17" i="37"/>
  <c r="H35" i="47" s="1"/>
  <c r="G17" i="37"/>
  <c r="G35" i="47" s="1"/>
  <c r="F17" i="37"/>
  <c r="B17" i="37"/>
  <c r="T16" i="37"/>
  <c r="T15" i="37"/>
  <c r="S15" i="37"/>
  <c r="T14" i="37"/>
  <c r="S14" i="37"/>
  <c r="T13" i="37"/>
  <c r="T12" i="37"/>
  <c r="S12" i="37"/>
  <c r="T11" i="37"/>
  <c r="T10" i="37"/>
  <c r="T9" i="37"/>
  <c r="T8" i="37"/>
  <c r="Y13" i="37"/>
  <c r="Y11" i="37"/>
  <c r="Y10" i="37"/>
  <c r="Y9" i="37"/>
  <c r="Y8" i="37"/>
  <c r="Y7" i="37" a="1"/>
  <c r="Y7" i="37"/>
  <c r="X17" i="37"/>
  <c r="X14" i="37"/>
  <c r="X13" i="37"/>
  <c r="X12" i="37"/>
  <c r="X11" i="37"/>
  <c r="X8" i="37"/>
  <c r="X7" i="37" a="1"/>
  <c r="X18" i="37" s="1"/>
  <c r="X7" i="37"/>
  <c r="W17" i="37"/>
  <c r="W16" i="37"/>
  <c r="W15" i="37"/>
  <c r="W14" i="37"/>
  <c r="W13" i="37"/>
  <c r="W12" i="37"/>
  <c r="W10" i="37"/>
  <c r="W7" i="37" a="1"/>
  <c r="W11" i="37" s="1"/>
  <c r="W7" i="37"/>
  <c r="V7" i="37" a="1"/>
  <c r="U18" i="37"/>
  <c r="U16" i="37"/>
  <c r="U12" i="37"/>
  <c r="U11" i="37"/>
  <c r="U7" i="37" a="1"/>
  <c r="U17" i="37" s="1"/>
  <c r="T7" i="37"/>
  <c r="S7" i="37"/>
  <c r="Y6" i="37" a="1"/>
  <c r="Y6" i="37"/>
  <c r="X6" i="37" a="1"/>
  <c r="X6" i="37" s="1"/>
  <c r="W6" i="37" a="1"/>
  <c r="W6" i="37" s="1"/>
  <c r="V6" i="37" a="1"/>
  <c r="V6" i="37"/>
  <c r="U6" i="37" a="1"/>
  <c r="U6" i="37" s="1"/>
  <c r="T6" i="37"/>
  <c r="S6" i="37"/>
  <c r="Y5" i="37" a="1"/>
  <c r="Y5" i="37" s="1"/>
  <c r="X5" i="37" a="1"/>
  <c r="X5" i="37"/>
  <c r="W5" i="37" a="1"/>
  <c r="W5" i="37"/>
  <c r="V5" i="37" a="1"/>
  <c r="V5" i="37"/>
  <c r="U5" i="37" a="1"/>
  <c r="U5" i="37" s="1"/>
  <c r="T5" i="37"/>
  <c r="S5" i="37"/>
  <c r="Y4" i="37"/>
  <c r="W4" i="37"/>
  <c r="V4" i="37"/>
  <c r="U4" i="37"/>
  <c r="T4" i="37"/>
  <c r="D2" i="37"/>
  <c r="S46" i="36"/>
  <c r="O35" i="36"/>
  <c r="O34" i="36"/>
  <c r="O33" i="36"/>
  <c r="O32" i="36"/>
  <c r="O31" i="36"/>
  <c r="O30" i="36"/>
  <c r="O29" i="36"/>
  <c r="O28" i="36"/>
  <c r="O27" i="36"/>
  <c r="O26" i="36"/>
  <c r="AE25" i="36"/>
  <c r="AD25" i="36"/>
  <c r="AC25" i="36"/>
  <c r="AA25" i="36"/>
  <c r="X25" i="36"/>
  <c r="V25" i="36"/>
  <c r="O25" i="36"/>
  <c r="AA24" i="36"/>
  <c r="Z24" i="36"/>
  <c r="Y24" i="36"/>
  <c r="X24" i="36"/>
  <c r="W24" i="36"/>
  <c r="V24" i="36"/>
  <c r="U24" i="36"/>
  <c r="O24" i="36"/>
  <c r="AC23" i="36"/>
  <c r="AB23" i="36"/>
  <c r="V23" i="36"/>
  <c r="T23" i="36"/>
  <c r="O23" i="36"/>
  <c r="AE22" i="36"/>
  <c r="AD22" i="36"/>
  <c r="AC22" i="36"/>
  <c r="AB22" i="36"/>
  <c r="AA22" i="36"/>
  <c r="Z22" i="36"/>
  <c r="V22" i="36"/>
  <c r="O22" i="36"/>
  <c r="AG21" i="36"/>
  <c r="Z21" i="36"/>
  <c r="X21" i="36"/>
  <c r="W21" i="36"/>
  <c r="T21" i="36"/>
  <c r="O21" i="36"/>
  <c r="O20" i="36"/>
  <c r="O19" i="36"/>
  <c r="O18" i="36"/>
  <c r="O17" i="36"/>
  <c r="AE16" i="36"/>
  <c r="AD16" i="36"/>
  <c r="AC16" i="36"/>
  <c r="AB16" i="36"/>
  <c r="AA16" i="36"/>
  <c r="Z16" i="36"/>
  <c r="Y16" i="36"/>
  <c r="X16" i="36"/>
  <c r="W16" i="36"/>
  <c r="V16" i="36"/>
  <c r="U16" i="36"/>
  <c r="T16" i="36"/>
  <c r="O16" i="36"/>
  <c r="O15" i="36"/>
  <c r="AE12" i="36"/>
  <c r="AD12" i="36"/>
  <c r="AC12" i="36"/>
  <c r="AB12" i="36"/>
  <c r="AA12" i="36"/>
  <c r="Z12" i="36"/>
  <c r="Y12" i="36"/>
  <c r="X12" i="36"/>
  <c r="W12" i="36"/>
  <c r="V12" i="36"/>
  <c r="U12" i="36"/>
  <c r="T12" i="36"/>
  <c r="AE11" i="36"/>
  <c r="AD11" i="36"/>
  <c r="AC11" i="36"/>
  <c r="AB11" i="36"/>
  <c r="AA11" i="36"/>
  <c r="Z11" i="36"/>
  <c r="Y11" i="36"/>
  <c r="X11" i="36"/>
  <c r="W11" i="36"/>
  <c r="V11" i="36"/>
  <c r="U11" i="36"/>
  <c r="T11" i="36"/>
  <c r="AE10" i="36"/>
  <c r="AD10" i="36"/>
  <c r="V10" i="36"/>
  <c r="AE9" i="36"/>
  <c r="AD9" i="36"/>
  <c r="AC9" i="36"/>
  <c r="AB9" i="36"/>
  <c r="AA9" i="36"/>
  <c r="Z9" i="36"/>
  <c r="Y9" i="36"/>
  <c r="X9" i="36"/>
  <c r="W9" i="36"/>
  <c r="V9" i="36"/>
  <c r="U9" i="36"/>
  <c r="T9" i="36"/>
  <c r="AE8" i="36"/>
  <c r="AD8" i="36"/>
  <c r="AC8" i="36"/>
  <c r="AC10" i="36" s="1"/>
  <c r="AB8" i="36"/>
  <c r="AA8" i="36"/>
  <c r="AA10" i="36" s="1"/>
  <c r="Z8" i="36"/>
  <c r="Y8" i="36"/>
  <c r="X8" i="36"/>
  <c r="W8" i="36"/>
  <c r="V8" i="36"/>
  <c r="U8" i="36"/>
  <c r="U25" i="36" s="1"/>
  <c r="T8" i="36"/>
  <c r="AE7" i="36"/>
  <c r="AE24" i="36" s="1"/>
  <c r="AD7" i="36"/>
  <c r="AD24" i="36" s="1"/>
  <c r="AC7" i="36"/>
  <c r="AC24" i="36" s="1"/>
  <c r="AB7" i="36"/>
  <c r="AB24" i="36" s="1"/>
  <c r="AA7" i="36"/>
  <c r="Z7" i="36"/>
  <c r="Y7" i="36"/>
  <c r="X7" i="36"/>
  <c r="W7" i="36"/>
  <c r="V7" i="36"/>
  <c r="U7" i="36"/>
  <c r="T7" i="36"/>
  <c r="T24" i="36" s="1"/>
  <c r="AE6" i="36"/>
  <c r="AD6" i="36"/>
  <c r="AC6" i="36"/>
  <c r="F25" i="25" s="1"/>
  <c r="AB6" i="36"/>
  <c r="F24" i="25" s="1"/>
  <c r="AA6" i="36"/>
  <c r="Z6" i="36"/>
  <c r="Y6" i="36"/>
  <c r="X6" i="36"/>
  <c r="W6" i="36"/>
  <c r="V6" i="36"/>
  <c r="F18" i="25" s="1"/>
  <c r="U6" i="36"/>
  <c r="T6" i="36"/>
  <c r="F16" i="25" s="1"/>
  <c r="AE5" i="36"/>
  <c r="AD5" i="36"/>
  <c r="AC5" i="36"/>
  <c r="AB5" i="36"/>
  <c r="AA5" i="36"/>
  <c r="Z5" i="36"/>
  <c r="Y5" i="36"/>
  <c r="Y22" i="36" s="1"/>
  <c r="X5" i="36"/>
  <c r="W5" i="36"/>
  <c r="W22" i="36" s="1"/>
  <c r="V5" i="36"/>
  <c r="U5" i="36"/>
  <c r="U22" i="36" s="1"/>
  <c r="T5" i="36"/>
  <c r="T22" i="36" s="1"/>
  <c r="AE4" i="36"/>
  <c r="AD4" i="36"/>
  <c r="AC4" i="36"/>
  <c r="AB4" i="36"/>
  <c r="AA4" i="36"/>
  <c r="Z4" i="36"/>
  <c r="Y4" i="36"/>
  <c r="X4" i="36"/>
  <c r="W4" i="36"/>
  <c r="V4" i="36"/>
  <c r="U4" i="36"/>
  <c r="T4" i="36"/>
  <c r="AE3" i="36"/>
  <c r="AE21" i="36" s="1"/>
  <c r="AD3" i="36"/>
  <c r="AD21" i="36" s="1"/>
  <c r="AC3" i="36"/>
  <c r="AC21" i="36" s="1"/>
  <c r="AB3" i="36"/>
  <c r="AB21" i="36" s="1"/>
  <c r="AA3" i="36"/>
  <c r="AA21" i="36" s="1"/>
  <c r="Z3" i="36"/>
  <c r="Y3" i="36"/>
  <c r="Y21" i="36" s="1"/>
  <c r="X3" i="36"/>
  <c r="W3" i="36"/>
  <c r="V3" i="36"/>
  <c r="V21" i="36" s="1"/>
  <c r="U3" i="36"/>
  <c r="U21" i="36" s="1"/>
  <c r="T3" i="36"/>
  <c r="E2" i="36"/>
  <c r="K28" i="35"/>
  <c r="H28" i="35"/>
  <c r="H28" i="47" s="1"/>
  <c r="G28" i="35"/>
  <c r="G28" i="47" s="1"/>
  <c r="F28" i="35"/>
  <c r="F28" i="47" s="1"/>
  <c r="B28" i="35"/>
  <c r="B27" i="35"/>
  <c r="K26" i="35"/>
  <c r="H26" i="35"/>
  <c r="H26" i="47" s="1"/>
  <c r="G26" i="35"/>
  <c r="G26" i="47" s="1"/>
  <c r="F26" i="35"/>
  <c r="F26" i="47" s="1"/>
  <c r="B26" i="35"/>
  <c r="B26" i="47" s="1"/>
  <c r="S16" i="47" s="1"/>
  <c r="K25" i="35"/>
  <c r="H25" i="35"/>
  <c r="H25" i="47" s="1"/>
  <c r="B25" i="35"/>
  <c r="K24" i="35"/>
  <c r="H24" i="35"/>
  <c r="H24" i="47" s="1"/>
  <c r="G24" i="35"/>
  <c r="G24" i="47" s="1"/>
  <c r="F24" i="35"/>
  <c r="F24" i="47" s="1"/>
  <c r="B24" i="35"/>
  <c r="B23" i="35"/>
  <c r="K22" i="35"/>
  <c r="H22" i="35"/>
  <c r="H22" i="47" s="1"/>
  <c r="B22" i="35"/>
  <c r="K21" i="35"/>
  <c r="H21" i="35"/>
  <c r="H21" i="47" s="1"/>
  <c r="G21" i="35"/>
  <c r="G21" i="47" s="1"/>
  <c r="B21" i="35"/>
  <c r="F21" i="35" s="1"/>
  <c r="F21" i="47" s="1"/>
  <c r="K20" i="35"/>
  <c r="H20" i="35"/>
  <c r="H20" i="47" s="1"/>
  <c r="G20" i="35"/>
  <c r="F20" i="35"/>
  <c r="B20" i="35"/>
  <c r="B20" i="47" s="1"/>
  <c r="S10" i="47" s="1"/>
  <c r="B19" i="35"/>
  <c r="H18" i="35"/>
  <c r="H18" i="47" s="1"/>
  <c r="F18" i="35"/>
  <c r="F18" i="47" s="1"/>
  <c r="B18" i="35"/>
  <c r="K17" i="35"/>
  <c r="B17" i="35"/>
  <c r="U6" i="35"/>
  <c r="D2" i="35"/>
  <c r="R46" i="34"/>
  <c r="O35" i="34"/>
  <c r="O34" i="34"/>
  <c r="O33" i="34"/>
  <c r="O32" i="34"/>
  <c r="O31" i="34"/>
  <c r="O30" i="34"/>
  <c r="O29" i="34"/>
  <c r="O28" i="34"/>
  <c r="O27" i="34"/>
  <c r="O26" i="34"/>
  <c r="O25" i="34"/>
  <c r="O24" i="34"/>
  <c r="O23" i="34"/>
  <c r="O22" i="34"/>
  <c r="O21" i="34"/>
  <c r="O20" i="34"/>
  <c r="O19" i="34"/>
  <c r="O18" i="34"/>
  <c r="O17" i="34"/>
  <c r="AD16" i="34"/>
  <c r="AC16" i="34"/>
  <c r="AB16" i="34"/>
  <c r="AA16" i="34"/>
  <c r="Z16" i="34"/>
  <c r="Y16" i="34"/>
  <c r="X16" i="34"/>
  <c r="W16" i="34"/>
  <c r="V16" i="34"/>
  <c r="U16" i="34"/>
  <c r="T16" i="34"/>
  <c r="S16" i="34"/>
  <c r="O16" i="34"/>
  <c r="O15" i="34"/>
  <c r="AD12" i="34"/>
  <c r="AC12" i="34"/>
  <c r="AB12" i="34"/>
  <c r="AA12" i="34"/>
  <c r="Z12" i="34"/>
  <c r="Y12" i="34"/>
  <c r="X12" i="34"/>
  <c r="W12" i="34"/>
  <c r="V12" i="34"/>
  <c r="U12" i="34"/>
  <c r="T12" i="34"/>
  <c r="S12" i="34"/>
  <c r="AD11" i="34"/>
  <c r="AC11" i="34"/>
  <c r="AB11" i="34"/>
  <c r="AA11" i="34"/>
  <c r="Z11" i="34"/>
  <c r="Y11" i="34"/>
  <c r="X11" i="34"/>
  <c r="W11" i="34"/>
  <c r="V11" i="34"/>
  <c r="U11" i="34"/>
  <c r="T11" i="34"/>
  <c r="S11" i="34"/>
  <c r="AD10" i="34"/>
  <c r="X10" i="34"/>
  <c r="AD9" i="34"/>
  <c r="AC9" i="34"/>
  <c r="AB9" i="34"/>
  <c r="AA9" i="34"/>
  <c r="Z9" i="34"/>
  <c r="Y9" i="34"/>
  <c r="X9" i="34"/>
  <c r="W9" i="34"/>
  <c r="V9" i="34"/>
  <c r="U9" i="34"/>
  <c r="T9" i="34"/>
  <c r="S9" i="34"/>
  <c r="AD8" i="34"/>
  <c r="AC8" i="34"/>
  <c r="AC10" i="34" s="1"/>
  <c r="AB8" i="34"/>
  <c r="AB10" i="34" s="1"/>
  <c r="AA8" i="34"/>
  <c r="AA10" i="34" s="1"/>
  <c r="Z8" i="34"/>
  <c r="Y8" i="34"/>
  <c r="X8" i="34"/>
  <c r="W8" i="34"/>
  <c r="W10" i="34" s="1"/>
  <c r="V8" i="34"/>
  <c r="V10" i="34" s="1"/>
  <c r="U8" i="34"/>
  <c r="U10" i="34" s="1"/>
  <c r="T8" i="34"/>
  <c r="T10" i="34" s="1"/>
  <c r="S8" i="34"/>
  <c r="S10" i="34" s="1"/>
  <c r="AD7" i="34"/>
  <c r="AC7" i="34"/>
  <c r="AB7" i="34"/>
  <c r="AA7" i="34"/>
  <c r="Z7" i="34"/>
  <c r="Y7" i="34"/>
  <c r="X7" i="34"/>
  <c r="W7" i="34"/>
  <c r="V7" i="34"/>
  <c r="U7" i="34"/>
  <c r="T7" i="34"/>
  <c r="S7" i="34"/>
  <c r="AD6" i="34"/>
  <c r="D27" i="25" s="1"/>
  <c r="AC6" i="34"/>
  <c r="AB6" i="34"/>
  <c r="D25" i="25" s="1"/>
  <c r="AA6" i="34"/>
  <c r="D24" i="25" s="1"/>
  <c r="Z6" i="34"/>
  <c r="D23" i="25" s="1"/>
  <c r="Y6" i="34"/>
  <c r="D22" i="25" s="1"/>
  <c r="X6" i="34"/>
  <c r="D21" i="25" s="1"/>
  <c r="W6" i="34"/>
  <c r="D20" i="25" s="1"/>
  <c r="V6" i="34"/>
  <c r="D19" i="25" s="1"/>
  <c r="U6" i="34"/>
  <c r="D18" i="25" s="1"/>
  <c r="T6" i="34"/>
  <c r="D17" i="25" s="1"/>
  <c r="S6" i="34"/>
  <c r="AD5" i="34"/>
  <c r="AC5" i="34"/>
  <c r="AB5" i="34"/>
  <c r="AA5" i="34"/>
  <c r="Z5" i="34"/>
  <c r="Y5" i="34"/>
  <c r="Y10" i="34" s="1"/>
  <c r="X5" i="34"/>
  <c r="W5" i="34"/>
  <c r="V5" i="34"/>
  <c r="U5" i="34"/>
  <c r="T5" i="34"/>
  <c r="S5" i="34"/>
  <c r="AF4" i="34"/>
  <c r="AD4" i="34"/>
  <c r="AC4" i="34"/>
  <c r="AB4" i="34"/>
  <c r="AA4" i="34"/>
  <c r="Z4" i="34"/>
  <c r="Y4" i="34"/>
  <c r="X4" i="34"/>
  <c r="W4" i="34"/>
  <c r="V4" i="34"/>
  <c r="U4" i="34"/>
  <c r="T4" i="34"/>
  <c r="S4" i="34"/>
  <c r="AD3" i="34"/>
  <c r="AC3" i="34"/>
  <c r="AB3" i="34"/>
  <c r="AA3" i="34"/>
  <c r="Z3" i="34"/>
  <c r="Y3" i="34"/>
  <c r="X3" i="34"/>
  <c r="W3" i="34"/>
  <c r="V3" i="34"/>
  <c r="U3" i="34"/>
  <c r="T3" i="34"/>
  <c r="S3" i="34"/>
  <c r="E2" i="34"/>
  <c r="AF614" i="77"/>
  <c r="AD614" i="77"/>
  <c r="AA614" i="77"/>
  <c r="Z614" i="77"/>
  <c r="AD613" i="77"/>
  <c r="AA613" i="77"/>
  <c r="Z613" i="77"/>
  <c r="AD612" i="77"/>
  <c r="AB612" i="77"/>
  <c r="AA612" i="77"/>
  <c r="Z612" i="77"/>
  <c r="AF611" i="77"/>
  <c r="AD611" i="77"/>
  <c r="AA611" i="77"/>
  <c r="Z611" i="77"/>
  <c r="AD610" i="77"/>
  <c r="AA610" i="77"/>
  <c r="Z610" i="77"/>
  <c r="AD609" i="77"/>
  <c r="AA609" i="77"/>
  <c r="Z609" i="77"/>
  <c r="AD608" i="77"/>
  <c r="AC608" i="77"/>
  <c r="AA608" i="77"/>
  <c r="Z608" i="77"/>
  <c r="AD607" i="77"/>
  <c r="AC607" i="77"/>
  <c r="AA607" i="77"/>
  <c r="Z607" i="77"/>
  <c r="AD606" i="77"/>
  <c r="AC606" i="77"/>
  <c r="AA606" i="77"/>
  <c r="Z606" i="77"/>
  <c r="AF605" i="77"/>
  <c r="AD605" i="77"/>
  <c r="AA605" i="77"/>
  <c r="Z605" i="77"/>
  <c r="AD604" i="77"/>
  <c r="AA604" i="77"/>
  <c r="Z604" i="77"/>
  <c r="AF603" i="77"/>
  <c r="AD603" i="77"/>
  <c r="AA603" i="77"/>
  <c r="Z603" i="77"/>
  <c r="AD602" i="77"/>
  <c r="AC602" i="77"/>
  <c r="AB602" i="77"/>
  <c r="AA602" i="77"/>
  <c r="Z602" i="77"/>
  <c r="AD601" i="77"/>
  <c r="AA601" i="77"/>
  <c r="Z601" i="77"/>
  <c r="AF600" i="77"/>
  <c r="AD600" i="77"/>
  <c r="AA600" i="77"/>
  <c r="Z600" i="77"/>
  <c r="AF599" i="77"/>
  <c r="AD599" i="77"/>
  <c r="AA599" i="77"/>
  <c r="Z599" i="77"/>
  <c r="AD598" i="77"/>
  <c r="AC598" i="77"/>
  <c r="AA598" i="77"/>
  <c r="Z598" i="77"/>
  <c r="AD597" i="77"/>
  <c r="AA597" i="77"/>
  <c r="Z597" i="77"/>
  <c r="AD596" i="77"/>
  <c r="AA596" i="77"/>
  <c r="Z596" i="77"/>
  <c r="AD595" i="77"/>
  <c r="AC595" i="77"/>
  <c r="AA595" i="77"/>
  <c r="Z595" i="77"/>
  <c r="AF594" i="77"/>
  <c r="AD594" i="77"/>
  <c r="AA594" i="77"/>
  <c r="Z594" i="77"/>
  <c r="AD593" i="77"/>
  <c r="AC593" i="77"/>
  <c r="AB593" i="77"/>
  <c r="AA593" i="77"/>
  <c r="Z593" i="77"/>
  <c r="AD592" i="77"/>
  <c r="AC592" i="77"/>
  <c r="AA592" i="77"/>
  <c r="Z592" i="77"/>
  <c r="AD591" i="77"/>
  <c r="AC591" i="77"/>
  <c r="AA591" i="77"/>
  <c r="Z591" i="77"/>
  <c r="AD590" i="77"/>
  <c r="AA590" i="77"/>
  <c r="Z590" i="77"/>
  <c r="AD589" i="77"/>
  <c r="AC589" i="77"/>
  <c r="AA589" i="77"/>
  <c r="Z589" i="77"/>
  <c r="AE588" i="77"/>
  <c r="AD588" i="77"/>
  <c r="AC588" i="77"/>
  <c r="AA588" i="77"/>
  <c r="Z588" i="77"/>
  <c r="AD587" i="77"/>
  <c r="AA587" i="77"/>
  <c r="Z587" i="77"/>
  <c r="AD586" i="77"/>
  <c r="AA586" i="77"/>
  <c r="Z586" i="77"/>
  <c r="AD585" i="77"/>
  <c r="AC585" i="77"/>
  <c r="AA585" i="77"/>
  <c r="Z585" i="77"/>
  <c r="AD584" i="77"/>
  <c r="AC584" i="77"/>
  <c r="AA584" i="77"/>
  <c r="Z584" i="77"/>
  <c r="AD583" i="77"/>
  <c r="AA583" i="77"/>
  <c r="Z583" i="77"/>
  <c r="AD582" i="77"/>
  <c r="AC582" i="77"/>
  <c r="AA582" i="77"/>
  <c r="Z582" i="77"/>
  <c r="AF581" i="77"/>
  <c r="AD581" i="77"/>
  <c r="AA581" i="77"/>
  <c r="Z581" i="77"/>
  <c r="AD580" i="77"/>
  <c r="AC580" i="77"/>
  <c r="AA580" i="77"/>
  <c r="Z580" i="77"/>
  <c r="AD579" i="77"/>
  <c r="AA579" i="77"/>
  <c r="Z579" i="77"/>
  <c r="AF578" i="77"/>
  <c r="AE578" i="77"/>
  <c r="AD578" i="77"/>
  <c r="AB578" i="77"/>
  <c r="AA578" i="77"/>
  <c r="Z578" i="77"/>
  <c r="AD577" i="77"/>
  <c r="AA577" i="77"/>
  <c r="Z577" i="77"/>
  <c r="AF576" i="77"/>
  <c r="AD576" i="77"/>
  <c r="AA576" i="77"/>
  <c r="Z576" i="77"/>
  <c r="AD575" i="77"/>
  <c r="AC575" i="77"/>
  <c r="AA575" i="77"/>
  <c r="Z575" i="77"/>
  <c r="AD574" i="77"/>
  <c r="AA574" i="77"/>
  <c r="Z574" i="77"/>
  <c r="AF573" i="77"/>
  <c r="AD573" i="77"/>
  <c r="AC573" i="77"/>
  <c r="AA573" i="77"/>
  <c r="Z573" i="77"/>
  <c r="AD572" i="77"/>
  <c r="AC572" i="77"/>
  <c r="AA572" i="77"/>
  <c r="Z572" i="77"/>
  <c r="AD571" i="77"/>
  <c r="AA571" i="77"/>
  <c r="Z571" i="77"/>
  <c r="AD570" i="77"/>
  <c r="AB570" i="77"/>
  <c r="AA570" i="77"/>
  <c r="Z570" i="77"/>
  <c r="AD569" i="77"/>
  <c r="AA569" i="77"/>
  <c r="Z569" i="77"/>
  <c r="AD568" i="77"/>
  <c r="AA568" i="77"/>
  <c r="Z568" i="77"/>
  <c r="AF567" i="77"/>
  <c r="AD567" i="77"/>
  <c r="AA567" i="77"/>
  <c r="Z567" i="77"/>
  <c r="AF566" i="77"/>
  <c r="AD566" i="77"/>
  <c r="AA566" i="77"/>
  <c r="Z566" i="77"/>
  <c r="AD565" i="77"/>
  <c r="AC565" i="77"/>
  <c r="AA565" i="77"/>
  <c r="Z565" i="77"/>
  <c r="AD564" i="77"/>
  <c r="AC564" i="77"/>
  <c r="AA564" i="77"/>
  <c r="Z564" i="77"/>
  <c r="AD563" i="77"/>
  <c r="AA563" i="77"/>
  <c r="Z563" i="77"/>
  <c r="AD562" i="77"/>
  <c r="AA562" i="77"/>
  <c r="Z562" i="77"/>
  <c r="AD561" i="77"/>
  <c r="AC561" i="77"/>
  <c r="AA561" i="77"/>
  <c r="Z561" i="77"/>
  <c r="AF560" i="77"/>
  <c r="AD560" i="77"/>
  <c r="AA560" i="77"/>
  <c r="Z560" i="77"/>
  <c r="AF559" i="77"/>
  <c r="AD559" i="77"/>
  <c r="AA559" i="77"/>
  <c r="Z559" i="77"/>
  <c r="AD558" i="77"/>
  <c r="AA558" i="77"/>
  <c r="Z558" i="77"/>
  <c r="AF557" i="77"/>
  <c r="AD557" i="77"/>
  <c r="AA557" i="77"/>
  <c r="Z557" i="77"/>
  <c r="AD556" i="77"/>
  <c r="AB556" i="77"/>
  <c r="AA556" i="77"/>
  <c r="Z556" i="77"/>
  <c r="AF555" i="77"/>
  <c r="AD555" i="77"/>
  <c r="AA555" i="77"/>
  <c r="Z555" i="77"/>
  <c r="AD554" i="77"/>
  <c r="AA554" i="77"/>
  <c r="Z554" i="77"/>
  <c r="AF553" i="77"/>
  <c r="AD553" i="77"/>
  <c r="AC553" i="77"/>
  <c r="AB553" i="77"/>
  <c r="AA553" i="77"/>
  <c r="Z553" i="77"/>
  <c r="AD552" i="77"/>
  <c r="AA552" i="77"/>
  <c r="Z552" i="77"/>
  <c r="AF551" i="77"/>
  <c r="AD551" i="77"/>
  <c r="AA551" i="77"/>
  <c r="Z551" i="77"/>
  <c r="AD550" i="77"/>
  <c r="AB550" i="77"/>
  <c r="AA550" i="77"/>
  <c r="Z550" i="77"/>
  <c r="AF549" i="77"/>
  <c r="AD549" i="77"/>
  <c r="AC549" i="77"/>
  <c r="AA549" i="77"/>
  <c r="Z549" i="77"/>
  <c r="AD548" i="77"/>
  <c r="AA548" i="77"/>
  <c r="Z548" i="77"/>
  <c r="AD547" i="77"/>
  <c r="AC547" i="77"/>
  <c r="AA547" i="77"/>
  <c r="Z547" i="77"/>
  <c r="AD546" i="77"/>
  <c r="AC546" i="77"/>
  <c r="AB546" i="77"/>
  <c r="AA546" i="77"/>
  <c r="Z546" i="77"/>
  <c r="AD545" i="77"/>
  <c r="AA545" i="77"/>
  <c r="Z545" i="77"/>
  <c r="AF544" i="77"/>
  <c r="AD544" i="77"/>
  <c r="AA544" i="77"/>
  <c r="Z544" i="77"/>
  <c r="AF543" i="77"/>
  <c r="AD543" i="77"/>
  <c r="AA543" i="77"/>
  <c r="Z543" i="77"/>
  <c r="AD542" i="77"/>
  <c r="AA542" i="77"/>
  <c r="Z542" i="77"/>
  <c r="AD541" i="77"/>
  <c r="AB541" i="77"/>
  <c r="AA541" i="77"/>
  <c r="Z541" i="77"/>
  <c r="AD540" i="77"/>
  <c r="AA540" i="77"/>
  <c r="Z540" i="77"/>
  <c r="AD539" i="77"/>
  <c r="AA539" i="77"/>
  <c r="Z539" i="77"/>
  <c r="AD538" i="77"/>
  <c r="AC538" i="77"/>
  <c r="AA538" i="77"/>
  <c r="Z538" i="77"/>
  <c r="AF537" i="77"/>
  <c r="AE537" i="77"/>
  <c r="AD537" i="77"/>
  <c r="AA537" i="77"/>
  <c r="Z537" i="77"/>
  <c r="AD536" i="77"/>
  <c r="AC536" i="77"/>
  <c r="AA536" i="77"/>
  <c r="Z536" i="77"/>
  <c r="AD535" i="77"/>
  <c r="AA535" i="77"/>
  <c r="Z535" i="77"/>
  <c r="AD534" i="77"/>
  <c r="AC534" i="77"/>
  <c r="AB534" i="77"/>
  <c r="AA534" i="77"/>
  <c r="Z534" i="77"/>
  <c r="AD533" i="77"/>
  <c r="AA533" i="77"/>
  <c r="Z533" i="77"/>
  <c r="AD532" i="77"/>
  <c r="AC532" i="77"/>
  <c r="AA532" i="77"/>
  <c r="Z532" i="77"/>
  <c r="AF531" i="77"/>
  <c r="AD531" i="77"/>
  <c r="AC531" i="77"/>
  <c r="AA531" i="77"/>
  <c r="Z531" i="77"/>
  <c r="AD530" i="77"/>
  <c r="AC530" i="77"/>
  <c r="AA530" i="77"/>
  <c r="Z530" i="77"/>
  <c r="AD529" i="77"/>
  <c r="AB529" i="77"/>
  <c r="AA529" i="77"/>
  <c r="Z529" i="77"/>
  <c r="AD528" i="77"/>
  <c r="AC528" i="77"/>
  <c r="AB528" i="77"/>
  <c r="AA528" i="77"/>
  <c r="Z528" i="77"/>
  <c r="AD527" i="77"/>
  <c r="AC527" i="77"/>
  <c r="AA527" i="77"/>
  <c r="Z527" i="77"/>
  <c r="AD526" i="77"/>
  <c r="AA526" i="77"/>
  <c r="Z526" i="77"/>
  <c r="AD525" i="77"/>
  <c r="AB525" i="77"/>
  <c r="AA525" i="77"/>
  <c r="Z525" i="77"/>
  <c r="AF524" i="77"/>
  <c r="AD524" i="77"/>
  <c r="AC524" i="77"/>
  <c r="AA524" i="77"/>
  <c r="Z524" i="77"/>
  <c r="AD523" i="77"/>
  <c r="AA523" i="77"/>
  <c r="Z523" i="77"/>
  <c r="AD522" i="77"/>
  <c r="AA522" i="77"/>
  <c r="Z522" i="77"/>
  <c r="AF521" i="77"/>
  <c r="AD521" i="77"/>
  <c r="AC521" i="77"/>
  <c r="AB521" i="77"/>
  <c r="AA521" i="77"/>
  <c r="Z521" i="77"/>
  <c r="AD520" i="77"/>
  <c r="AC520" i="77"/>
  <c r="AA520" i="77"/>
  <c r="Z520" i="77"/>
  <c r="AF519" i="77"/>
  <c r="AD519" i="77"/>
  <c r="AA519" i="77"/>
  <c r="Z519" i="77"/>
  <c r="AD518" i="77"/>
  <c r="AA518" i="77"/>
  <c r="Z518" i="77"/>
  <c r="AD517" i="77"/>
  <c r="AA517" i="77"/>
  <c r="Z517" i="77"/>
  <c r="AF516" i="77"/>
  <c r="AD516" i="77"/>
  <c r="AA516" i="77"/>
  <c r="Z516" i="77"/>
  <c r="AF515" i="77"/>
  <c r="AD515" i="77"/>
  <c r="AC515" i="77"/>
  <c r="AA515" i="77"/>
  <c r="Z515" i="77"/>
  <c r="AD514" i="77"/>
  <c r="AA514" i="77"/>
  <c r="Z514" i="77"/>
  <c r="AF513" i="77"/>
  <c r="AD513" i="77"/>
  <c r="AA513" i="77"/>
  <c r="Z513" i="77"/>
  <c r="AD512" i="77"/>
  <c r="AC512" i="77"/>
  <c r="AA512" i="77"/>
  <c r="Z512" i="77"/>
  <c r="AD511" i="77"/>
  <c r="AA511" i="77"/>
  <c r="Z511" i="77"/>
  <c r="AF510" i="77"/>
  <c r="AD510" i="77"/>
  <c r="AA510" i="77"/>
  <c r="Z510" i="77"/>
  <c r="AF509" i="77"/>
  <c r="AD509" i="77"/>
  <c r="AA509" i="77"/>
  <c r="Z509" i="77"/>
  <c r="AD508" i="77"/>
  <c r="AA508" i="77"/>
  <c r="Z508" i="77"/>
  <c r="AD507" i="77"/>
  <c r="AC507" i="77"/>
  <c r="AA507" i="77"/>
  <c r="Z507" i="77"/>
  <c r="AD506" i="77"/>
  <c r="AA506" i="77"/>
  <c r="Z506" i="77"/>
  <c r="AD505" i="77"/>
  <c r="AA505" i="77"/>
  <c r="Z505" i="77"/>
  <c r="AD504" i="77"/>
  <c r="AB504" i="77"/>
  <c r="AA504" i="77"/>
  <c r="Z504" i="77"/>
  <c r="AD503" i="77"/>
  <c r="AA503" i="77"/>
  <c r="Z503" i="77"/>
  <c r="AD502" i="77"/>
  <c r="AA502" i="77"/>
  <c r="Z502" i="77"/>
  <c r="AD501" i="77"/>
  <c r="AC501" i="77"/>
  <c r="AB501" i="77"/>
  <c r="AA501" i="77"/>
  <c r="Z501" i="77"/>
  <c r="AD500" i="77"/>
  <c r="AC500" i="77"/>
  <c r="AA500" i="77"/>
  <c r="Z500" i="77"/>
  <c r="AD499" i="77"/>
  <c r="AC499" i="77"/>
  <c r="AA499" i="77"/>
  <c r="Z499" i="77"/>
  <c r="AD498" i="77"/>
  <c r="AA498" i="77"/>
  <c r="Z498" i="77"/>
  <c r="AF497" i="77"/>
  <c r="AD497" i="77"/>
  <c r="AB497" i="77"/>
  <c r="AA497" i="77"/>
  <c r="Z497" i="77"/>
  <c r="AD496" i="77"/>
  <c r="AC496" i="77"/>
  <c r="AB496" i="77"/>
  <c r="AA496" i="77"/>
  <c r="Z496" i="77"/>
  <c r="AD495" i="77"/>
  <c r="AA495" i="77"/>
  <c r="Z495" i="77"/>
  <c r="AD494" i="77"/>
  <c r="AC494" i="77"/>
  <c r="AA494" i="77"/>
  <c r="Z494" i="77"/>
  <c r="AF493" i="77"/>
  <c r="AD493" i="77"/>
  <c r="AA493" i="77"/>
  <c r="Z493" i="77"/>
  <c r="AD492" i="77"/>
  <c r="AC492" i="77"/>
  <c r="AA492" i="77"/>
  <c r="Z492" i="77"/>
  <c r="AD491" i="77"/>
  <c r="AC491" i="77"/>
  <c r="AA491" i="77"/>
  <c r="Z491" i="77"/>
  <c r="AF490" i="77"/>
  <c r="AD490" i="77"/>
  <c r="AC490" i="77"/>
  <c r="AA490" i="77"/>
  <c r="Z490" i="77"/>
  <c r="AD489" i="77"/>
  <c r="AA489" i="77"/>
  <c r="Z489" i="77"/>
  <c r="AD488" i="77"/>
  <c r="AA488" i="77"/>
  <c r="Z488" i="77"/>
  <c r="AF487" i="77"/>
  <c r="AE487" i="77"/>
  <c r="AD487" i="77"/>
  <c r="AA487" i="77"/>
  <c r="Z487" i="77"/>
  <c r="AD486" i="77"/>
  <c r="AA486" i="77"/>
  <c r="Z486" i="77"/>
  <c r="AF485" i="77"/>
  <c r="AD485" i="77"/>
  <c r="AC485" i="77"/>
  <c r="AA485" i="77"/>
  <c r="Z485" i="77"/>
  <c r="AD484" i="77"/>
  <c r="AA484" i="77"/>
  <c r="Z484" i="77"/>
  <c r="AD483" i="77"/>
  <c r="AA483" i="77"/>
  <c r="Z483" i="77"/>
  <c r="AF482" i="77"/>
  <c r="AD482" i="77"/>
  <c r="AC482" i="77"/>
  <c r="AB482" i="77"/>
  <c r="AA482" i="77"/>
  <c r="Z482" i="77"/>
  <c r="AD481" i="77"/>
  <c r="AC481" i="77"/>
  <c r="AA481" i="77"/>
  <c r="Z481" i="77"/>
  <c r="AD480" i="77"/>
  <c r="AA480" i="77"/>
  <c r="Z480" i="77"/>
  <c r="AF479" i="77"/>
  <c r="AD479" i="77"/>
  <c r="AA479" i="77"/>
  <c r="Z479" i="77"/>
  <c r="AF478" i="77"/>
  <c r="AD478" i="77"/>
  <c r="AA478" i="77"/>
  <c r="Z478" i="77"/>
  <c r="AF477" i="77"/>
  <c r="AD477" i="77"/>
  <c r="AA477" i="77"/>
  <c r="Z477" i="77"/>
  <c r="AF476" i="77"/>
  <c r="AD476" i="77"/>
  <c r="AA476" i="77"/>
  <c r="Z476" i="77"/>
  <c r="AD475" i="77"/>
  <c r="AB475" i="77"/>
  <c r="AA475" i="77"/>
  <c r="Z475" i="77"/>
  <c r="AD474" i="77"/>
  <c r="AA474" i="77"/>
  <c r="Z474" i="77"/>
  <c r="AF473" i="77"/>
  <c r="AD473" i="77"/>
  <c r="AC473" i="77"/>
  <c r="AB473" i="77"/>
  <c r="AA473" i="77"/>
  <c r="Z473" i="77"/>
  <c r="AF472" i="77"/>
  <c r="AD472" i="77"/>
  <c r="AA472" i="77"/>
  <c r="Z472" i="77"/>
  <c r="AD471" i="77"/>
  <c r="AA471" i="77"/>
  <c r="Z471" i="77"/>
  <c r="AD470" i="77"/>
  <c r="AC470" i="77"/>
  <c r="AA470" i="77"/>
  <c r="Z470" i="77"/>
  <c r="AF469" i="77"/>
  <c r="AD469" i="77"/>
  <c r="AC469" i="77"/>
  <c r="AA469" i="77"/>
  <c r="Z469" i="77"/>
  <c r="AD468" i="77"/>
  <c r="AA468" i="77"/>
  <c r="Z468" i="77"/>
  <c r="AD467" i="77"/>
  <c r="AC467" i="77"/>
  <c r="AA467" i="77"/>
  <c r="Z467" i="77"/>
  <c r="AD466" i="77"/>
  <c r="AC466" i="77"/>
  <c r="AA466" i="77"/>
  <c r="Z466" i="77"/>
  <c r="AD465" i="77"/>
  <c r="AB465" i="77"/>
  <c r="AA465" i="77"/>
  <c r="Z465" i="77"/>
  <c r="AF464" i="77"/>
  <c r="AD464" i="77"/>
  <c r="AA464" i="77"/>
  <c r="Z464" i="77"/>
  <c r="AD463" i="77"/>
  <c r="AC463" i="77"/>
  <c r="AA463" i="77"/>
  <c r="Z463" i="77"/>
  <c r="AD462" i="77"/>
  <c r="AB462" i="77"/>
  <c r="AA462" i="77"/>
  <c r="Z462" i="77"/>
  <c r="AF461" i="77"/>
  <c r="AD461" i="77"/>
  <c r="AC461" i="77"/>
  <c r="AB461" i="77"/>
  <c r="AA461" i="77"/>
  <c r="Z461" i="77"/>
  <c r="AD460" i="77"/>
  <c r="AA460" i="77"/>
  <c r="Z460" i="77"/>
  <c r="AD459" i="77"/>
  <c r="AB459" i="77"/>
  <c r="AA459" i="77"/>
  <c r="Z459" i="77"/>
  <c r="AD458" i="77"/>
  <c r="AC458" i="77"/>
  <c r="AA458" i="77"/>
  <c r="Z458" i="77"/>
  <c r="AF457" i="77"/>
  <c r="AD457" i="77"/>
  <c r="AA457" i="77"/>
  <c r="Z457" i="77"/>
  <c r="AD456" i="77"/>
  <c r="AA456" i="77"/>
  <c r="Z456" i="77"/>
  <c r="AD455" i="77"/>
  <c r="AB455" i="77"/>
  <c r="AA455" i="77"/>
  <c r="Z455" i="77"/>
  <c r="AD454" i="77"/>
  <c r="AA454" i="77"/>
  <c r="Z454" i="77"/>
  <c r="AD453" i="77"/>
  <c r="AA453" i="77"/>
  <c r="Z453" i="77"/>
  <c r="AD452" i="77"/>
  <c r="AC452" i="77"/>
  <c r="AB452" i="77"/>
  <c r="AA452" i="77"/>
  <c r="Z452" i="77"/>
  <c r="AD451" i="77"/>
  <c r="AC451" i="77"/>
  <c r="AA451" i="77"/>
  <c r="Z451" i="77"/>
  <c r="AF450" i="77"/>
  <c r="AD450" i="77"/>
  <c r="AA450" i="77"/>
  <c r="Z450" i="77"/>
  <c r="AF449" i="77"/>
  <c r="AD449" i="77"/>
  <c r="AA449" i="77"/>
  <c r="Z449" i="77"/>
  <c r="AF448" i="77"/>
  <c r="AD448" i="77"/>
  <c r="AC448" i="77"/>
  <c r="AA448" i="77"/>
  <c r="Z448" i="77"/>
  <c r="AF447" i="77"/>
  <c r="AD447" i="77"/>
  <c r="AA447" i="77"/>
  <c r="Z447" i="77"/>
  <c r="AD446" i="77"/>
  <c r="AB446" i="77"/>
  <c r="AA446" i="77"/>
  <c r="Z446" i="77"/>
  <c r="AF445" i="77"/>
  <c r="AD445" i="77"/>
  <c r="AA445" i="77"/>
  <c r="Z445" i="77"/>
  <c r="AF444" i="77"/>
  <c r="AD444" i="77"/>
  <c r="AA444" i="77"/>
  <c r="Z444" i="77"/>
  <c r="AD443" i="77"/>
  <c r="AA443" i="77"/>
  <c r="Z443" i="77"/>
  <c r="AF442" i="77"/>
  <c r="AD442" i="77"/>
  <c r="AA442" i="77"/>
  <c r="Z442" i="77"/>
  <c r="AD441" i="77"/>
  <c r="AA441" i="77"/>
  <c r="Z441" i="77"/>
  <c r="AF440" i="77"/>
  <c r="AD440" i="77"/>
  <c r="AC440" i="77"/>
  <c r="AB440" i="77"/>
  <c r="AA440" i="77"/>
  <c r="Z440" i="77"/>
  <c r="AD439" i="77"/>
  <c r="AB439" i="77"/>
  <c r="AA439" i="77"/>
  <c r="Z439" i="77"/>
  <c r="AF438" i="77"/>
  <c r="AD438" i="77"/>
  <c r="AA438" i="77"/>
  <c r="Z438" i="77"/>
  <c r="AD437" i="77"/>
  <c r="AC437" i="77"/>
  <c r="AA437" i="77"/>
  <c r="Z437" i="77"/>
  <c r="AD436" i="77"/>
  <c r="AA436" i="77"/>
  <c r="Z436" i="77"/>
  <c r="AF435" i="77"/>
  <c r="AD435" i="77"/>
  <c r="AA435" i="77"/>
  <c r="Z435" i="77"/>
  <c r="AF434" i="77"/>
  <c r="AD434" i="77"/>
  <c r="AA434" i="77"/>
  <c r="Z434" i="77"/>
  <c r="AE433" i="77"/>
  <c r="AD433" i="77"/>
  <c r="AC433" i="77"/>
  <c r="AA433" i="77"/>
  <c r="Z433" i="77"/>
  <c r="AD432" i="77"/>
  <c r="AA432" i="77"/>
  <c r="Z432" i="77"/>
  <c r="AF431" i="77"/>
  <c r="AD431" i="77"/>
  <c r="AB431" i="77"/>
  <c r="AA431" i="77"/>
  <c r="Z431" i="77"/>
  <c r="AD430" i="77"/>
  <c r="AA430" i="77"/>
  <c r="Z430" i="77"/>
  <c r="AD429" i="77"/>
  <c r="AA429" i="77"/>
  <c r="Z429" i="77"/>
  <c r="AF428" i="77"/>
  <c r="AD428" i="77"/>
  <c r="AC428" i="77"/>
  <c r="AB428" i="77"/>
  <c r="AA428" i="77"/>
  <c r="Z428" i="77"/>
  <c r="AD427" i="77"/>
  <c r="AA427" i="77"/>
  <c r="Z427" i="77"/>
  <c r="AD426" i="77"/>
  <c r="AA426" i="77"/>
  <c r="Z426" i="77"/>
  <c r="AF425" i="77"/>
  <c r="AD425" i="77"/>
  <c r="AC425" i="77"/>
  <c r="AB425" i="77"/>
  <c r="AA425" i="77"/>
  <c r="Z425" i="77"/>
  <c r="AF424" i="77"/>
  <c r="AD424" i="77"/>
  <c r="AA424" i="77"/>
  <c r="Z424" i="77"/>
  <c r="AF423" i="77"/>
  <c r="AD423" i="77"/>
  <c r="AA423" i="77"/>
  <c r="Z423" i="77"/>
  <c r="AD422" i="77"/>
  <c r="AC422" i="77"/>
  <c r="AB422" i="77"/>
  <c r="AA422" i="77"/>
  <c r="Z422" i="77"/>
  <c r="AF421" i="77"/>
  <c r="AD421" i="77"/>
  <c r="AC421" i="77"/>
  <c r="AA421" i="77"/>
  <c r="Z421" i="77"/>
  <c r="AD420" i="77"/>
  <c r="AA420" i="77"/>
  <c r="Z420" i="77"/>
  <c r="AD419" i="77"/>
  <c r="AC419" i="77"/>
  <c r="AA419" i="77"/>
  <c r="Z419" i="77"/>
  <c r="AF418" i="77"/>
  <c r="AD418" i="77"/>
  <c r="AC418" i="77"/>
  <c r="AA418" i="77"/>
  <c r="Z418" i="77"/>
  <c r="AF417" i="77"/>
  <c r="AD417" i="77"/>
  <c r="AA417" i="77"/>
  <c r="Z417" i="77"/>
  <c r="AF416" i="77"/>
  <c r="AD416" i="77"/>
  <c r="AA416" i="77"/>
  <c r="Z416" i="77"/>
  <c r="AF415" i="77"/>
  <c r="AD415" i="77"/>
  <c r="AB415" i="77"/>
  <c r="AA415" i="77"/>
  <c r="Z415" i="77"/>
  <c r="AF414" i="77"/>
  <c r="AD414" i="77"/>
  <c r="AA414" i="77"/>
  <c r="Z414" i="77"/>
  <c r="AF413" i="77"/>
  <c r="AD413" i="77"/>
  <c r="AC413" i="77"/>
  <c r="AA413" i="77"/>
  <c r="Z413" i="77"/>
  <c r="AD412" i="77"/>
  <c r="AA412" i="77"/>
  <c r="Z412" i="77"/>
  <c r="AF411" i="77"/>
  <c r="AD411" i="77"/>
  <c r="AA411" i="77"/>
  <c r="Z411" i="77"/>
  <c r="AF410" i="77"/>
  <c r="AD410" i="77"/>
  <c r="AB410" i="77"/>
  <c r="AA410" i="77"/>
  <c r="Z410" i="77"/>
  <c r="AF409" i="77"/>
  <c r="AD409" i="77"/>
  <c r="AA409" i="77"/>
  <c r="Z409" i="77"/>
  <c r="AD408" i="77"/>
  <c r="AA408" i="77"/>
  <c r="Z408" i="77"/>
  <c r="AD407" i="77"/>
  <c r="AA407" i="77"/>
  <c r="Z407" i="77"/>
  <c r="AD406" i="77"/>
  <c r="AC406" i="77"/>
  <c r="AB406" i="77"/>
  <c r="AA406" i="77"/>
  <c r="Z406" i="77"/>
  <c r="AD405" i="77"/>
  <c r="AC405" i="77"/>
  <c r="AA405" i="77"/>
  <c r="Z405" i="77"/>
  <c r="AD404" i="77"/>
  <c r="AA404" i="77"/>
  <c r="Z404" i="77"/>
  <c r="AF403" i="77"/>
  <c r="AD403" i="77"/>
  <c r="AB403" i="77"/>
  <c r="AA403" i="77"/>
  <c r="Z403" i="77"/>
  <c r="AF402" i="77"/>
  <c r="AD402" i="77"/>
  <c r="AA402" i="77"/>
  <c r="Z402" i="77"/>
  <c r="AD401" i="77"/>
  <c r="AA401" i="77"/>
  <c r="Z401" i="77"/>
  <c r="AF400" i="77"/>
  <c r="AD400" i="77"/>
  <c r="AB400" i="77"/>
  <c r="AA400" i="77"/>
  <c r="Z400" i="77"/>
  <c r="AF399" i="77"/>
  <c r="AD399" i="77"/>
  <c r="AA399" i="77"/>
  <c r="Z399" i="77"/>
  <c r="AD398" i="77"/>
  <c r="AC398" i="77"/>
  <c r="AA398" i="77"/>
  <c r="Z398" i="77"/>
  <c r="AD397" i="77"/>
  <c r="AC397" i="77"/>
  <c r="AB397" i="77"/>
  <c r="AA397" i="77"/>
  <c r="Z397" i="77"/>
  <c r="AD396" i="77"/>
  <c r="AC396" i="77"/>
  <c r="AB396" i="77"/>
  <c r="AA396" i="77"/>
  <c r="Z396" i="77"/>
  <c r="AD395" i="77"/>
  <c r="AB395" i="77"/>
  <c r="AA395" i="77"/>
  <c r="Z395" i="77"/>
  <c r="AF394" i="77"/>
  <c r="AD394" i="77"/>
  <c r="AB394" i="77"/>
  <c r="AA394" i="77"/>
  <c r="Z394" i="77"/>
  <c r="AF393" i="77"/>
  <c r="AD393" i="77"/>
  <c r="AA393" i="77"/>
  <c r="Z393" i="77"/>
  <c r="AD392" i="77"/>
  <c r="AA392" i="77"/>
  <c r="Z392" i="77"/>
  <c r="AF391" i="77"/>
  <c r="AD391" i="77"/>
  <c r="AC391" i="77"/>
  <c r="AA391" i="77"/>
  <c r="Z391" i="77"/>
  <c r="AF390" i="77"/>
  <c r="AD390" i="77"/>
  <c r="AC390" i="77"/>
  <c r="AA390" i="77"/>
  <c r="Z390" i="77"/>
  <c r="AD389" i="77"/>
  <c r="AA389" i="77"/>
  <c r="Z389" i="77"/>
  <c r="AD388" i="77"/>
  <c r="AC388" i="77"/>
  <c r="AA388" i="77"/>
  <c r="Z388" i="77"/>
  <c r="AF387" i="77"/>
  <c r="AD387" i="77"/>
  <c r="AA387" i="77"/>
  <c r="Z387" i="77"/>
  <c r="AD386" i="77"/>
  <c r="AA386" i="77"/>
  <c r="Z386" i="77"/>
  <c r="AF385" i="77"/>
  <c r="AD385" i="77"/>
  <c r="AA385" i="77"/>
  <c r="Z385" i="77"/>
  <c r="AF384" i="77"/>
  <c r="AD384" i="77"/>
  <c r="AC384" i="77"/>
  <c r="AB384" i="77"/>
  <c r="AA384" i="77"/>
  <c r="Z384" i="77"/>
  <c r="AE383" i="77"/>
  <c r="AD383" i="77"/>
  <c r="AA383" i="77"/>
  <c r="Z383" i="77"/>
  <c r="AF382" i="77"/>
  <c r="AD382" i="77"/>
  <c r="AC382" i="77"/>
  <c r="AA382" i="77"/>
  <c r="Z382" i="77"/>
  <c r="AF381" i="77"/>
  <c r="AD381" i="77"/>
  <c r="AA381" i="77"/>
  <c r="Z381" i="77"/>
  <c r="AF380" i="77"/>
  <c r="AD380" i="77"/>
  <c r="AA380" i="77"/>
  <c r="Z380" i="77"/>
  <c r="AD379" i="77"/>
  <c r="AC379" i="77"/>
  <c r="AB379" i="77"/>
  <c r="AA379" i="77"/>
  <c r="Z379" i="77"/>
  <c r="AD378" i="77"/>
  <c r="AC378" i="77"/>
  <c r="AA378" i="77"/>
  <c r="Z378" i="77"/>
  <c r="AF377" i="77"/>
  <c r="AD377" i="77"/>
  <c r="AA377" i="77"/>
  <c r="Z377" i="77"/>
  <c r="AF376" i="77"/>
  <c r="AD376" i="77"/>
  <c r="AC376" i="77"/>
  <c r="AA376" i="77"/>
  <c r="Z376" i="77"/>
  <c r="AF375" i="77"/>
  <c r="AD375" i="77"/>
  <c r="AA375" i="77"/>
  <c r="Z375" i="77"/>
  <c r="AF374" i="77"/>
  <c r="AD374" i="77"/>
  <c r="AA374" i="77"/>
  <c r="Z374" i="77"/>
  <c r="AF373" i="77"/>
  <c r="AD373" i="77"/>
  <c r="AA373" i="77"/>
  <c r="Z373" i="77"/>
  <c r="AF372" i="77"/>
  <c r="AD372" i="77"/>
  <c r="AA372" i="77"/>
  <c r="Z372" i="77"/>
  <c r="AD371" i="77"/>
  <c r="AB371" i="77"/>
  <c r="AA371" i="77"/>
  <c r="Z371" i="77"/>
  <c r="AF370" i="77"/>
  <c r="AD370" i="77"/>
  <c r="AC370" i="77"/>
  <c r="AA370" i="77"/>
  <c r="Z370" i="77"/>
  <c r="AF369" i="77"/>
  <c r="AD369" i="77"/>
  <c r="AC369" i="77"/>
  <c r="AA369" i="77"/>
  <c r="Z369" i="77"/>
  <c r="AD368" i="77"/>
  <c r="AA368" i="77"/>
  <c r="Z368" i="77"/>
  <c r="AF367" i="77"/>
  <c r="AD367" i="77"/>
  <c r="AC367" i="77"/>
  <c r="AB367" i="77"/>
  <c r="AA367" i="77"/>
  <c r="Z367" i="77"/>
  <c r="AD366" i="77"/>
  <c r="AA366" i="77"/>
  <c r="Z366" i="77"/>
  <c r="AD365" i="77"/>
  <c r="AA365" i="77"/>
  <c r="Z365" i="77"/>
  <c r="AD364" i="77"/>
  <c r="AC364" i="77"/>
  <c r="AB364" i="77"/>
  <c r="AA364" i="77"/>
  <c r="Z364" i="77"/>
  <c r="AF363" i="77"/>
  <c r="AD363" i="77"/>
  <c r="AC363" i="77"/>
  <c r="AA363" i="77"/>
  <c r="Z363" i="77"/>
  <c r="AD362" i="77"/>
  <c r="AA362" i="77"/>
  <c r="Z362" i="77"/>
  <c r="AF361" i="77"/>
  <c r="AD361" i="77"/>
  <c r="AA361" i="77"/>
  <c r="Z361" i="77"/>
  <c r="AF360" i="77"/>
  <c r="AE360" i="77"/>
  <c r="AD360" i="77"/>
  <c r="AB360" i="77"/>
  <c r="AA360" i="77"/>
  <c r="Z360" i="77"/>
  <c r="AD359" i="77"/>
  <c r="AA359" i="77"/>
  <c r="Z359" i="77"/>
  <c r="AF358" i="77"/>
  <c r="AD358" i="77"/>
  <c r="AA358" i="77"/>
  <c r="Z358" i="77"/>
  <c r="AD357" i="77"/>
  <c r="AB357" i="77"/>
  <c r="AA357" i="77"/>
  <c r="Z357" i="77"/>
  <c r="AF356" i="77"/>
  <c r="AD356" i="77"/>
  <c r="AA356" i="77"/>
  <c r="Z356" i="77"/>
  <c r="AF355" i="77"/>
  <c r="AE355" i="77"/>
  <c r="AD355" i="77"/>
  <c r="AA355" i="77"/>
  <c r="Z355" i="77"/>
  <c r="AF354" i="77"/>
  <c r="AD354" i="77"/>
  <c r="AA354" i="77"/>
  <c r="Z354" i="77"/>
  <c r="AD353" i="77"/>
  <c r="AA353" i="77"/>
  <c r="Z353" i="77"/>
  <c r="AF352" i="77"/>
  <c r="AD352" i="77"/>
  <c r="AC352" i="77"/>
  <c r="AA352" i="77"/>
  <c r="Z352" i="77"/>
  <c r="AF351" i="77"/>
  <c r="AD351" i="77"/>
  <c r="AC351" i="77"/>
  <c r="AA351" i="77"/>
  <c r="Z351" i="77"/>
  <c r="AD350" i="77"/>
  <c r="AA350" i="77"/>
  <c r="Z350" i="77"/>
  <c r="AF349" i="77"/>
  <c r="AD349" i="77"/>
  <c r="AB349" i="77"/>
  <c r="AA349" i="77"/>
  <c r="Z349" i="77"/>
  <c r="AF348" i="77"/>
  <c r="AD348" i="77"/>
  <c r="AC348" i="77"/>
  <c r="AB348" i="77"/>
  <c r="AA348" i="77"/>
  <c r="Z348" i="77"/>
  <c r="AF347" i="77"/>
  <c r="AD347" i="77"/>
  <c r="AA347" i="77"/>
  <c r="Z347" i="77"/>
  <c r="AD346" i="77"/>
  <c r="AC346" i="77"/>
  <c r="AA346" i="77"/>
  <c r="Z346" i="77"/>
  <c r="AF345" i="77"/>
  <c r="AD345" i="77"/>
  <c r="AC345" i="77"/>
  <c r="AB345" i="77"/>
  <c r="AA345" i="77"/>
  <c r="Z345" i="77"/>
  <c r="AF344" i="77"/>
  <c r="AD344" i="77"/>
  <c r="AA344" i="77"/>
  <c r="Z344" i="77"/>
  <c r="AD343" i="77"/>
  <c r="AB343" i="77"/>
  <c r="AA343" i="77"/>
  <c r="Z343" i="77"/>
  <c r="AD342" i="77"/>
  <c r="AA342" i="77"/>
  <c r="Z342" i="77"/>
  <c r="AF341" i="77"/>
  <c r="AD341" i="77"/>
  <c r="AA341" i="77"/>
  <c r="Z341" i="77"/>
  <c r="AD340" i="77"/>
  <c r="AC340" i="77"/>
  <c r="AA340" i="77"/>
  <c r="Z340" i="77"/>
  <c r="AD339" i="77"/>
  <c r="AC339" i="77"/>
  <c r="AB339" i="77"/>
  <c r="AA339" i="77"/>
  <c r="Z339" i="77"/>
  <c r="AF338" i="77"/>
  <c r="AD338" i="77"/>
  <c r="AA338" i="77"/>
  <c r="Z338" i="77"/>
  <c r="AF337" i="77"/>
  <c r="AD337" i="77"/>
  <c r="AA337" i="77"/>
  <c r="Z337" i="77"/>
  <c r="AD336" i="77"/>
  <c r="AC336" i="77"/>
  <c r="AA336" i="77"/>
  <c r="Z336" i="77"/>
  <c r="AF335" i="77"/>
  <c r="AD335" i="77"/>
  <c r="AA335" i="77"/>
  <c r="Z335" i="77"/>
  <c r="AF334" i="77"/>
  <c r="AD334" i="77"/>
  <c r="AC334" i="77"/>
  <c r="AA334" i="77"/>
  <c r="Z334" i="77"/>
  <c r="AD333" i="77"/>
  <c r="AC333" i="77"/>
  <c r="AB333" i="77"/>
  <c r="AA333" i="77"/>
  <c r="Z333" i="77"/>
  <c r="AD332" i="77"/>
  <c r="AC332" i="77"/>
  <c r="AA332" i="77"/>
  <c r="Z332" i="77"/>
  <c r="AD331" i="77"/>
  <c r="AC331" i="77"/>
  <c r="AB331" i="77"/>
  <c r="AA331" i="77"/>
  <c r="Z331" i="77"/>
  <c r="AD330" i="77"/>
  <c r="AC330" i="77"/>
  <c r="AA330" i="77"/>
  <c r="Z330" i="77"/>
  <c r="AF329" i="77"/>
  <c r="AD329" i="77"/>
  <c r="AA329" i="77"/>
  <c r="Z329" i="77"/>
  <c r="AF328" i="77"/>
  <c r="AD328" i="77"/>
  <c r="AC328" i="77"/>
  <c r="AB328" i="77"/>
  <c r="AA328" i="77"/>
  <c r="Z328" i="77"/>
  <c r="AD327" i="77"/>
  <c r="AC327" i="77"/>
  <c r="AB327" i="77"/>
  <c r="AA327" i="77"/>
  <c r="Z327" i="77"/>
  <c r="AD326" i="77"/>
  <c r="AC326" i="77"/>
  <c r="AA326" i="77"/>
  <c r="Z326" i="77"/>
  <c r="AF325" i="77"/>
  <c r="AD325" i="77"/>
  <c r="AA325" i="77"/>
  <c r="Z325" i="77"/>
  <c r="AD324" i="77"/>
  <c r="AC324" i="77"/>
  <c r="AA324" i="77"/>
  <c r="Z324" i="77"/>
  <c r="AF323" i="77"/>
  <c r="AD323" i="77"/>
  <c r="AA323" i="77"/>
  <c r="Z323" i="77"/>
  <c r="AF322" i="77"/>
  <c r="AD322" i="77"/>
  <c r="AC322" i="77"/>
  <c r="AA322" i="77"/>
  <c r="Z322" i="77"/>
  <c r="AD321" i="77"/>
  <c r="AB321" i="77"/>
  <c r="AA321" i="77"/>
  <c r="Z321" i="77"/>
  <c r="AF320" i="77"/>
  <c r="AD320" i="77"/>
  <c r="AA320" i="77"/>
  <c r="Z320" i="77"/>
  <c r="AF319" i="77"/>
  <c r="AD319" i="77"/>
  <c r="AC319" i="77"/>
  <c r="AA319" i="77"/>
  <c r="Z319" i="77"/>
  <c r="AF318" i="77"/>
  <c r="AD318" i="77"/>
  <c r="AA318" i="77"/>
  <c r="Z318" i="77"/>
  <c r="AD317" i="77"/>
  <c r="AA317" i="77"/>
  <c r="Z317" i="77"/>
  <c r="AF316" i="77"/>
  <c r="AD316" i="77"/>
  <c r="AC316" i="77"/>
  <c r="AA316" i="77"/>
  <c r="Z316" i="77"/>
  <c r="AF315" i="77"/>
  <c r="AD315" i="77"/>
  <c r="AB315" i="77"/>
  <c r="AA315" i="77"/>
  <c r="Z315" i="77"/>
  <c r="AD314" i="77"/>
  <c r="AC314" i="77"/>
  <c r="AA314" i="77"/>
  <c r="Z314" i="77"/>
  <c r="AF313" i="77"/>
  <c r="AD313" i="77"/>
  <c r="AC313" i="77"/>
  <c r="AA313" i="77"/>
  <c r="Z313" i="77"/>
  <c r="AF312" i="77"/>
  <c r="AD312" i="77"/>
  <c r="AC312" i="77"/>
  <c r="AB312" i="77"/>
  <c r="AA312" i="77"/>
  <c r="Z312" i="77"/>
  <c r="AF311" i="77"/>
  <c r="AD311" i="77"/>
  <c r="AA311" i="77"/>
  <c r="Z311" i="77"/>
  <c r="AF310" i="77"/>
  <c r="AD310" i="77"/>
  <c r="AA310" i="77"/>
  <c r="Z310" i="77"/>
  <c r="AF309" i="77"/>
  <c r="AD309" i="77"/>
  <c r="AC309" i="77"/>
  <c r="AA309" i="77"/>
  <c r="Z309" i="77"/>
  <c r="AF308" i="77"/>
  <c r="AD308" i="77"/>
  <c r="AA308" i="77"/>
  <c r="Z308" i="77"/>
  <c r="AD307" i="77"/>
  <c r="AA307" i="77"/>
  <c r="Z307" i="77"/>
  <c r="AD306" i="77"/>
  <c r="AA306" i="77"/>
  <c r="Z306" i="77"/>
  <c r="AF305" i="77"/>
  <c r="AD305" i="77"/>
  <c r="AC305" i="77"/>
  <c r="AB305" i="77"/>
  <c r="AA305" i="77"/>
  <c r="Z305" i="77"/>
  <c r="AD304" i="77"/>
  <c r="AA304" i="77"/>
  <c r="Z304" i="77"/>
  <c r="AF303" i="77"/>
  <c r="AD303" i="77"/>
  <c r="AB303" i="77"/>
  <c r="AA303" i="77"/>
  <c r="Z303" i="77"/>
  <c r="AF302" i="77"/>
  <c r="AE302" i="77"/>
  <c r="AD302" i="77"/>
  <c r="AC302" i="77"/>
  <c r="AA302" i="77"/>
  <c r="Z302" i="77"/>
  <c r="AD301" i="77"/>
  <c r="AA301" i="77"/>
  <c r="Z301" i="77"/>
  <c r="AF300" i="77"/>
  <c r="AD300" i="77"/>
  <c r="AC300" i="77"/>
  <c r="AB300" i="77"/>
  <c r="AA300" i="77"/>
  <c r="Z300" i="77"/>
  <c r="AF299" i="77"/>
  <c r="AD299" i="77"/>
  <c r="AA299" i="77"/>
  <c r="Z299" i="77"/>
  <c r="AD298" i="77"/>
  <c r="AA298" i="77"/>
  <c r="Z298" i="77"/>
  <c r="AF297" i="77"/>
  <c r="AD297" i="77"/>
  <c r="AC297" i="77"/>
  <c r="AA297" i="77"/>
  <c r="Z297" i="77"/>
  <c r="AF296" i="77"/>
  <c r="AD296" i="77"/>
  <c r="AC296" i="77"/>
  <c r="AB296" i="77"/>
  <c r="AA296" i="77"/>
  <c r="Z296" i="77"/>
  <c r="AD295" i="77"/>
  <c r="AB295" i="77"/>
  <c r="AA295" i="77"/>
  <c r="Z295" i="77"/>
  <c r="AD294" i="77"/>
  <c r="AB294" i="77"/>
  <c r="AA294" i="77"/>
  <c r="Z294" i="77"/>
  <c r="AF293" i="77"/>
  <c r="AD293" i="77"/>
  <c r="AC293" i="77"/>
  <c r="AA293" i="77"/>
  <c r="Z293" i="77"/>
  <c r="AD292" i="77"/>
  <c r="AB292" i="77"/>
  <c r="AA292" i="77"/>
  <c r="Z292" i="77"/>
  <c r="AF291" i="77"/>
  <c r="AD291" i="77"/>
  <c r="AB291" i="77"/>
  <c r="AA291" i="77"/>
  <c r="Z291" i="77"/>
  <c r="AF290" i="77"/>
  <c r="AD290" i="77"/>
  <c r="AC290" i="77"/>
  <c r="AB290" i="77"/>
  <c r="AA290" i="77"/>
  <c r="Z290" i="77"/>
  <c r="AD289" i="77"/>
  <c r="AA289" i="77"/>
  <c r="Z289" i="77"/>
  <c r="AD288" i="77"/>
  <c r="AC288" i="77"/>
  <c r="AA288" i="77"/>
  <c r="Z288" i="77"/>
  <c r="AF287" i="77"/>
  <c r="AD287" i="77"/>
  <c r="AC287" i="77"/>
  <c r="AA287" i="77"/>
  <c r="Z287" i="77"/>
  <c r="AD286" i="77"/>
  <c r="AA286" i="77"/>
  <c r="Z286" i="77"/>
  <c r="AF285" i="77"/>
  <c r="AD285" i="77"/>
  <c r="AA285" i="77"/>
  <c r="Z285" i="77"/>
  <c r="AD284" i="77"/>
  <c r="AC284" i="77"/>
  <c r="AB284" i="77"/>
  <c r="AA284" i="77"/>
  <c r="Z284" i="77"/>
  <c r="AD283" i="77"/>
  <c r="AA283" i="77"/>
  <c r="Z283" i="77"/>
  <c r="AF282" i="77"/>
  <c r="AD282" i="77"/>
  <c r="AC282" i="77"/>
  <c r="AB282" i="77"/>
  <c r="AA282" i="77"/>
  <c r="Z282" i="77"/>
  <c r="AD281" i="77"/>
  <c r="AA281" i="77"/>
  <c r="Z281" i="77"/>
  <c r="AF280" i="77"/>
  <c r="AD280" i="77"/>
  <c r="AA280" i="77"/>
  <c r="Z280" i="77"/>
  <c r="AD279" i="77"/>
  <c r="AC279" i="77"/>
  <c r="AA279" i="77"/>
  <c r="Z279" i="77"/>
  <c r="AF278" i="77"/>
  <c r="AD278" i="77"/>
  <c r="AA278" i="77"/>
  <c r="Z278" i="77"/>
  <c r="AF277" i="77"/>
  <c r="AD277" i="77"/>
  <c r="AA277" i="77"/>
  <c r="Z277" i="77"/>
  <c r="AF276" i="77"/>
  <c r="AD276" i="77"/>
  <c r="AA276" i="77"/>
  <c r="Z276" i="77"/>
  <c r="AF275" i="77"/>
  <c r="AE275" i="77"/>
  <c r="AD275" i="77"/>
  <c r="AA275" i="77"/>
  <c r="Z275" i="77"/>
  <c r="AD274" i="77"/>
  <c r="AA274" i="77"/>
  <c r="Z274" i="77"/>
  <c r="AF273" i="77"/>
  <c r="AD273" i="77"/>
  <c r="AC273" i="77"/>
  <c r="AB273" i="77"/>
  <c r="AA273" i="77"/>
  <c r="Z273" i="77"/>
  <c r="AD272" i="77"/>
  <c r="AC272" i="77"/>
  <c r="AA272" i="77"/>
  <c r="Z272" i="77"/>
  <c r="AD271" i="77"/>
  <c r="AA271" i="77"/>
  <c r="Z271" i="77"/>
  <c r="AD270" i="77"/>
  <c r="AC270" i="77"/>
  <c r="AB270" i="77"/>
  <c r="AA270" i="77"/>
  <c r="Z270" i="77"/>
  <c r="AF269" i="77"/>
  <c r="AD269" i="77"/>
  <c r="AC269" i="77"/>
  <c r="AB269" i="77"/>
  <c r="AA269" i="77"/>
  <c r="Z269" i="77"/>
  <c r="AF268" i="77"/>
  <c r="AD268" i="77"/>
  <c r="AA268" i="77"/>
  <c r="Z268" i="77"/>
  <c r="AF267" i="77"/>
  <c r="AD267" i="77"/>
  <c r="AA267" i="77"/>
  <c r="Z267" i="77"/>
  <c r="AF266" i="77"/>
  <c r="AE266" i="77"/>
  <c r="AD266" i="77"/>
  <c r="AC266" i="77"/>
  <c r="AA266" i="77"/>
  <c r="Z266" i="77"/>
  <c r="AF265" i="77"/>
  <c r="AD265" i="77"/>
  <c r="AB265" i="77"/>
  <c r="AA265" i="77"/>
  <c r="Z265" i="77"/>
  <c r="AD264" i="77"/>
  <c r="AC264" i="77"/>
  <c r="AA264" i="77"/>
  <c r="Z264" i="77"/>
  <c r="AD263" i="77"/>
  <c r="AB263" i="77"/>
  <c r="AA263" i="77"/>
  <c r="Z263" i="77"/>
  <c r="AF262" i="77"/>
  <c r="AD262" i="77"/>
  <c r="AB262" i="77"/>
  <c r="AA262" i="77"/>
  <c r="Z262" i="77"/>
  <c r="AF261" i="77"/>
  <c r="AD261" i="77"/>
  <c r="AA261" i="77"/>
  <c r="Z261" i="77"/>
  <c r="AD260" i="77"/>
  <c r="AC260" i="77"/>
  <c r="AA260" i="77"/>
  <c r="Z260" i="77"/>
  <c r="AF259" i="77"/>
  <c r="AD259" i="77"/>
  <c r="AC259" i="77"/>
  <c r="AB259" i="77"/>
  <c r="AA259" i="77"/>
  <c r="Z259" i="77"/>
  <c r="AF258" i="77"/>
  <c r="AD258" i="77"/>
  <c r="AB258" i="77"/>
  <c r="AA258" i="77"/>
  <c r="Z258" i="77"/>
  <c r="AF257" i="77"/>
  <c r="AD257" i="77"/>
  <c r="AA257" i="77"/>
  <c r="Z257" i="77"/>
  <c r="AD256" i="77"/>
  <c r="AC256" i="77"/>
  <c r="AB256" i="77"/>
  <c r="AA256" i="77"/>
  <c r="Z256" i="77"/>
  <c r="AF255" i="77"/>
  <c r="AD255" i="77"/>
  <c r="AA255" i="77"/>
  <c r="Z255" i="77"/>
  <c r="AD254" i="77"/>
  <c r="AC254" i="77"/>
  <c r="AB254" i="77"/>
  <c r="AA254" i="77"/>
  <c r="Z254" i="77"/>
  <c r="AD253" i="77"/>
  <c r="AA253" i="77"/>
  <c r="Z253" i="77"/>
  <c r="AF252" i="77"/>
  <c r="AD252" i="77"/>
  <c r="AA252" i="77"/>
  <c r="Z252" i="77"/>
  <c r="AF251" i="77"/>
  <c r="AD251" i="77"/>
  <c r="AC251" i="77"/>
  <c r="AA251" i="77"/>
  <c r="Z251" i="77"/>
  <c r="AD250" i="77"/>
  <c r="AC250" i="77"/>
  <c r="AA250" i="77"/>
  <c r="Z250" i="77"/>
  <c r="AD249" i="77"/>
  <c r="AC249" i="77"/>
  <c r="AA249" i="77"/>
  <c r="Z249" i="77"/>
  <c r="AF248" i="77"/>
  <c r="AD248" i="77"/>
  <c r="AC248" i="77"/>
  <c r="AA248" i="77"/>
  <c r="Z248" i="77"/>
  <c r="AD247" i="77"/>
  <c r="AC247" i="77"/>
  <c r="AA247" i="77"/>
  <c r="Z247" i="77"/>
  <c r="AF246" i="77"/>
  <c r="AD246" i="77"/>
  <c r="AA246" i="77"/>
  <c r="Z246" i="77"/>
  <c r="AD245" i="77"/>
  <c r="AC245" i="77"/>
  <c r="AA245" i="77"/>
  <c r="Z245" i="77"/>
  <c r="AD244" i="77"/>
  <c r="AC244" i="77"/>
  <c r="AA244" i="77"/>
  <c r="Z244" i="77"/>
  <c r="AF243" i="77"/>
  <c r="AD243" i="77"/>
  <c r="AA243" i="77"/>
  <c r="Z243" i="77"/>
  <c r="AD242" i="77"/>
  <c r="AB242" i="77"/>
  <c r="AA242" i="77"/>
  <c r="Z242" i="77"/>
  <c r="AD241" i="77"/>
  <c r="AC241" i="77"/>
  <c r="AB241" i="77"/>
  <c r="AA241" i="77"/>
  <c r="Z241" i="77"/>
  <c r="AF240" i="77"/>
  <c r="AD240" i="77"/>
  <c r="AC240" i="77"/>
  <c r="AB240" i="77"/>
  <c r="AA240" i="77"/>
  <c r="Z240" i="77"/>
  <c r="AD239" i="77"/>
  <c r="AA239" i="77"/>
  <c r="Z239" i="77"/>
  <c r="AF238" i="77"/>
  <c r="AD238" i="77"/>
  <c r="AB238" i="77"/>
  <c r="AA238" i="77"/>
  <c r="Z238" i="77"/>
  <c r="AF237" i="77"/>
  <c r="AD237" i="77"/>
  <c r="AC237" i="77"/>
  <c r="AB237" i="77"/>
  <c r="AA237" i="77"/>
  <c r="Z237" i="77"/>
  <c r="AD236" i="77"/>
  <c r="AA236" i="77"/>
  <c r="Z236" i="77"/>
  <c r="AD235" i="77"/>
  <c r="AC235" i="77"/>
  <c r="AA235" i="77"/>
  <c r="Z235" i="77"/>
  <c r="AD234" i="77"/>
  <c r="AC234" i="77"/>
  <c r="AB234" i="77"/>
  <c r="AA234" i="77"/>
  <c r="Z234" i="77"/>
  <c r="AD233" i="77"/>
  <c r="AC233" i="77"/>
  <c r="AB233" i="77"/>
  <c r="AA233" i="77"/>
  <c r="Z233" i="77"/>
  <c r="AF232" i="77"/>
  <c r="AD232" i="77"/>
  <c r="AA232" i="77"/>
  <c r="Z232" i="77"/>
  <c r="AF231" i="77"/>
  <c r="AE231" i="77"/>
  <c r="AD231" i="77"/>
  <c r="AC231" i="77"/>
  <c r="AA231" i="77"/>
  <c r="Z231" i="77"/>
  <c r="AD230" i="77"/>
  <c r="AC230" i="77"/>
  <c r="AA230" i="77"/>
  <c r="Z230" i="77"/>
  <c r="AD229" i="77"/>
  <c r="AC229" i="77"/>
  <c r="AA229" i="77"/>
  <c r="Z229" i="77"/>
  <c r="AF228" i="77"/>
  <c r="AD228" i="77"/>
  <c r="AC228" i="77"/>
  <c r="AA228" i="77"/>
  <c r="Z228" i="77"/>
  <c r="AD227" i="77"/>
  <c r="AA227" i="77"/>
  <c r="Z227" i="77"/>
  <c r="AD226" i="77"/>
  <c r="AC226" i="77"/>
  <c r="AA226" i="77"/>
  <c r="Z226" i="77"/>
  <c r="AF225" i="77"/>
  <c r="AD225" i="77"/>
  <c r="AB225" i="77"/>
  <c r="AA225" i="77"/>
  <c r="Z225" i="77"/>
  <c r="AD224" i="77"/>
  <c r="AA224" i="77"/>
  <c r="Z224" i="77"/>
  <c r="AF223" i="77"/>
  <c r="AD223" i="77"/>
  <c r="AA223" i="77"/>
  <c r="Z223" i="77"/>
  <c r="AF222" i="77"/>
  <c r="AD222" i="77"/>
  <c r="AC222" i="77"/>
  <c r="AB222" i="77"/>
  <c r="AA222" i="77"/>
  <c r="Z222" i="77"/>
  <c r="AD221" i="77"/>
  <c r="AB221" i="77"/>
  <c r="AA221" i="77"/>
  <c r="Z221" i="77"/>
  <c r="AF220" i="77"/>
  <c r="AD220" i="77"/>
  <c r="AC220" i="77"/>
  <c r="AB220" i="77"/>
  <c r="AA220" i="77"/>
  <c r="Z220" i="77"/>
  <c r="AD219" i="77"/>
  <c r="AC219" i="77"/>
  <c r="AA219" i="77"/>
  <c r="Z219" i="77"/>
  <c r="AD218" i="77"/>
  <c r="AA218" i="77"/>
  <c r="Z218" i="77"/>
  <c r="AF217" i="77"/>
  <c r="AD217" i="77"/>
  <c r="AB217" i="77"/>
  <c r="AA217" i="77"/>
  <c r="Z217" i="77"/>
  <c r="AD216" i="77"/>
  <c r="AC216" i="77"/>
  <c r="AB216" i="77"/>
  <c r="AA216" i="77"/>
  <c r="Z216" i="77"/>
  <c r="AD215" i="77"/>
  <c r="AC215" i="77"/>
  <c r="AA215" i="77"/>
  <c r="Z215" i="77"/>
  <c r="AD214" i="77"/>
  <c r="AC214" i="77"/>
  <c r="AB214" i="77"/>
  <c r="AA214" i="77"/>
  <c r="Z214" i="77"/>
  <c r="AF213" i="77"/>
  <c r="AD213" i="77"/>
  <c r="AC213" i="77"/>
  <c r="AB213" i="77"/>
  <c r="AA213" i="77"/>
  <c r="Z213" i="77"/>
  <c r="AD212" i="77"/>
  <c r="AC212" i="77"/>
  <c r="AB212" i="77"/>
  <c r="AA212" i="77"/>
  <c r="Z212" i="77"/>
  <c r="AF211" i="77"/>
  <c r="AD211" i="77"/>
  <c r="AA211" i="77"/>
  <c r="Z211" i="77"/>
  <c r="AF210" i="77"/>
  <c r="AD210" i="77"/>
  <c r="AB210" i="77"/>
  <c r="AA210" i="77"/>
  <c r="Z210" i="77"/>
  <c r="AD209" i="77"/>
  <c r="AC209" i="77"/>
  <c r="AB209" i="77"/>
  <c r="AA209" i="77"/>
  <c r="Z209" i="77"/>
  <c r="AF208" i="77"/>
  <c r="AD208" i="77"/>
  <c r="AA208" i="77"/>
  <c r="Z208" i="77"/>
  <c r="AF207" i="77"/>
  <c r="AD207" i="77"/>
  <c r="AA207" i="77"/>
  <c r="Z207" i="77"/>
  <c r="AD206" i="77"/>
  <c r="AC206" i="77"/>
  <c r="AA206" i="77"/>
  <c r="Z206" i="77"/>
  <c r="AF205" i="77"/>
  <c r="AD205" i="77"/>
  <c r="AC205" i="77"/>
  <c r="AA205" i="77"/>
  <c r="Z205" i="77"/>
  <c r="AF204" i="77"/>
  <c r="AD204" i="77"/>
  <c r="AA204" i="77"/>
  <c r="Z204" i="77"/>
  <c r="AD203" i="77"/>
  <c r="AC203" i="77"/>
  <c r="AB203" i="77"/>
  <c r="AA203" i="77"/>
  <c r="Z203" i="77"/>
  <c r="AF202" i="77"/>
  <c r="AD202" i="77"/>
  <c r="AC202" i="77"/>
  <c r="AB202" i="77"/>
  <c r="AA202" i="77"/>
  <c r="Z202" i="77"/>
  <c r="AF201" i="77"/>
  <c r="AD201" i="77"/>
  <c r="AB201" i="77"/>
  <c r="AA201" i="77"/>
  <c r="Z201" i="77"/>
  <c r="AD200" i="77"/>
  <c r="AC200" i="77"/>
  <c r="AA200" i="77"/>
  <c r="Z200" i="77"/>
  <c r="AF199" i="77"/>
  <c r="AD199" i="77"/>
  <c r="AC199" i="77"/>
  <c r="AB199" i="77"/>
  <c r="AA199" i="77"/>
  <c r="Z199" i="77"/>
  <c r="AF198" i="77"/>
  <c r="AD198" i="77"/>
  <c r="AA198" i="77"/>
  <c r="Z198" i="77"/>
  <c r="AD197" i="77"/>
  <c r="AB197" i="77"/>
  <c r="AA197" i="77"/>
  <c r="Z197" i="77"/>
  <c r="AF196" i="77"/>
  <c r="AD196" i="77"/>
  <c r="AC196" i="77"/>
  <c r="AB196" i="77"/>
  <c r="AA196" i="77"/>
  <c r="Z196" i="77"/>
  <c r="AF195" i="77"/>
  <c r="AD195" i="77"/>
  <c r="AA195" i="77"/>
  <c r="Z195" i="77"/>
  <c r="AD194" i="77"/>
  <c r="AC194" i="77"/>
  <c r="AA194" i="77"/>
  <c r="Z194" i="77"/>
  <c r="AF193" i="77"/>
  <c r="AD193" i="77"/>
  <c r="AC193" i="77"/>
  <c r="AA193" i="77"/>
  <c r="Z193" i="77"/>
  <c r="AF192" i="77"/>
  <c r="AD192" i="77"/>
  <c r="AA192" i="77"/>
  <c r="Z192" i="77"/>
  <c r="AF191" i="77"/>
  <c r="AD191" i="77"/>
  <c r="AB191" i="77"/>
  <c r="AA191" i="77"/>
  <c r="Z191" i="77"/>
  <c r="AF190" i="77"/>
  <c r="AD190" i="77"/>
  <c r="AC190" i="77"/>
  <c r="AB190" i="77"/>
  <c r="AA190" i="77"/>
  <c r="Z190" i="77"/>
  <c r="AF189" i="77"/>
  <c r="AD189" i="77"/>
  <c r="AA189" i="77"/>
  <c r="Z189" i="77"/>
  <c r="AF188" i="77"/>
  <c r="AD188" i="77"/>
  <c r="AA188" i="77"/>
  <c r="Z188" i="77"/>
  <c r="AF187" i="77"/>
  <c r="AD187" i="77"/>
  <c r="AA187" i="77"/>
  <c r="Z187" i="77"/>
  <c r="AF186" i="77"/>
  <c r="AD186" i="77"/>
  <c r="AB186" i="77"/>
  <c r="AA186" i="77"/>
  <c r="Z186" i="77"/>
  <c r="AF185" i="77"/>
  <c r="AD185" i="77"/>
  <c r="AA185" i="77"/>
  <c r="Z185" i="77"/>
  <c r="AD184" i="77"/>
  <c r="AC184" i="77"/>
  <c r="AB184" i="77"/>
  <c r="AA184" i="77"/>
  <c r="Z184" i="77"/>
  <c r="AD183" i="77"/>
  <c r="AC183" i="77"/>
  <c r="AA183" i="77"/>
  <c r="Z183" i="77"/>
  <c r="AF182" i="77"/>
  <c r="AD182" i="77"/>
  <c r="AC182" i="77"/>
  <c r="AA182" i="77"/>
  <c r="Z182" i="77"/>
  <c r="AF181" i="77"/>
  <c r="AD181" i="77"/>
  <c r="AA181" i="77"/>
  <c r="Z181" i="77"/>
  <c r="AD180" i="77"/>
  <c r="AB180" i="77"/>
  <c r="AA180" i="77"/>
  <c r="Z180" i="77"/>
  <c r="AF179" i="77"/>
  <c r="AD179" i="77"/>
  <c r="AC179" i="77"/>
  <c r="AB179" i="77"/>
  <c r="AA179" i="77"/>
  <c r="Z179" i="77"/>
  <c r="AF178" i="77"/>
  <c r="AD178" i="77"/>
  <c r="AA178" i="77"/>
  <c r="Z178" i="77"/>
  <c r="AE177" i="77"/>
  <c r="AD177" i="77"/>
  <c r="AA177" i="77"/>
  <c r="Z177" i="77"/>
  <c r="AF176" i="77"/>
  <c r="AD176" i="77"/>
  <c r="AC176" i="77"/>
  <c r="AA176" i="77"/>
  <c r="Z176" i="77"/>
  <c r="AF175" i="77"/>
  <c r="AD175" i="77"/>
  <c r="AA175" i="77"/>
  <c r="Z175" i="77"/>
  <c r="AF174" i="77"/>
  <c r="AD174" i="77"/>
  <c r="AB174" i="77"/>
  <c r="AA174" i="77"/>
  <c r="Z174" i="77"/>
  <c r="AF173" i="77"/>
  <c r="AD173" i="77"/>
  <c r="AC173" i="77"/>
  <c r="AB173" i="77"/>
  <c r="AA173" i="77"/>
  <c r="Z173" i="77"/>
  <c r="AF172" i="77"/>
  <c r="AD172" i="77"/>
  <c r="AA172" i="77"/>
  <c r="Z172" i="77"/>
  <c r="AF171" i="77"/>
  <c r="AD171" i="77"/>
  <c r="AC171" i="77"/>
  <c r="AA171" i="77"/>
  <c r="Z171" i="77"/>
  <c r="AF170" i="77"/>
  <c r="AD170" i="77"/>
  <c r="AC170" i="77"/>
  <c r="AA170" i="77"/>
  <c r="Z170" i="77"/>
  <c r="AD169" i="77"/>
  <c r="AA169" i="77"/>
  <c r="Z169" i="77"/>
  <c r="AD168" i="77"/>
  <c r="AC168" i="77"/>
  <c r="AB168" i="77"/>
  <c r="AA168" i="77"/>
  <c r="Z168" i="77"/>
  <c r="AF167" i="77"/>
  <c r="AD167" i="77"/>
  <c r="AC167" i="77"/>
  <c r="AB167" i="77"/>
  <c r="AA167" i="77"/>
  <c r="Z167" i="77"/>
  <c r="AD166" i="77"/>
  <c r="AA166" i="77"/>
  <c r="Z166" i="77"/>
  <c r="AF165" i="77"/>
  <c r="AD165" i="77"/>
  <c r="AA165" i="77"/>
  <c r="Z165" i="77"/>
  <c r="AF164" i="77"/>
  <c r="AD164" i="77"/>
  <c r="AC164" i="77"/>
  <c r="AB164" i="77"/>
  <c r="AA164" i="77"/>
  <c r="Z164" i="77"/>
  <c r="AD163" i="77"/>
  <c r="AA163" i="77"/>
  <c r="Z163" i="77"/>
  <c r="AF162" i="77"/>
  <c r="AD162" i="77"/>
  <c r="AC162" i="77"/>
  <c r="AA162" i="77"/>
  <c r="Z162" i="77"/>
  <c r="AF161" i="77"/>
  <c r="AD161" i="77"/>
  <c r="AC161" i="77"/>
  <c r="AA161" i="77"/>
  <c r="Z161" i="77"/>
  <c r="AD160" i="77"/>
  <c r="AC160" i="77"/>
  <c r="AA160" i="77"/>
  <c r="Z160" i="77"/>
  <c r="AF159" i="77"/>
  <c r="AD159" i="77"/>
  <c r="AC159" i="77"/>
  <c r="AB159" i="77"/>
  <c r="AA159" i="77"/>
  <c r="Z159" i="77"/>
  <c r="AD158" i="77"/>
  <c r="AC158" i="77"/>
  <c r="AA158" i="77"/>
  <c r="Z158" i="77"/>
  <c r="AD157" i="77"/>
  <c r="AC157" i="77"/>
  <c r="AA157" i="77"/>
  <c r="Z157" i="77"/>
  <c r="AF156" i="77"/>
  <c r="AE156" i="77"/>
  <c r="AD156" i="77"/>
  <c r="AC156" i="77"/>
  <c r="AB156" i="77"/>
  <c r="AA156" i="77"/>
  <c r="Z156" i="77"/>
  <c r="AF155" i="77"/>
  <c r="AD155" i="77"/>
  <c r="AC155" i="77"/>
  <c r="AA155" i="77"/>
  <c r="Z155" i="77"/>
  <c r="AF154" i="77"/>
  <c r="AD154" i="77"/>
  <c r="AC154" i="77"/>
  <c r="AA154" i="77"/>
  <c r="Z154" i="77"/>
  <c r="AF153" i="77"/>
  <c r="AD153" i="77"/>
  <c r="AC153" i="77"/>
  <c r="AB153" i="77"/>
  <c r="AA153" i="77"/>
  <c r="Z153" i="77"/>
  <c r="AF152" i="77"/>
  <c r="AD152" i="77"/>
  <c r="AA152" i="77"/>
  <c r="Z152" i="77"/>
  <c r="AF151" i="77"/>
  <c r="AD151" i="77"/>
  <c r="AA151" i="77"/>
  <c r="Z151" i="77"/>
  <c r="AF150" i="77"/>
  <c r="AD150" i="77"/>
  <c r="AC150" i="77"/>
  <c r="AB150" i="77"/>
  <c r="AA150" i="77"/>
  <c r="Z150" i="77"/>
  <c r="AF149" i="77"/>
  <c r="AE149" i="77"/>
  <c r="AD149" i="77"/>
  <c r="AA149" i="77"/>
  <c r="Z149" i="77"/>
  <c r="AF148" i="77"/>
  <c r="AD148" i="77"/>
  <c r="AC148" i="77"/>
  <c r="AA148" i="77"/>
  <c r="Z148" i="77"/>
  <c r="AD147" i="77"/>
  <c r="AC147" i="77"/>
  <c r="AA147" i="77"/>
  <c r="Z147" i="77"/>
  <c r="AF146" i="77"/>
  <c r="AD146" i="77"/>
  <c r="AB146" i="77"/>
  <c r="AA146" i="77"/>
  <c r="Z146" i="77"/>
  <c r="AD145" i="77"/>
  <c r="AC145" i="77"/>
  <c r="AB145" i="77"/>
  <c r="AA145" i="77"/>
  <c r="Z145" i="77"/>
  <c r="AD144" i="77"/>
  <c r="AC144" i="77"/>
  <c r="AB144" i="77"/>
  <c r="AA144" i="77"/>
  <c r="Z144" i="77"/>
  <c r="AD143" i="77"/>
  <c r="AC143" i="77"/>
  <c r="AA143" i="77"/>
  <c r="Z143" i="77"/>
  <c r="AF142" i="77"/>
  <c r="AD142" i="77"/>
  <c r="AA142" i="77"/>
  <c r="Z142" i="77"/>
  <c r="AF141" i="77"/>
  <c r="AD141" i="77"/>
  <c r="AB141" i="77"/>
  <c r="AA141" i="77"/>
  <c r="Z141" i="77"/>
  <c r="AD140" i="77"/>
  <c r="AC140" i="77"/>
  <c r="AB140" i="77"/>
  <c r="AA140" i="77"/>
  <c r="Z140" i="77"/>
  <c r="AF139" i="77"/>
  <c r="AD139" i="77"/>
  <c r="AC139" i="77"/>
  <c r="AA139" i="77"/>
  <c r="Z139" i="77"/>
  <c r="AF138" i="77"/>
  <c r="AD138" i="77"/>
  <c r="AB138" i="77"/>
  <c r="AA138" i="77"/>
  <c r="Z138" i="77"/>
  <c r="AD137" i="77"/>
  <c r="AC137" i="77"/>
  <c r="AB137" i="77"/>
  <c r="AA137" i="77"/>
  <c r="Z137" i="77"/>
  <c r="AF136" i="77"/>
  <c r="AD136" i="77"/>
  <c r="AC136" i="77"/>
  <c r="AA136" i="77"/>
  <c r="Z136" i="77"/>
  <c r="AF135" i="77"/>
  <c r="AD135" i="77"/>
  <c r="AA135" i="77"/>
  <c r="Z135" i="77"/>
  <c r="AF134" i="77"/>
  <c r="AD134" i="77"/>
  <c r="AC134" i="77"/>
  <c r="AB134" i="77"/>
  <c r="AA134" i="77"/>
  <c r="Z134" i="77"/>
  <c r="AF133" i="77"/>
  <c r="AE133" i="77"/>
  <c r="AD133" i="77"/>
  <c r="AC133" i="77"/>
  <c r="AA133" i="77"/>
  <c r="Z133" i="77"/>
  <c r="AD132" i="77"/>
  <c r="AA132" i="77"/>
  <c r="Z132" i="77"/>
  <c r="AF131" i="77"/>
  <c r="AD131" i="77"/>
  <c r="AC131" i="77"/>
  <c r="AB131" i="77"/>
  <c r="AA131" i="77"/>
  <c r="Z131" i="77"/>
  <c r="AF130" i="77"/>
  <c r="AD130" i="77"/>
  <c r="AC130" i="77"/>
  <c r="AB130" i="77"/>
  <c r="AA130" i="77"/>
  <c r="Z130" i="77"/>
  <c r="AF129" i="77"/>
  <c r="AD129" i="77"/>
  <c r="AA129" i="77"/>
  <c r="Z129" i="77"/>
  <c r="AF128" i="77"/>
  <c r="AD128" i="77"/>
  <c r="AC128" i="77"/>
  <c r="AB128" i="77"/>
  <c r="AA128" i="77"/>
  <c r="Z128" i="77"/>
  <c r="AF127" i="77"/>
  <c r="AD127" i="77"/>
  <c r="AC127" i="77"/>
  <c r="AB127" i="77"/>
  <c r="AA127" i="77"/>
  <c r="Z127" i="77"/>
  <c r="AF126" i="77"/>
  <c r="AD126" i="77"/>
  <c r="AA126" i="77"/>
  <c r="Z126" i="77"/>
  <c r="AD125" i="77"/>
  <c r="AC125" i="77"/>
  <c r="AA125" i="77"/>
  <c r="Z125" i="77"/>
  <c r="AF124" i="77"/>
  <c r="AD124" i="77"/>
  <c r="AC124" i="77"/>
  <c r="AB124" i="77"/>
  <c r="AA124" i="77"/>
  <c r="Z124" i="77"/>
  <c r="AD123" i="77"/>
  <c r="AC123" i="77"/>
  <c r="AB123" i="77"/>
  <c r="AA123" i="77"/>
  <c r="Z123" i="77"/>
  <c r="AD122" i="77"/>
  <c r="AC122" i="77"/>
  <c r="AA122" i="77"/>
  <c r="Z122" i="77"/>
  <c r="AF121" i="77"/>
  <c r="AE121" i="77"/>
  <c r="AD121" i="77"/>
  <c r="AC121" i="77"/>
  <c r="AA121" i="77"/>
  <c r="Z121" i="77"/>
  <c r="AD120" i="77"/>
  <c r="AC120" i="77"/>
  <c r="AB120" i="77"/>
  <c r="AA120" i="77"/>
  <c r="Z120" i="77"/>
  <c r="AF119" i="77"/>
  <c r="AD119" i="77"/>
  <c r="AA119" i="77"/>
  <c r="Z119" i="77"/>
  <c r="AF118" i="77"/>
  <c r="AD118" i="77"/>
  <c r="AC118" i="77"/>
  <c r="AB118" i="77"/>
  <c r="AA118" i="77"/>
  <c r="Z118" i="77"/>
  <c r="AD117" i="77"/>
  <c r="AC117" i="77"/>
  <c r="AA117" i="77"/>
  <c r="Z117" i="77"/>
  <c r="AF116" i="77"/>
  <c r="AD116" i="77"/>
  <c r="AA116" i="77"/>
  <c r="Z116" i="77"/>
  <c r="AF115" i="77"/>
  <c r="AD115" i="77"/>
  <c r="AA115" i="77"/>
  <c r="Z115" i="77"/>
  <c r="AF114" i="77"/>
  <c r="AD114" i="77"/>
  <c r="AC114" i="77"/>
  <c r="AB114" i="77"/>
  <c r="AA114" i="77"/>
  <c r="Z114" i="77"/>
  <c r="AF113" i="77"/>
  <c r="AD113" i="77"/>
  <c r="AC113" i="77"/>
  <c r="AA113" i="77"/>
  <c r="Z113" i="77"/>
  <c r="AF112" i="77"/>
  <c r="AD112" i="77"/>
  <c r="AA112" i="77"/>
  <c r="Z112" i="77"/>
  <c r="AF111" i="77"/>
  <c r="AD111" i="77"/>
  <c r="AC111" i="77"/>
  <c r="AA111" i="77"/>
  <c r="Z111" i="77"/>
  <c r="AF110" i="77"/>
  <c r="AD110" i="77"/>
  <c r="AA110" i="77"/>
  <c r="Z110" i="77"/>
  <c r="AD109" i="77"/>
  <c r="AA109" i="77"/>
  <c r="Z109" i="77"/>
  <c r="AF108" i="77"/>
  <c r="AD108" i="77"/>
  <c r="AC108" i="77"/>
  <c r="AB108" i="77"/>
  <c r="AA108" i="77"/>
  <c r="Z108" i="77"/>
  <c r="AF107" i="77"/>
  <c r="AD107" i="77"/>
  <c r="AA107" i="77"/>
  <c r="Z107" i="77"/>
  <c r="AF106" i="77"/>
  <c r="AD106" i="77"/>
  <c r="AA106" i="77"/>
  <c r="Z106" i="77"/>
  <c r="AF105" i="77"/>
  <c r="AD105" i="77"/>
  <c r="AC105" i="77"/>
  <c r="AA105" i="77"/>
  <c r="Z105" i="77"/>
  <c r="AF104" i="77"/>
  <c r="AD104" i="77"/>
  <c r="AC104" i="77"/>
  <c r="AA104" i="77"/>
  <c r="Z104" i="77"/>
  <c r="AD103" i="77"/>
  <c r="AC103" i="77"/>
  <c r="AA103" i="77"/>
  <c r="Z103" i="77"/>
  <c r="AD102" i="77"/>
  <c r="AC102" i="77"/>
  <c r="AB102" i="77"/>
  <c r="AA102" i="77"/>
  <c r="Z102" i="77"/>
  <c r="AF101" i="77"/>
  <c r="AD101" i="77"/>
  <c r="AC101" i="77"/>
  <c r="AB101" i="77"/>
  <c r="AA101" i="77"/>
  <c r="Z101" i="77"/>
  <c r="AD100" i="77"/>
  <c r="AC100" i="77"/>
  <c r="AA100" i="77"/>
  <c r="Z100" i="77"/>
  <c r="AF99" i="77"/>
  <c r="AD99" i="77"/>
  <c r="AC99" i="77"/>
  <c r="AB99" i="77"/>
  <c r="AA99" i="77"/>
  <c r="Z99" i="77"/>
  <c r="AF98" i="77"/>
  <c r="AD98" i="77"/>
  <c r="AC98" i="77"/>
  <c r="AA98" i="77"/>
  <c r="Z98" i="77"/>
  <c r="AD97" i="77"/>
  <c r="AC97" i="77"/>
  <c r="AA97" i="77"/>
  <c r="Z97" i="77"/>
  <c r="AF96" i="77"/>
  <c r="AD96" i="77"/>
  <c r="AB96" i="77"/>
  <c r="AA96" i="77"/>
  <c r="Z96" i="77"/>
  <c r="AF95" i="77"/>
  <c r="AD95" i="77"/>
  <c r="AC95" i="77"/>
  <c r="AA95" i="77"/>
  <c r="Z95" i="77"/>
  <c r="AD94" i="77"/>
  <c r="AC94" i="77"/>
  <c r="AA94" i="77"/>
  <c r="Z94" i="77"/>
  <c r="AF93" i="77"/>
  <c r="AD93" i="77"/>
  <c r="AA93" i="77"/>
  <c r="Z93" i="77"/>
  <c r="AF92" i="77"/>
  <c r="AD92" i="77"/>
  <c r="AA92" i="77"/>
  <c r="Z92" i="77"/>
  <c r="AF91" i="77"/>
  <c r="AD91" i="77"/>
  <c r="AC91" i="77"/>
  <c r="AB91" i="77"/>
  <c r="AA91" i="77"/>
  <c r="Z91" i="77"/>
  <c r="AF90" i="77"/>
  <c r="AD90" i="77"/>
  <c r="AC90" i="77"/>
  <c r="AB90" i="77"/>
  <c r="AA90" i="77"/>
  <c r="Z90" i="77"/>
  <c r="AF89" i="77"/>
  <c r="AD89" i="77"/>
  <c r="AA89" i="77"/>
  <c r="Z89" i="77"/>
  <c r="AF88" i="77"/>
  <c r="AD88" i="77"/>
  <c r="AB88" i="77"/>
  <c r="AA88" i="77"/>
  <c r="Z88" i="77"/>
  <c r="AF87" i="77"/>
  <c r="AD87" i="77"/>
  <c r="AC87" i="77"/>
  <c r="AA87" i="77"/>
  <c r="Z87" i="77"/>
  <c r="AF86" i="77"/>
  <c r="AD86" i="77"/>
  <c r="AA86" i="77"/>
  <c r="Z86" i="77"/>
  <c r="AF85" i="77"/>
  <c r="AD85" i="77"/>
  <c r="AA85" i="77"/>
  <c r="Z85" i="77"/>
  <c r="AF84" i="77"/>
  <c r="AD84" i="77"/>
  <c r="AC84" i="77"/>
  <c r="AB84" i="77"/>
  <c r="AA84" i="77"/>
  <c r="Z84" i="77"/>
  <c r="AD83" i="77"/>
  <c r="AC83" i="77"/>
  <c r="AA83" i="77"/>
  <c r="Z83" i="77"/>
  <c r="AF82" i="77"/>
  <c r="AD82" i="77"/>
  <c r="AC82" i="77"/>
  <c r="AA82" i="77"/>
  <c r="Z82" i="77"/>
  <c r="AF81" i="77"/>
  <c r="AE81" i="77"/>
  <c r="AD81" i="77"/>
  <c r="AC81" i="77"/>
  <c r="AB81" i="77"/>
  <c r="AA81" i="77"/>
  <c r="Z81" i="77"/>
  <c r="AD80" i="77"/>
  <c r="AC80" i="77"/>
  <c r="AA80" i="77"/>
  <c r="Z80" i="77"/>
  <c r="AF79" i="77"/>
  <c r="AD79" i="77"/>
  <c r="AC79" i="77"/>
  <c r="AB79" i="77"/>
  <c r="AA79" i="77"/>
  <c r="Z79" i="77"/>
  <c r="AF78" i="77"/>
  <c r="AD78" i="77"/>
  <c r="AC78" i="77"/>
  <c r="AB78" i="77"/>
  <c r="AA78" i="77"/>
  <c r="Z78" i="77"/>
  <c r="AD77" i="77"/>
  <c r="AC77" i="77"/>
  <c r="AB77" i="77"/>
  <c r="AA77" i="77"/>
  <c r="Z77" i="77"/>
  <c r="AF76" i="77"/>
  <c r="AD76" i="77"/>
  <c r="AC76" i="77"/>
  <c r="AB76" i="77"/>
  <c r="AA76" i="77"/>
  <c r="Z76" i="77"/>
  <c r="AF75" i="77"/>
  <c r="AD75" i="77"/>
  <c r="AC75" i="77"/>
  <c r="AB75" i="77"/>
  <c r="AA75" i="77"/>
  <c r="Z75" i="77"/>
  <c r="AF74" i="77"/>
  <c r="AE74" i="77"/>
  <c r="AD74" i="77"/>
  <c r="AC74" i="77"/>
  <c r="AB74" i="77"/>
  <c r="AA74" i="77"/>
  <c r="Z74" i="77"/>
  <c r="AD73" i="77"/>
  <c r="AC73" i="77"/>
  <c r="AA73" i="77"/>
  <c r="Z73" i="77"/>
  <c r="AF72" i="77"/>
  <c r="AD72" i="77"/>
  <c r="AC72" i="77"/>
  <c r="AA72" i="77"/>
  <c r="Z72" i="77"/>
  <c r="AF71" i="77"/>
  <c r="AD71" i="77"/>
  <c r="AC71" i="77"/>
  <c r="AA71" i="77"/>
  <c r="Z71" i="77"/>
  <c r="AF70" i="77"/>
  <c r="AD70" i="77"/>
  <c r="AC70" i="77"/>
  <c r="AA70" i="77"/>
  <c r="Z70" i="77"/>
  <c r="AF69" i="77"/>
  <c r="AD69" i="77"/>
  <c r="AA69" i="77"/>
  <c r="Z69" i="77"/>
  <c r="AF68" i="77"/>
  <c r="AD68" i="77"/>
  <c r="AC68" i="77"/>
  <c r="AB68" i="77"/>
  <c r="AA68" i="77"/>
  <c r="Z68" i="77"/>
  <c r="AF67" i="77"/>
  <c r="AD67" i="77"/>
  <c r="AA67" i="77"/>
  <c r="Z67" i="77"/>
  <c r="AF66" i="77"/>
  <c r="AD66" i="77"/>
  <c r="AA66" i="77"/>
  <c r="Z66" i="77"/>
  <c r="AF65" i="77"/>
  <c r="AD65" i="77"/>
  <c r="AC65" i="77"/>
  <c r="AB65" i="77"/>
  <c r="AA65" i="77"/>
  <c r="Z65" i="77"/>
  <c r="AF64" i="77"/>
  <c r="AD64" i="77"/>
  <c r="AA64" i="77"/>
  <c r="Z64" i="77"/>
  <c r="AF63" i="77"/>
  <c r="AD63" i="77"/>
  <c r="AB63" i="77"/>
  <c r="AA63" i="77"/>
  <c r="Z63" i="77"/>
  <c r="AF62" i="77"/>
  <c r="AD62" i="77"/>
  <c r="AC62" i="77"/>
  <c r="AA62" i="77"/>
  <c r="Z62" i="77"/>
  <c r="AF61" i="77"/>
  <c r="AD61" i="77"/>
  <c r="AA61" i="77"/>
  <c r="Z61" i="77"/>
  <c r="AD60" i="77"/>
  <c r="AC60" i="77"/>
  <c r="AA60" i="77"/>
  <c r="Z60" i="77"/>
  <c r="AF59" i="77"/>
  <c r="AD59" i="77"/>
  <c r="AC59" i="77"/>
  <c r="AB59" i="77"/>
  <c r="AA59" i="77"/>
  <c r="Z59" i="77"/>
  <c r="AF58" i="77"/>
  <c r="AD58" i="77"/>
  <c r="AA58" i="77"/>
  <c r="Z58" i="77"/>
  <c r="AD57" i="77"/>
  <c r="AC57" i="77"/>
  <c r="AB57" i="77"/>
  <c r="AA57" i="77"/>
  <c r="Z57" i="77"/>
  <c r="AF56" i="77"/>
  <c r="AD56" i="77"/>
  <c r="AC56" i="77"/>
  <c r="AA56" i="77"/>
  <c r="Z56" i="77"/>
  <c r="AF55" i="77"/>
  <c r="AE55" i="77"/>
  <c r="AD55" i="77"/>
  <c r="AC55" i="77"/>
  <c r="AA55" i="77"/>
  <c r="Z55" i="77"/>
  <c r="AD54" i="77"/>
  <c r="AC54" i="77"/>
  <c r="AB54" i="77"/>
  <c r="AA54" i="77"/>
  <c r="Z54" i="77"/>
  <c r="AF53" i="77"/>
  <c r="AD53" i="77"/>
  <c r="AC53" i="77"/>
  <c r="AB53" i="77"/>
  <c r="AA53" i="77"/>
  <c r="Z53" i="77"/>
  <c r="AF52" i="77"/>
  <c r="AD52" i="77"/>
  <c r="AC52" i="77"/>
  <c r="AA52" i="77"/>
  <c r="Z52" i="77"/>
  <c r="AD51" i="77"/>
  <c r="AC51" i="77"/>
  <c r="AA51" i="77"/>
  <c r="Z51" i="77"/>
  <c r="AF50" i="77"/>
  <c r="AD50" i="77"/>
  <c r="AC50" i="77"/>
  <c r="AB50" i="77"/>
  <c r="AA50" i="77"/>
  <c r="Z50" i="77"/>
  <c r="AF49" i="77"/>
  <c r="AD49" i="77"/>
  <c r="AB49" i="77"/>
  <c r="AA49" i="77"/>
  <c r="Z49" i="77"/>
  <c r="AD48" i="77"/>
  <c r="AC48" i="77"/>
  <c r="AA48" i="77"/>
  <c r="Z48" i="77"/>
  <c r="AF47" i="77"/>
  <c r="AD47" i="77"/>
  <c r="AC47" i="77"/>
  <c r="AB47" i="77"/>
  <c r="AA47" i="77"/>
  <c r="Z47" i="77"/>
  <c r="AF46" i="77"/>
  <c r="AD46" i="77"/>
  <c r="AC46" i="77"/>
  <c r="AA46" i="77"/>
  <c r="Z46" i="77"/>
  <c r="AD45" i="77"/>
  <c r="AC45" i="77"/>
  <c r="AA45" i="77"/>
  <c r="Z45" i="77"/>
  <c r="AF44" i="77"/>
  <c r="AD44" i="77"/>
  <c r="AC44" i="77"/>
  <c r="AB44" i="77"/>
  <c r="AA44" i="77"/>
  <c r="Z44" i="77"/>
  <c r="AF43" i="77"/>
  <c r="AD43" i="77"/>
  <c r="AC43" i="77"/>
  <c r="AB43" i="77"/>
  <c r="AA43" i="77"/>
  <c r="Z43" i="77"/>
  <c r="AD42" i="77"/>
  <c r="AC42" i="77"/>
  <c r="AB42" i="77"/>
  <c r="AA42" i="77"/>
  <c r="Z42" i="77"/>
  <c r="AF41" i="77"/>
  <c r="AD41" i="77"/>
  <c r="AC41" i="77"/>
  <c r="AA41" i="77"/>
  <c r="Z41" i="77"/>
  <c r="AF40" i="77"/>
  <c r="AD40" i="77"/>
  <c r="AC40" i="77"/>
  <c r="AA40" i="77"/>
  <c r="Z40" i="77"/>
  <c r="AD39" i="77"/>
  <c r="AC39" i="77"/>
  <c r="AB39" i="77"/>
  <c r="AA39" i="77"/>
  <c r="Z39" i="77"/>
  <c r="AF38" i="77"/>
  <c r="AD38" i="77"/>
  <c r="AC38" i="77"/>
  <c r="AB38" i="77"/>
  <c r="AA38" i="77"/>
  <c r="Z38" i="77"/>
  <c r="AF37" i="77"/>
  <c r="AD37" i="77"/>
  <c r="AA37" i="77"/>
  <c r="Z37" i="77"/>
  <c r="AF36" i="77"/>
  <c r="AD36" i="77"/>
  <c r="AC36" i="77"/>
  <c r="AB36" i="77"/>
  <c r="AA36" i="77"/>
  <c r="Z36" i="77"/>
  <c r="AF35" i="77"/>
  <c r="AD35" i="77"/>
  <c r="AC35" i="77"/>
  <c r="AA35" i="77"/>
  <c r="Z35" i="77"/>
  <c r="AF34" i="77"/>
  <c r="AD34" i="77"/>
  <c r="AA34" i="77"/>
  <c r="Z34" i="77"/>
  <c r="AF33" i="77"/>
  <c r="AD33" i="77"/>
  <c r="AC33" i="77"/>
  <c r="AA33" i="77"/>
  <c r="Z33" i="77"/>
  <c r="AF32" i="77"/>
  <c r="AD32" i="77"/>
  <c r="AC32" i="77"/>
  <c r="AA32" i="77"/>
  <c r="Z32" i="77"/>
  <c r="AF31" i="77"/>
  <c r="AD31" i="77"/>
  <c r="AC31" i="77"/>
  <c r="AA31" i="77"/>
  <c r="Z31" i="77"/>
  <c r="AF30" i="77"/>
  <c r="AD30" i="77"/>
  <c r="AC30" i="77"/>
  <c r="AB30" i="77"/>
  <c r="AA30" i="77"/>
  <c r="Z30" i="77"/>
  <c r="AF29" i="77"/>
  <c r="AE29" i="77"/>
  <c r="AD29" i="77"/>
  <c r="AC29" i="77"/>
  <c r="AB29" i="77"/>
  <c r="AA29" i="77"/>
  <c r="Z29" i="77"/>
  <c r="AD28" i="77"/>
  <c r="AC28" i="77"/>
  <c r="AB28" i="77"/>
  <c r="AA28" i="77"/>
  <c r="Z28" i="77"/>
  <c r="AF27" i="77"/>
  <c r="AD27" i="77"/>
  <c r="AA27" i="77"/>
  <c r="Z27" i="77"/>
  <c r="AF26" i="77"/>
  <c r="AD26" i="77"/>
  <c r="AC26" i="77"/>
  <c r="AB26" i="77"/>
  <c r="AA26" i="77"/>
  <c r="Z26" i="77"/>
  <c r="M26" i="77"/>
  <c r="AF25" i="77"/>
  <c r="AD25" i="77"/>
  <c r="AC25" i="77"/>
  <c r="AB25" i="77"/>
  <c r="AA25" i="77"/>
  <c r="Z25" i="77"/>
  <c r="K25" i="77"/>
  <c r="AF582" i="77" s="1"/>
  <c r="J25" i="77"/>
  <c r="AC612" i="77" s="1"/>
  <c r="AF24" i="77"/>
  <c r="AD24" i="77"/>
  <c r="AC24" i="77"/>
  <c r="AA24" i="77"/>
  <c r="Z24" i="77"/>
  <c r="K24" i="77"/>
  <c r="AE602" i="77" s="1"/>
  <c r="J24" i="77"/>
  <c r="AB430" i="77" s="1"/>
  <c r="AD23" i="77"/>
  <c r="AC23" i="77"/>
  <c r="AB23" i="77"/>
  <c r="AA23" i="77"/>
  <c r="Z23" i="77"/>
  <c r="AF22" i="77"/>
  <c r="AD22" i="77"/>
  <c r="AA22" i="77"/>
  <c r="Z22" i="77"/>
  <c r="K22" i="77"/>
  <c r="J22" i="77"/>
  <c r="AF21" i="77"/>
  <c r="AD21" i="77"/>
  <c r="AC21" i="77"/>
  <c r="AA21" i="77"/>
  <c r="Z21" i="77"/>
  <c r="AF20" i="77"/>
  <c r="AD20" i="77"/>
  <c r="AC20" i="77"/>
  <c r="AB20" i="77"/>
  <c r="AA20" i="77"/>
  <c r="Z20" i="77"/>
  <c r="AF19" i="77"/>
  <c r="AD19" i="77"/>
  <c r="AC19" i="77"/>
  <c r="AB19" i="77"/>
  <c r="AA19" i="77"/>
  <c r="Z19" i="77"/>
  <c r="AF18" i="77"/>
  <c r="AD18" i="77"/>
  <c r="AA18" i="77"/>
  <c r="Z18" i="77"/>
  <c r="AF17" i="77"/>
  <c r="AD17" i="77"/>
  <c r="AC17" i="77"/>
  <c r="AB17" i="77"/>
  <c r="AA17" i="77"/>
  <c r="Z17" i="77"/>
  <c r="AF16" i="77"/>
  <c r="AD16" i="77"/>
  <c r="AA16" i="77"/>
  <c r="Z16" i="77"/>
  <c r="AF15" i="77"/>
  <c r="AD15" i="77"/>
  <c r="AB15" i="77"/>
  <c r="AA15" i="77"/>
  <c r="Z15" i="77"/>
  <c r="AF14" i="77"/>
  <c r="AD14" i="77"/>
  <c r="AC14" i="77"/>
  <c r="AB14" i="77"/>
  <c r="AA14" i="77"/>
  <c r="Z14" i="77"/>
  <c r="Q14" i="77"/>
  <c r="P14" i="77"/>
  <c r="AF13" i="77"/>
  <c r="AE13" i="77"/>
  <c r="AD13" i="77"/>
  <c r="AC13" i="77"/>
  <c r="AB13" i="77"/>
  <c r="AA13" i="77"/>
  <c r="D12" i="77"/>
  <c r="C12" i="77"/>
  <c r="U6" i="77"/>
  <c r="F2" i="77"/>
  <c r="AB614" i="76"/>
  <c r="Z614" i="76"/>
  <c r="Y614" i="76"/>
  <c r="AB613" i="76"/>
  <c r="Z613" i="76"/>
  <c r="Y613" i="76"/>
  <c r="Z612" i="76"/>
  <c r="Y612" i="76"/>
  <c r="AB611" i="76"/>
  <c r="Z611" i="76"/>
  <c r="Y611" i="76"/>
  <c r="AB610" i="76"/>
  <c r="AA610" i="76"/>
  <c r="Z610" i="76"/>
  <c r="Y610" i="76"/>
  <c r="AB609" i="76"/>
  <c r="Z609" i="76"/>
  <c r="Y609" i="76"/>
  <c r="AB608" i="76"/>
  <c r="Z608" i="76"/>
  <c r="Y608" i="76"/>
  <c r="Z607" i="76"/>
  <c r="Y607" i="76"/>
  <c r="AB606" i="76"/>
  <c r="AA606" i="76"/>
  <c r="Z606" i="76"/>
  <c r="Y606" i="76"/>
  <c r="AB605" i="76"/>
  <c r="Z605" i="76"/>
  <c r="Y605" i="76"/>
  <c r="AB604" i="76"/>
  <c r="AA604" i="76"/>
  <c r="Z604" i="76"/>
  <c r="Y604" i="76"/>
  <c r="AB603" i="76"/>
  <c r="Z603" i="76"/>
  <c r="Y603" i="76"/>
  <c r="Z602" i="76"/>
  <c r="Y602" i="76"/>
  <c r="AB601" i="76"/>
  <c r="Z601" i="76"/>
  <c r="Y601" i="76"/>
  <c r="AB600" i="76"/>
  <c r="Z600" i="76"/>
  <c r="Y600" i="76"/>
  <c r="AB599" i="76"/>
  <c r="Z599" i="76"/>
  <c r="Y599" i="76"/>
  <c r="AB598" i="76"/>
  <c r="AA598" i="76"/>
  <c r="Z598" i="76"/>
  <c r="Y598" i="76"/>
  <c r="Z597" i="76"/>
  <c r="Y597" i="76"/>
  <c r="AB596" i="76"/>
  <c r="Z596" i="76"/>
  <c r="Y596" i="76"/>
  <c r="AB595" i="76"/>
  <c r="Z595" i="76"/>
  <c r="Y595" i="76"/>
  <c r="AB594" i="76"/>
  <c r="Z594" i="76"/>
  <c r="Y594" i="76"/>
  <c r="AB593" i="76"/>
  <c r="Z593" i="76"/>
  <c r="Y593" i="76"/>
  <c r="Z592" i="76"/>
  <c r="Y592" i="76"/>
  <c r="AB591" i="76"/>
  <c r="Z591" i="76"/>
  <c r="Y591" i="76"/>
  <c r="AB590" i="76"/>
  <c r="Z590" i="76"/>
  <c r="Y590" i="76"/>
  <c r="AB589" i="76"/>
  <c r="Z589" i="76"/>
  <c r="Y589" i="76"/>
  <c r="AB588" i="76"/>
  <c r="Z588" i="76"/>
  <c r="Y588" i="76"/>
  <c r="Z587" i="76"/>
  <c r="Y587" i="76"/>
  <c r="AB586" i="76"/>
  <c r="Z586" i="76"/>
  <c r="Y586" i="76"/>
  <c r="AB585" i="76"/>
  <c r="Z585" i="76"/>
  <c r="Y585" i="76"/>
  <c r="AB584" i="76"/>
  <c r="Z584" i="76"/>
  <c r="Y584" i="76"/>
  <c r="AB583" i="76"/>
  <c r="Z583" i="76"/>
  <c r="Y583" i="76"/>
  <c r="Z582" i="76"/>
  <c r="Y582" i="76"/>
  <c r="AB581" i="76"/>
  <c r="Z581" i="76"/>
  <c r="Y581" i="76"/>
  <c r="AB580" i="76"/>
  <c r="AA580" i="76"/>
  <c r="Z580" i="76"/>
  <c r="Y580" i="76"/>
  <c r="AB579" i="76"/>
  <c r="Z579" i="76"/>
  <c r="Y579" i="76"/>
  <c r="AB578" i="76"/>
  <c r="Z578" i="76"/>
  <c r="Y578" i="76"/>
  <c r="Z577" i="76"/>
  <c r="Y577" i="76"/>
  <c r="AB576" i="76"/>
  <c r="Z576" i="76"/>
  <c r="Y576" i="76"/>
  <c r="AB575" i="76"/>
  <c r="Z575" i="76"/>
  <c r="Y575" i="76"/>
  <c r="AB574" i="76"/>
  <c r="AA574" i="76"/>
  <c r="Z574" i="76"/>
  <c r="Y574" i="76"/>
  <c r="AB573" i="76"/>
  <c r="Z573" i="76"/>
  <c r="Y573" i="76"/>
  <c r="Z572" i="76"/>
  <c r="Y572" i="76"/>
  <c r="AB571" i="76"/>
  <c r="Z571" i="76"/>
  <c r="Y571" i="76"/>
  <c r="AB570" i="76"/>
  <c r="Z570" i="76"/>
  <c r="Y570" i="76"/>
  <c r="AB569" i="76"/>
  <c r="Z569" i="76"/>
  <c r="Y569" i="76"/>
  <c r="AB568" i="76"/>
  <c r="Z568" i="76"/>
  <c r="Y568" i="76"/>
  <c r="Z567" i="76"/>
  <c r="Y567" i="76"/>
  <c r="AB566" i="76"/>
  <c r="Z566" i="76"/>
  <c r="Y566" i="76"/>
  <c r="AB565" i="76"/>
  <c r="Z565" i="76"/>
  <c r="Y565" i="76"/>
  <c r="AB564" i="76"/>
  <c r="Z564" i="76"/>
  <c r="Y564" i="76"/>
  <c r="AB563" i="76"/>
  <c r="Z563" i="76"/>
  <c r="Y563" i="76"/>
  <c r="Z562" i="76"/>
  <c r="Y562" i="76"/>
  <c r="AB561" i="76"/>
  <c r="Z561" i="76"/>
  <c r="Y561" i="76"/>
  <c r="AB560" i="76"/>
  <c r="AA560" i="76"/>
  <c r="Z560" i="76"/>
  <c r="Y560" i="76"/>
  <c r="AB559" i="76"/>
  <c r="Z559" i="76"/>
  <c r="Y559" i="76"/>
  <c r="AB558" i="76"/>
  <c r="Z558" i="76"/>
  <c r="Y558" i="76"/>
  <c r="Z557" i="76"/>
  <c r="Y557" i="76"/>
  <c r="AB556" i="76"/>
  <c r="Z556" i="76"/>
  <c r="Y556" i="76"/>
  <c r="AB555" i="76"/>
  <c r="Z555" i="76"/>
  <c r="Y555" i="76"/>
  <c r="AB554" i="76"/>
  <c r="Z554" i="76"/>
  <c r="Y554" i="76"/>
  <c r="AB553" i="76"/>
  <c r="Z553" i="76"/>
  <c r="Y553" i="76"/>
  <c r="Z552" i="76"/>
  <c r="Y552" i="76"/>
  <c r="AB551" i="76"/>
  <c r="Z551" i="76"/>
  <c r="Y551" i="76"/>
  <c r="AB550" i="76"/>
  <c r="Z550" i="76"/>
  <c r="Y550" i="76"/>
  <c r="AB549" i="76"/>
  <c r="Z549" i="76"/>
  <c r="Y549" i="76"/>
  <c r="AB548" i="76"/>
  <c r="AA548" i="76"/>
  <c r="Z548" i="76"/>
  <c r="Y548" i="76"/>
  <c r="Z547" i="76"/>
  <c r="Y547" i="76"/>
  <c r="AB546" i="76"/>
  <c r="Z546" i="76"/>
  <c r="Y546" i="76"/>
  <c r="AB545" i="76"/>
  <c r="Z545" i="76"/>
  <c r="Y545" i="76"/>
  <c r="AB544" i="76"/>
  <c r="Z544" i="76"/>
  <c r="Y544" i="76"/>
  <c r="AB543" i="76"/>
  <c r="AA543" i="76"/>
  <c r="Z543" i="76"/>
  <c r="Y543" i="76"/>
  <c r="Z542" i="76"/>
  <c r="Y542" i="76"/>
  <c r="AB541" i="76"/>
  <c r="AA541" i="76"/>
  <c r="Z541" i="76"/>
  <c r="Y541" i="76"/>
  <c r="AB540" i="76"/>
  <c r="Z540" i="76"/>
  <c r="Y540" i="76"/>
  <c r="AB539" i="76"/>
  <c r="Z539" i="76"/>
  <c r="Y539" i="76"/>
  <c r="AB538" i="76"/>
  <c r="Z538" i="76"/>
  <c r="Y538" i="76"/>
  <c r="Z537" i="76"/>
  <c r="Y537" i="76"/>
  <c r="AB536" i="76"/>
  <c r="AA536" i="76"/>
  <c r="Z536" i="76"/>
  <c r="Y536" i="76"/>
  <c r="AB535" i="76"/>
  <c r="AA535" i="76"/>
  <c r="Z535" i="76"/>
  <c r="Y535" i="76"/>
  <c r="AB534" i="76"/>
  <c r="Z534" i="76"/>
  <c r="Y534" i="76"/>
  <c r="AB533" i="76"/>
  <c r="Z533" i="76"/>
  <c r="Y533" i="76"/>
  <c r="Z532" i="76"/>
  <c r="Y532" i="76"/>
  <c r="AB531" i="76"/>
  <c r="AA531" i="76"/>
  <c r="Z531" i="76"/>
  <c r="Y531" i="76"/>
  <c r="AB530" i="76"/>
  <c r="AA530" i="76"/>
  <c r="Z530" i="76"/>
  <c r="Y530" i="76"/>
  <c r="AB529" i="76"/>
  <c r="Z529" i="76"/>
  <c r="Y529" i="76"/>
  <c r="AB528" i="76"/>
  <c r="Z528" i="76"/>
  <c r="Y528" i="76"/>
  <c r="Z527" i="76"/>
  <c r="Y527" i="76"/>
  <c r="AB526" i="76"/>
  <c r="Z526" i="76"/>
  <c r="Y526" i="76"/>
  <c r="AB525" i="76"/>
  <c r="AA525" i="76"/>
  <c r="Z525" i="76"/>
  <c r="Y525" i="76"/>
  <c r="AB524" i="76"/>
  <c r="AA524" i="76"/>
  <c r="Z524" i="76"/>
  <c r="Y524" i="76"/>
  <c r="AB523" i="76"/>
  <c r="AA523" i="76"/>
  <c r="Z523" i="76"/>
  <c r="Y523" i="76"/>
  <c r="Z522" i="76"/>
  <c r="Y522" i="76"/>
  <c r="AB521" i="76"/>
  <c r="Z521" i="76"/>
  <c r="Y521" i="76"/>
  <c r="AB520" i="76"/>
  <c r="Z520" i="76"/>
  <c r="Y520" i="76"/>
  <c r="AB519" i="76"/>
  <c r="AA519" i="76"/>
  <c r="Z519" i="76"/>
  <c r="Y519" i="76"/>
  <c r="AB518" i="76"/>
  <c r="AA518" i="76"/>
  <c r="Z518" i="76"/>
  <c r="Y518" i="76"/>
  <c r="Z517" i="76"/>
  <c r="Y517" i="76"/>
  <c r="AB516" i="76"/>
  <c r="Z516" i="76"/>
  <c r="Y516" i="76"/>
  <c r="AB515" i="76"/>
  <c r="Z515" i="76"/>
  <c r="Y515" i="76"/>
  <c r="AB514" i="76"/>
  <c r="Z514" i="76"/>
  <c r="Y514" i="76"/>
  <c r="AB513" i="76"/>
  <c r="AA513" i="76"/>
  <c r="Z513" i="76"/>
  <c r="Y513" i="76"/>
  <c r="Z512" i="76"/>
  <c r="Y512" i="76"/>
  <c r="AB511" i="76"/>
  <c r="Z511" i="76"/>
  <c r="Y511" i="76"/>
  <c r="AB510" i="76"/>
  <c r="Z510" i="76"/>
  <c r="Y510" i="76"/>
  <c r="AB509" i="76"/>
  <c r="Z509" i="76"/>
  <c r="Y509" i="76"/>
  <c r="AB508" i="76"/>
  <c r="Z508" i="76"/>
  <c r="Y508" i="76"/>
  <c r="Z507" i="76"/>
  <c r="Y507" i="76"/>
  <c r="AB506" i="76"/>
  <c r="AA506" i="76"/>
  <c r="Z506" i="76"/>
  <c r="Y506" i="76"/>
  <c r="AB505" i="76"/>
  <c r="Z505" i="76"/>
  <c r="Y505" i="76"/>
  <c r="AB504" i="76"/>
  <c r="Z504" i="76"/>
  <c r="Y504" i="76"/>
  <c r="AB503" i="76"/>
  <c r="Z503" i="76"/>
  <c r="Y503" i="76"/>
  <c r="Z502" i="76"/>
  <c r="Y502" i="76"/>
  <c r="AB501" i="76"/>
  <c r="Z501" i="76"/>
  <c r="Y501" i="76"/>
  <c r="AB500" i="76"/>
  <c r="Z500" i="76"/>
  <c r="Y500" i="76"/>
  <c r="AB499" i="76"/>
  <c r="AA499" i="76"/>
  <c r="Z499" i="76"/>
  <c r="Y499" i="76"/>
  <c r="AB498" i="76"/>
  <c r="Z498" i="76"/>
  <c r="Y498" i="76"/>
  <c r="Z497" i="76"/>
  <c r="Y497" i="76"/>
  <c r="AB496" i="76"/>
  <c r="Z496" i="76"/>
  <c r="Y496" i="76"/>
  <c r="AB495" i="76"/>
  <c r="Z495" i="76"/>
  <c r="Y495" i="76"/>
  <c r="AB494" i="76"/>
  <c r="Z494" i="76"/>
  <c r="Y494" i="76"/>
  <c r="AB493" i="76"/>
  <c r="AA493" i="76"/>
  <c r="Z493" i="76"/>
  <c r="Y493" i="76"/>
  <c r="Z492" i="76"/>
  <c r="Y492" i="76"/>
  <c r="AB491" i="76"/>
  <c r="Z491" i="76"/>
  <c r="Y491" i="76"/>
  <c r="AB490" i="76"/>
  <c r="Z490" i="76"/>
  <c r="Y490" i="76"/>
  <c r="AB489" i="76"/>
  <c r="Z489" i="76"/>
  <c r="Y489" i="76"/>
  <c r="AB488" i="76"/>
  <c r="AA488" i="76"/>
  <c r="Z488" i="76"/>
  <c r="Y488" i="76"/>
  <c r="Z487" i="76"/>
  <c r="Y487" i="76"/>
  <c r="AB486" i="76"/>
  <c r="Z486" i="76"/>
  <c r="Y486" i="76"/>
  <c r="AB485" i="76"/>
  <c r="Z485" i="76"/>
  <c r="Y485" i="76"/>
  <c r="AB484" i="76"/>
  <c r="Z484" i="76"/>
  <c r="Y484" i="76"/>
  <c r="AB483" i="76"/>
  <c r="Z483" i="76"/>
  <c r="Y483" i="76"/>
  <c r="Z482" i="76"/>
  <c r="Y482" i="76"/>
  <c r="AB481" i="76"/>
  <c r="AA481" i="76"/>
  <c r="Z481" i="76"/>
  <c r="Y481" i="76"/>
  <c r="AB480" i="76"/>
  <c r="Z480" i="76"/>
  <c r="Y480" i="76"/>
  <c r="AB479" i="76"/>
  <c r="AA479" i="76"/>
  <c r="Z479" i="76"/>
  <c r="Y479" i="76"/>
  <c r="AB478" i="76"/>
  <c r="Z478" i="76"/>
  <c r="Y478" i="76"/>
  <c r="Z477" i="76"/>
  <c r="Y477" i="76"/>
  <c r="AB476" i="76"/>
  <c r="Z476" i="76"/>
  <c r="Y476" i="76"/>
  <c r="AB475" i="76"/>
  <c r="AA475" i="76"/>
  <c r="Z475" i="76"/>
  <c r="Y475" i="76"/>
  <c r="AB474" i="76"/>
  <c r="Z474" i="76"/>
  <c r="Y474" i="76"/>
  <c r="AB473" i="76"/>
  <c r="AA473" i="76"/>
  <c r="Z473" i="76"/>
  <c r="Y473" i="76"/>
  <c r="Z472" i="76"/>
  <c r="Y472" i="76"/>
  <c r="AB471" i="76"/>
  <c r="Z471" i="76"/>
  <c r="Y471" i="76"/>
  <c r="AB470" i="76"/>
  <c r="Z470" i="76"/>
  <c r="Y470" i="76"/>
  <c r="AB469" i="76"/>
  <c r="Z469" i="76"/>
  <c r="Y469" i="76"/>
  <c r="AB468" i="76"/>
  <c r="Z468" i="76"/>
  <c r="Y468" i="76"/>
  <c r="Z467" i="76"/>
  <c r="Y467" i="76"/>
  <c r="AB466" i="76"/>
  <c r="Z466" i="76"/>
  <c r="Y466" i="76"/>
  <c r="AB465" i="76"/>
  <c r="Z465" i="76"/>
  <c r="Y465" i="76"/>
  <c r="AB464" i="76"/>
  <c r="Z464" i="76"/>
  <c r="Y464" i="76"/>
  <c r="AB463" i="76"/>
  <c r="Z463" i="76"/>
  <c r="Y463" i="76"/>
  <c r="Z462" i="76"/>
  <c r="Y462" i="76"/>
  <c r="AB461" i="76"/>
  <c r="Z461" i="76"/>
  <c r="Y461" i="76"/>
  <c r="AB460" i="76"/>
  <c r="AA460" i="76"/>
  <c r="Z460" i="76"/>
  <c r="Y460" i="76"/>
  <c r="AB459" i="76"/>
  <c r="Z459" i="76"/>
  <c r="Y459" i="76"/>
  <c r="AB458" i="76"/>
  <c r="Z458" i="76"/>
  <c r="Y458" i="76"/>
  <c r="Z457" i="76"/>
  <c r="Y457" i="76"/>
  <c r="AB456" i="76"/>
  <c r="Z456" i="76"/>
  <c r="Y456" i="76"/>
  <c r="AB455" i="76"/>
  <c r="Z455" i="76"/>
  <c r="Y455" i="76"/>
  <c r="AB454" i="76"/>
  <c r="AA454" i="76"/>
  <c r="Z454" i="76"/>
  <c r="Y454" i="76"/>
  <c r="AB453" i="76"/>
  <c r="Z453" i="76"/>
  <c r="Y453" i="76"/>
  <c r="Z452" i="76"/>
  <c r="Y452" i="76"/>
  <c r="AB451" i="76"/>
  <c r="Z451" i="76"/>
  <c r="Y451" i="76"/>
  <c r="AB450" i="76"/>
  <c r="Z450" i="76"/>
  <c r="Y450" i="76"/>
  <c r="AB449" i="76"/>
  <c r="Z449" i="76"/>
  <c r="Y449" i="76"/>
  <c r="AB448" i="76"/>
  <c r="AA448" i="76"/>
  <c r="Z448" i="76"/>
  <c r="Y448" i="76"/>
  <c r="Z447" i="76"/>
  <c r="Y447" i="76"/>
  <c r="AB446" i="76"/>
  <c r="Z446" i="76"/>
  <c r="Y446" i="76"/>
  <c r="AB445" i="76"/>
  <c r="Z445" i="76"/>
  <c r="Y445" i="76"/>
  <c r="AB444" i="76"/>
  <c r="Z444" i="76"/>
  <c r="Y444" i="76"/>
  <c r="AB443" i="76"/>
  <c r="Z443" i="76"/>
  <c r="Y443" i="76"/>
  <c r="Z442" i="76"/>
  <c r="Y442" i="76"/>
  <c r="AB441" i="76"/>
  <c r="Z441" i="76"/>
  <c r="Y441" i="76"/>
  <c r="AB440" i="76"/>
  <c r="Z440" i="76"/>
  <c r="Y440" i="76"/>
  <c r="AB439" i="76"/>
  <c r="Z439" i="76"/>
  <c r="Y439" i="76"/>
  <c r="AB438" i="76"/>
  <c r="AA438" i="76"/>
  <c r="Z438" i="76"/>
  <c r="Y438" i="76"/>
  <c r="Z437" i="76"/>
  <c r="Y437" i="76"/>
  <c r="AB436" i="76"/>
  <c r="AA436" i="76"/>
  <c r="Z436" i="76"/>
  <c r="Y436" i="76"/>
  <c r="AB435" i="76"/>
  <c r="Z435" i="76"/>
  <c r="Y435" i="76"/>
  <c r="AB434" i="76"/>
  <c r="Z434" i="76"/>
  <c r="Y434" i="76"/>
  <c r="AB433" i="76"/>
  <c r="Z433" i="76"/>
  <c r="Y433" i="76"/>
  <c r="Z432" i="76"/>
  <c r="Y432" i="76"/>
  <c r="AB431" i="76"/>
  <c r="AA431" i="76"/>
  <c r="Z431" i="76"/>
  <c r="Y431" i="76"/>
  <c r="AB430" i="76"/>
  <c r="Z430" i="76"/>
  <c r="Y430" i="76"/>
  <c r="AB429" i="76"/>
  <c r="AA429" i="76"/>
  <c r="Z429" i="76"/>
  <c r="Y429" i="76"/>
  <c r="AB428" i="76"/>
  <c r="Z428" i="76"/>
  <c r="Y428" i="76"/>
  <c r="Z427" i="76"/>
  <c r="Y427" i="76"/>
  <c r="AB426" i="76"/>
  <c r="Z426" i="76"/>
  <c r="Y426" i="76"/>
  <c r="AB425" i="76"/>
  <c r="AA425" i="76"/>
  <c r="Z425" i="76"/>
  <c r="Y425" i="76"/>
  <c r="AB424" i="76"/>
  <c r="AA424" i="76"/>
  <c r="Z424" i="76"/>
  <c r="Y424" i="76"/>
  <c r="AB423" i="76"/>
  <c r="Z423" i="76"/>
  <c r="Y423" i="76"/>
  <c r="Z422" i="76"/>
  <c r="Y422" i="76"/>
  <c r="AB421" i="76"/>
  <c r="Z421" i="76"/>
  <c r="Y421" i="76"/>
  <c r="AB420" i="76"/>
  <c r="Z420" i="76"/>
  <c r="Y420" i="76"/>
  <c r="AB419" i="76"/>
  <c r="AA419" i="76"/>
  <c r="Z419" i="76"/>
  <c r="Y419" i="76"/>
  <c r="AB418" i="76"/>
  <c r="AA418" i="76"/>
  <c r="Z418" i="76"/>
  <c r="Y418" i="76"/>
  <c r="Z417" i="76"/>
  <c r="Y417" i="76"/>
  <c r="AB416" i="76"/>
  <c r="Z416" i="76"/>
  <c r="Y416" i="76"/>
  <c r="AB415" i="76"/>
  <c r="Z415" i="76"/>
  <c r="Y415" i="76"/>
  <c r="AB414" i="76"/>
  <c r="AA414" i="76"/>
  <c r="Z414" i="76"/>
  <c r="Y414" i="76"/>
  <c r="AB413" i="76"/>
  <c r="Z413" i="76"/>
  <c r="Y413" i="76"/>
  <c r="Z412" i="76"/>
  <c r="Y412" i="76"/>
  <c r="AB411" i="76"/>
  <c r="Z411" i="76"/>
  <c r="Y411" i="76"/>
  <c r="AB410" i="76"/>
  <c r="Z410" i="76"/>
  <c r="Y410" i="76"/>
  <c r="AB409" i="76"/>
  <c r="Z409" i="76"/>
  <c r="Y409" i="76"/>
  <c r="AB408" i="76"/>
  <c r="Z408" i="76"/>
  <c r="Y408" i="76"/>
  <c r="Z407" i="76"/>
  <c r="Y407" i="76"/>
  <c r="AB406" i="76"/>
  <c r="AA406" i="76"/>
  <c r="Z406" i="76"/>
  <c r="Y406" i="76"/>
  <c r="AB405" i="76"/>
  <c r="Z405" i="76"/>
  <c r="Y405" i="76"/>
  <c r="AB404" i="76"/>
  <c r="Z404" i="76"/>
  <c r="Y404" i="76"/>
  <c r="AB403" i="76"/>
  <c r="Z403" i="76"/>
  <c r="Y403" i="76"/>
  <c r="Z402" i="76"/>
  <c r="Y402" i="76"/>
  <c r="AB401" i="76"/>
  <c r="Z401" i="76"/>
  <c r="Y401" i="76"/>
  <c r="AB400" i="76"/>
  <c r="Z400" i="76"/>
  <c r="Y400" i="76"/>
  <c r="AB399" i="76"/>
  <c r="Z399" i="76"/>
  <c r="Y399" i="76"/>
  <c r="AB398" i="76"/>
  <c r="Z398" i="76"/>
  <c r="Y398" i="76"/>
  <c r="Z397" i="76"/>
  <c r="Y397" i="76"/>
  <c r="AB396" i="76"/>
  <c r="Z396" i="76"/>
  <c r="Y396" i="76"/>
  <c r="AB395" i="76"/>
  <c r="Z395" i="76"/>
  <c r="Y395" i="76"/>
  <c r="AB394" i="76"/>
  <c r="Z394" i="76"/>
  <c r="Y394" i="76"/>
  <c r="AB393" i="76"/>
  <c r="Z393" i="76"/>
  <c r="Y393" i="76"/>
  <c r="Z392" i="76"/>
  <c r="Y392" i="76"/>
  <c r="AB391" i="76"/>
  <c r="Z391" i="76"/>
  <c r="Y391" i="76"/>
  <c r="AB390" i="76"/>
  <c r="Z390" i="76"/>
  <c r="Y390" i="76"/>
  <c r="AB389" i="76"/>
  <c r="Z389" i="76"/>
  <c r="Y389" i="76"/>
  <c r="AB388" i="76"/>
  <c r="AA388" i="76"/>
  <c r="Z388" i="76"/>
  <c r="Y388" i="76"/>
  <c r="Z387" i="76"/>
  <c r="Y387" i="76"/>
  <c r="AB386" i="76"/>
  <c r="Z386" i="76"/>
  <c r="Y386" i="76"/>
  <c r="AB385" i="76"/>
  <c r="AA385" i="76"/>
  <c r="Z385" i="76"/>
  <c r="Y385" i="76"/>
  <c r="AB384" i="76"/>
  <c r="Z384" i="76"/>
  <c r="Y384" i="76"/>
  <c r="AB383" i="76"/>
  <c r="Z383" i="76"/>
  <c r="Y383" i="76"/>
  <c r="Z382" i="76"/>
  <c r="Y382" i="76"/>
  <c r="AB381" i="76"/>
  <c r="Z381" i="76"/>
  <c r="Y381" i="76"/>
  <c r="AB380" i="76"/>
  <c r="AA380" i="76"/>
  <c r="Z380" i="76"/>
  <c r="Y380" i="76"/>
  <c r="AB379" i="76"/>
  <c r="AA379" i="76"/>
  <c r="Z379" i="76"/>
  <c r="Y379" i="76"/>
  <c r="AB378" i="76"/>
  <c r="Z378" i="76"/>
  <c r="Y378" i="76"/>
  <c r="Z377" i="76"/>
  <c r="Y377" i="76"/>
  <c r="AB376" i="76"/>
  <c r="Z376" i="76"/>
  <c r="Y376" i="76"/>
  <c r="AB375" i="76"/>
  <c r="Z375" i="76"/>
  <c r="Y375" i="76"/>
  <c r="AB374" i="76"/>
  <c r="AA374" i="76"/>
  <c r="Z374" i="76"/>
  <c r="Y374" i="76"/>
  <c r="AB373" i="76"/>
  <c r="AA373" i="76"/>
  <c r="Z373" i="76"/>
  <c r="Y373" i="76"/>
  <c r="Z372" i="76"/>
  <c r="Y372" i="76"/>
  <c r="AB371" i="76"/>
  <c r="Z371" i="76"/>
  <c r="Y371" i="76"/>
  <c r="AB370" i="76"/>
  <c r="Z370" i="76"/>
  <c r="Y370" i="76"/>
  <c r="AB369" i="76"/>
  <c r="Z369" i="76"/>
  <c r="Y369" i="76"/>
  <c r="AB368" i="76"/>
  <c r="AA368" i="76"/>
  <c r="Z368" i="76"/>
  <c r="Y368" i="76"/>
  <c r="Z367" i="76"/>
  <c r="Y367" i="76"/>
  <c r="AB366" i="76"/>
  <c r="Z366" i="76"/>
  <c r="Y366" i="76"/>
  <c r="AB365" i="76"/>
  <c r="Z365" i="76"/>
  <c r="Y365" i="76"/>
  <c r="AB364" i="76"/>
  <c r="Z364" i="76"/>
  <c r="Y364" i="76"/>
  <c r="AB363" i="76"/>
  <c r="AA363" i="76"/>
  <c r="Z363" i="76"/>
  <c r="Y363" i="76"/>
  <c r="Z362" i="76"/>
  <c r="Y362" i="76"/>
  <c r="AB361" i="76"/>
  <c r="Z361" i="76"/>
  <c r="Y361" i="76"/>
  <c r="AB360" i="76"/>
  <c r="Z360" i="76"/>
  <c r="Y360" i="76"/>
  <c r="AB359" i="76"/>
  <c r="Z359" i="76"/>
  <c r="Y359" i="76"/>
  <c r="AB358" i="76"/>
  <c r="Z358" i="76"/>
  <c r="Y358" i="76"/>
  <c r="Z357" i="76"/>
  <c r="Y357" i="76"/>
  <c r="AB356" i="76"/>
  <c r="AA356" i="76"/>
  <c r="Z356" i="76"/>
  <c r="Y356" i="76"/>
  <c r="AB355" i="76"/>
  <c r="Z355" i="76"/>
  <c r="Y355" i="76"/>
  <c r="AB354" i="76"/>
  <c r="Z354" i="76"/>
  <c r="Y354" i="76"/>
  <c r="AB353" i="76"/>
  <c r="Z353" i="76"/>
  <c r="Y353" i="76"/>
  <c r="Z352" i="76"/>
  <c r="Y352" i="76"/>
  <c r="AB351" i="76"/>
  <c r="Z351" i="76"/>
  <c r="Y351" i="76"/>
  <c r="AB350" i="76"/>
  <c r="Z350" i="76"/>
  <c r="Y350" i="76"/>
  <c r="AB349" i="76"/>
  <c r="AA349" i="76"/>
  <c r="Z349" i="76"/>
  <c r="Y349" i="76"/>
  <c r="AB348" i="76"/>
  <c r="Z348" i="76"/>
  <c r="Y348" i="76"/>
  <c r="Z347" i="76"/>
  <c r="Y347" i="76"/>
  <c r="AB346" i="76"/>
  <c r="Z346" i="76"/>
  <c r="Y346" i="76"/>
  <c r="AB345" i="76"/>
  <c r="Z345" i="76"/>
  <c r="Y345" i="76"/>
  <c r="AB344" i="76"/>
  <c r="Z344" i="76"/>
  <c r="Y344" i="76"/>
  <c r="AB343" i="76"/>
  <c r="Z343" i="76"/>
  <c r="Y343" i="76"/>
  <c r="Z342" i="76"/>
  <c r="Y342" i="76"/>
  <c r="AB341" i="76"/>
  <c r="Z341" i="76"/>
  <c r="Y341" i="76"/>
  <c r="AB340" i="76"/>
  <c r="Z340" i="76"/>
  <c r="Y340" i="76"/>
  <c r="AB339" i="76"/>
  <c r="Z339" i="76"/>
  <c r="Y339" i="76"/>
  <c r="AB338" i="76"/>
  <c r="AA338" i="76"/>
  <c r="Z338" i="76"/>
  <c r="Y338" i="76"/>
  <c r="Z337" i="76"/>
  <c r="Y337" i="76"/>
  <c r="AB336" i="76"/>
  <c r="AA336" i="76"/>
  <c r="Z336" i="76"/>
  <c r="Y336" i="76"/>
  <c r="AB335" i="76"/>
  <c r="Z335" i="76"/>
  <c r="Y335" i="76"/>
  <c r="AB334" i="76"/>
  <c r="Z334" i="76"/>
  <c r="Y334" i="76"/>
  <c r="AB333" i="76"/>
  <c r="Z333" i="76"/>
  <c r="Y333" i="76"/>
  <c r="Z332" i="76"/>
  <c r="Y332" i="76"/>
  <c r="AB331" i="76"/>
  <c r="Z331" i="76"/>
  <c r="Y331" i="76"/>
  <c r="AB330" i="76"/>
  <c r="Z330" i="76"/>
  <c r="Y330" i="76"/>
  <c r="AB329" i="76"/>
  <c r="Z329" i="76"/>
  <c r="Y329" i="76"/>
  <c r="AB328" i="76"/>
  <c r="Z328" i="76"/>
  <c r="Y328" i="76"/>
  <c r="Z327" i="76"/>
  <c r="Y327" i="76"/>
  <c r="AB326" i="76"/>
  <c r="Z326" i="76"/>
  <c r="Y326" i="76"/>
  <c r="AB325" i="76"/>
  <c r="AA325" i="76"/>
  <c r="Z325" i="76"/>
  <c r="Y325" i="76"/>
  <c r="AB324" i="76"/>
  <c r="Z324" i="76"/>
  <c r="Y324" i="76"/>
  <c r="AB323" i="76"/>
  <c r="Z323" i="76"/>
  <c r="Y323" i="76"/>
  <c r="Z322" i="76"/>
  <c r="Y322" i="76"/>
  <c r="AB321" i="76"/>
  <c r="Z321" i="76"/>
  <c r="Y321" i="76"/>
  <c r="AB320" i="76"/>
  <c r="Z320" i="76"/>
  <c r="Y320" i="76"/>
  <c r="AB319" i="76"/>
  <c r="AA319" i="76"/>
  <c r="Z319" i="76"/>
  <c r="Y319" i="76"/>
  <c r="AB318" i="76"/>
  <c r="Z318" i="76"/>
  <c r="Y318" i="76"/>
  <c r="Z317" i="76"/>
  <c r="Y317" i="76"/>
  <c r="AB316" i="76"/>
  <c r="Z316" i="76"/>
  <c r="Y316" i="76"/>
  <c r="AB315" i="76"/>
  <c r="Z315" i="76"/>
  <c r="Y315" i="76"/>
  <c r="AB314" i="76"/>
  <c r="Z314" i="76"/>
  <c r="Y314" i="76"/>
  <c r="AB313" i="76"/>
  <c r="AA313" i="76"/>
  <c r="Z313" i="76"/>
  <c r="Y313" i="76"/>
  <c r="Z312" i="76"/>
  <c r="Y312" i="76"/>
  <c r="AB311" i="76"/>
  <c r="Z311" i="76"/>
  <c r="Y311" i="76"/>
  <c r="AB310" i="76"/>
  <c r="AA310" i="76"/>
  <c r="Z310" i="76"/>
  <c r="Y310" i="76"/>
  <c r="AB309" i="76"/>
  <c r="Z309" i="76"/>
  <c r="Y309" i="76"/>
  <c r="AB308" i="76"/>
  <c r="Z308" i="76"/>
  <c r="Y308" i="76"/>
  <c r="Z307" i="76"/>
  <c r="Y307" i="76"/>
  <c r="AB306" i="76"/>
  <c r="Z306" i="76"/>
  <c r="Y306" i="76"/>
  <c r="AB305" i="76"/>
  <c r="Z305" i="76"/>
  <c r="Y305" i="76"/>
  <c r="AB304" i="76"/>
  <c r="Z304" i="76"/>
  <c r="Y304" i="76"/>
  <c r="AB303" i="76"/>
  <c r="Z303" i="76"/>
  <c r="Y303" i="76"/>
  <c r="Z302" i="76"/>
  <c r="Y302" i="76"/>
  <c r="AB301" i="76"/>
  <c r="Z301" i="76"/>
  <c r="Y301" i="76"/>
  <c r="AB300" i="76"/>
  <c r="Z300" i="76"/>
  <c r="Y300" i="76"/>
  <c r="AB299" i="76"/>
  <c r="Z299" i="76"/>
  <c r="Y299" i="76"/>
  <c r="AB298" i="76"/>
  <c r="AA298" i="76"/>
  <c r="Z298" i="76"/>
  <c r="Y298" i="76"/>
  <c r="Z297" i="76"/>
  <c r="Y297" i="76"/>
  <c r="AB296" i="76"/>
  <c r="Z296" i="76"/>
  <c r="Y296" i="76"/>
  <c r="AB295" i="76"/>
  <c r="Z295" i="76"/>
  <c r="Y295" i="76"/>
  <c r="AB294" i="76"/>
  <c r="Z294" i="76"/>
  <c r="Y294" i="76"/>
  <c r="AB293" i="76"/>
  <c r="AA293" i="76"/>
  <c r="Z293" i="76"/>
  <c r="Y293" i="76"/>
  <c r="Z292" i="76"/>
  <c r="Y292" i="76"/>
  <c r="AB291" i="76"/>
  <c r="Z291" i="76"/>
  <c r="Y291" i="76"/>
  <c r="AB290" i="76"/>
  <c r="Z290" i="76"/>
  <c r="Y290" i="76"/>
  <c r="AB289" i="76"/>
  <c r="Z289" i="76"/>
  <c r="Y289" i="76"/>
  <c r="AB288" i="76"/>
  <c r="Z288" i="76"/>
  <c r="Y288" i="76"/>
  <c r="Z287" i="76"/>
  <c r="Y287" i="76"/>
  <c r="AB286" i="76"/>
  <c r="AA286" i="76"/>
  <c r="Z286" i="76"/>
  <c r="Y286" i="76"/>
  <c r="AB285" i="76"/>
  <c r="Z285" i="76"/>
  <c r="Y285" i="76"/>
  <c r="AB284" i="76"/>
  <c r="Z284" i="76"/>
  <c r="Y284" i="76"/>
  <c r="AB283" i="76"/>
  <c r="Z283" i="76"/>
  <c r="Y283" i="76"/>
  <c r="Z282" i="76"/>
  <c r="Y282" i="76"/>
  <c r="AB281" i="76"/>
  <c r="Z281" i="76"/>
  <c r="Y281" i="76"/>
  <c r="AB280" i="76"/>
  <c r="AA280" i="76"/>
  <c r="Z280" i="76"/>
  <c r="Y280" i="76"/>
  <c r="AB279" i="76"/>
  <c r="Z279" i="76"/>
  <c r="Y279" i="76"/>
  <c r="AB278" i="76"/>
  <c r="Z278" i="76"/>
  <c r="Y278" i="76"/>
  <c r="Z277" i="76"/>
  <c r="Y277" i="76"/>
  <c r="AB276" i="76"/>
  <c r="Z276" i="76"/>
  <c r="Y276" i="76"/>
  <c r="AB275" i="76"/>
  <c r="AA275" i="76"/>
  <c r="Z275" i="76"/>
  <c r="Y275" i="76"/>
  <c r="AB274" i="76"/>
  <c r="AA274" i="76"/>
  <c r="Z274" i="76"/>
  <c r="Y274" i="76"/>
  <c r="AB273" i="76"/>
  <c r="Z273" i="76"/>
  <c r="Y273" i="76"/>
  <c r="Z272" i="76"/>
  <c r="Y272" i="76"/>
  <c r="AB271" i="76"/>
  <c r="Z271" i="76"/>
  <c r="Y271" i="76"/>
  <c r="AB270" i="76"/>
  <c r="Z270" i="76"/>
  <c r="Y270" i="76"/>
  <c r="AB269" i="76"/>
  <c r="AA269" i="76"/>
  <c r="Z269" i="76"/>
  <c r="Y269" i="76"/>
  <c r="AB268" i="76"/>
  <c r="AA268" i="76"/>
  <c r="Z268" i="76"/>
  <c r="Y268" i="76"/>
  <c r="Z267" i="76"/>
  <c r="Y267" i="76"/>
  <c r="AB266" i="76"/>
  <c r="Z266" i="76"/>
  <c r="Y266" i="76"/>
  <c r="AB265" i="76"/>
  <c r="Z265" i="76"/>
  <c r="Y265" i="76"/>
  <c r="AB264" i="76"/>
  <c r="Z264" i="76"/>
  <c r="Y264" i="76"/>
  <c r="AB263" i="76"/>
  <c r="AA263" i="76"/>
  <c r="Z263" i="76"/>
  <c r="Y263" i="76"/>
  <c r="Z262" i="76"/>
  <c r="Y262" i="76"/>
  <c r="AB261" i="76"/>
  <c r="Z261" i="76"/>
  <c r="Y261" i="76"/>
  <c r="AB260" i="76"/>
  <c r="Z260" i="76"/>
  <c r="Y260" i="76"/>
  <c r="AB259" i="76"/>
  <c r="Z259" i="76"/>
  <c r="Y259" i="76"/>
  <c r="AB258" i="76"/>
  <c r="Z258" i="76"/>
  <c r="Y258" i="76"/>
  <c r="Z257" i="76"/>
  <c r="Y257" i="76"/>
  <c r="AB256" i="76"/>
  <c r="AA256" i="76"/>
  <c r="Z256" i="76"/>
  <c r="Y256" i="76"/>
  <c r="AB255" i="76"/>
  <c r="Z255" i="76"/>
  <c r="Y255" i="76"/>
  <c r="AB254" i="76"/>
  <c r="Z254" i="76"/>
  <c r="Y254" i="76"/>
  <c r="AB253" i="76"/>
  <c r="Z253" i="76"/>
  <c r="Y253" i="76"/>
  <c r="Z252" i="76"/>
  <c r="Y252" i="76"/>
  <c r="AB251" i="76"/>
  <c r="AA251" i="76"/>
  <c r="Z251" i="76"/>
  <c r="Y251" i="76"/>
  <c r="AB250" i="76"/>
  <c r="Z250" i="76"/>
  <c r="Y250" i="76"/>
  <c r="AB249" i="76"/>
  <c r="AA249" i="76"/>
  <c r="Z249" i="76"/>
  <c r="Y249" i="76"/>
  <c r="AB248" i="76"/>
  <c r="Z248" i="76"/>
  <c r="Y248" i="76"/>
  <c r="Z247" i="76"/>
  <c r="Y247" i="76"/>
  <c r="AB246" i="76"/>
  <c r="Z246" i="76"/>
  <c r="Y246" i="76"/>
  <c r="AB245" i="76"/>
  <c r="AA245" i="76"/>
  <c r="Z245" i="76"/>
  <c r="Y245" i="76"/>
  <c r="AB244" i="76"/>
  <c r="Z244" i="76"/>
  <c r="Y244" i="76"/>
  <c r="AB243" i="76"/>
  <c r="AA243" i="76"/>
  <c r="Z243" i="76"/>
  <c r="Y243" i="76"/>
  <c r="Z242" i="76"/>
  <c r="Y242" i="76"/>
  <c r="AB241" i="76"/>
  <c r="Z241" i="76"/>
  <c r="Y241" i="76"/>
  <c r="AB240" i="76"/>
  <c r="Z240" i="76"/>
  <c r="Y240" i="76"/>
  <c r="AB239" i="76"/>
  <c r="Z239" i="76"/>
  <c r="Y239" i="76"/>
  <c r="AB238" i="76"/>
  <c r="AA238" i="76"/>
  <c r="Z238" i="76"/>
  <c r="Y238" i="76"/>
  <c r="Z237" i="76"/>
  <c r="Y237" i="76"/>
  <c r="AB236" i="76"/>
  <c r="Z236" i="76"/>
  <c r="Y236" i="76"/>
  <c r="AB235" i="76"/>
  <c r="Z235" i="76"/>
  <c r="Y235" i="76"/>
  <c r="AB234" i="76"/>
  <c r="Z234" i="76"/>
  <c r="Y234" i="76"/>
  <c r="AB233" i="76"/>
  <c r="Z233" i="76"/>
  <c r="Y233" i="76"/>
  <c r="Z232" i="76"/>
  <c r="Y232" i="76"/>
  <c r="AB231" i="76"/>
  <c r="AA231" i="76"/>
  <c r="Z231" i="76"/>
  <c r="Y231" i="76"/>
  <c r="AB230" i="76"/>
  <c r="Z230" i="76"/>
  <c r="Y230" i="76"/>
  <c r="AB229" i="76"/>
  <c r="Z229" i="76"/>
  <c r="Y229" i="76"/>
  <c r="AB228" i="76"/>
  <c r="Z228" i="76"/>
  <c r="Y228" i="76"/>
  <c r="Z227" i="76"/>
  <c r="Y227" i="76"/>
  <c r="AB226" i="76"/>
  <c r="Z226" i="76"/>
  <c r="Y226" i="76"/>
  <c r="AB225" i="76"/>
  <c r="AA225" i="76"/>
  <c r="Z225" i="76"/>
  <c r="Y225" i="76"/>
  <c r="AB224" i="76"/>
  <c r="Z224" i="76"/>
  <c r="Y224" i="76"/>
  <c r="AB223" i="76"/>
  <c r="Z223" i="76"/>
  <c r="Y223" i="76"/>
  <c r="Z222" i="76"/>
  <c r="Y222" i="76"/>
  <c r="AB221" i="76"/>
  <c r="Z221" i="76"/>
  <c r="Y221" i="76"/>
  <c r="AB220" i="76"/>
  <c r="AA220" i="76"/>
  <c r="Z220" i="76"/>
  <c r="Y220" i="76"/>
  <c r="AB219" i="76"/>
  <c r="Z219" i="76"/>
  <c r="Y219" i="76"/>
  <c r="AB218" i="76"/>
  <c r="Z218" i="76"/>
  <c r="Y218" i="76"/>
  <c r="Z217" i="76"/>
  <c r="Y217" i="76"/>
  <c r="AB216" i="76"/>
  <c r="Z216" i="76"/>
  <c r="Y216" i="76"/>
  <c r="AB215" i="76"/>
  <c r="Z215" i="76"/>
  <c r="Y215" i="76"/>
  <c r="AB214" i="76"/>
  <c r="Z214" i="76"/>
  <c r="Y214" i="76"/>
  <c r="AB213" i="76"/>
  <c r="Z213" i="76"/>
  <c r="Y213" i="76"/>
  <c r="Z212" i="76"/>
  <c r="Y212" i="76"/>
  <c r="AB211" i="76"/>
  <c r="Z211" i="76"/>
  <c r="Y211" i="76"/>
  <c r="AB210" i="76"/>
  <c r="Z210" i="76"/>
  <c r="Y210" i="76"/>
  <c r="AB209" i="76"/>
  <c r="Z209" i="76"/>
  <c r="Y209" i="76"/>
  <c r="AB208" i="76"/>
  <c r="Z208" i="76"/>
  <c r="Y208" i="76"/>
  <c r="Z207" i="76"/>
  <c r="Y207" i="76"/>
  <c r="AB206" i="76"/>
  <c r="Z206" i="76"/>
  <c r="Y206" i="76"/>
  <c r="AB205" i="76"/>
  <c r="Z205" i="76"/>
  <c r="Y205" i="76"/>
  <c r="AB204" i="76"/>
  <c r="Z204" i="76"/>
  <c r="Y204" i="76"/>
  <c r="AB203" i="76"/>
  <c r="Z203" i="76"/>
  <c r="Y203" i="76"/>
  <c r="Z202" i="76"/>
  <c r="Y202" i="76"/>
  <c r="AB201" i="76"/>
  <c r="Z201" i="76"/>
  <c r="Y201" i="76"/>
  <c r="AB200" i="76"/>
  <c r="Z200" i="76"/>
  <c r="Y200" i="76"/>
  <c r="AB199" i="76"/>
  <c r="AA199" i="76"/>
  <c r="Z199" i="76"/>
  <c r="Y199" i="76"/>
  <c r="AB198" i="76"/>
  <c r="Z198" i="76"/>
  <c r="Y198" i="76"/>
  <c r="Z197" i="76"/>
  <c r="Y197" i="76"/>
  <c r="AB196" i="76"/>
  <c r="Z196" i="76"/>
  <c r="Y196" i="76"/>
  <c r="AB195" i="76"/>
  <c r="Z195" i="76"/>
  <c r="Y195" i="76"/>
  <c r="AB194" i="76"/>
  <c r="Z194" i="76"/>
  <c r="Y194" i="76"/>
  <c r="AB193" i="76"/>
  <c r="AA193" i="76"/>
  <c r="Z193" i="76"/>
  <c r="Y193" i="76"/>
  <c r="Z192" i="76"/>
  <c r="Y192" i="76"/>
  <c r="AB191" i="76"/>
  <c r="Z191" i="76"/>
  <c r="Y191" i="76"/>
  <c r="AB190" i="76"/>
  <c r="Z190" i="76"/>
  <c r="Y190" i="76"/>
  <c r="AB189" i="76"/>
  <c r="Z189" i="76"/>
  <c r="Y189" i="76"/>
  <c r="AB188" i="76"/>
  <c r="AA188" i="76"/>
  <c r="Z188" i="76"/>
  <c r="Y188" i="76"/>
  <c r="Z187" i="76"/>
  <c r="Y187" i="76"/>
  <c r="AB186" i="76"/>
  <c r="AA186" i="76"/>
  <c r="Z186" i="76"/>
  <c r="Y186" i="76"/>
  <c r="AB185" i="76"/>
  <c r="Z185" i="76"/>
  <c r="Y185" i="76"/>
  <c r="AB184" i="76"/>
  <c r="Z184" i="76"/>
  <c r="Y184" i="76"/>
  <c r="AB183" i="76"/>
  <c r="Z183" i="76"/>
  <c r="Y183" i="76"/>
  <c r="Z182" i="76"/>
  <c r="Y182" i="76"/>
  <c r="AB181" i="76"/>
  <c r="Z181" i="76"/>
  <c r="Y181" i="76"/>
  <c r="AB180" i="76"/>
  <c r="Z180" i="76"/>
  <c r="Y180" i="76"/>
  <c r="AB179" i="76"/>
  <c r="Z179" i="76"/>
  <c r="Y179" i="76"/>
  <c r="AB178" i="76"/>
  <c r="Z178" i="76"/>
  <c r="Y178" i="76"/>
  <c r="Z177" i="76"/>
  <c r="Y177" i="76"/>
  <c r="AB176" i="76"/>
  <c r="AA176" i="76"/>
  <c r="Z176" i="76"/>
  <c r="Y176" i="76"/>
  <c r="AB175" i="76"/>
  <c r="Z175" i="76"/>
  <c r="Y175" i="76"/>
  <c r="AB174" i="76"/>
  <c r="AA174" i="76"/>
  <c r="Z174" i="76"/>
  <c r="Y174" i="76"/>
  <c r="AB173" i="76"/>
  <c r="Z173" i="76"/>
  <c r="Y173" i="76"/>
  <c r="Z172" i="76"/>
  <c r="Y172" i="76"/>
  <c r="AB171" i="76"/>
  <c r="Z171" i="76"/>
  <c r="Y171" i="76"/>
  <c r="AB170" i="76"/>
  <c r="AA170" i="76"/>
  <c r="Z170" i="76"/>
  <c r="Y170" i="76"/>
  <c r="AB169" i="76"/>
  <c r="AA169" i="76"/>
  <c r="Z169" i="76"/>
  <c r="Y169" i="76"/>
  <c r="AB168" i="76"/>
  <c r="AA168" i="76"/>
  <c r="Z168" i="76"/>
  <c r="Y168" i="76"/>
  <c r="Z167" i="76"/>
  <c r="Y167" i="76"/>
  <c r="AB166" i="76"/>
  <c r="Z166" i="76"/>
  <c r="Y166" i="76"/>
  <c r="AB165" i="76"/>
  <c r="Z165" i="76"/>
  <c r="Y165" i="76"/>
  <c r="AB164" i="76"/>
  <c r="AA164" i="76"/>
  <c r="Z164" i="76"/>
  <c r="Y164" i="76"/>
  <c r="AB163" i="76"/>
  <c r="Z163" i="76"/>
  <c r="Y163" i="76"/>
  <c r="Z162" i="76"/>
  <c r="Y162" i="76"/>
  <c r="AB161" i="76"/>
  <c r="Z161" i="76"/>
  <c r="Y161" i="76"/>
  <c r="AB160" i="76"/>
  <c r="Z160" i="76"/>
  <c r="Y160" i="76"/>
  <c r="AB159" i="76"/>
  <c r="Z159" i="76"/>
  <c r="Y159" i="76"/>
  <c r="AB158" i="76"/>
  <c r="AA158" i="76"/>
  <c r="Z158" i="76"/>
  <c r="Y158" i="76"/>
  <c r="Z157" i="76"/>
  <c r="Y157" i="76"/>
  <c r="AB156" i="76"/>
  <c r="AA156" i="76"/>
  <c r="Z156" i="76"/>
  <c r="Y156" i="76"/>
  <c r="AB155" i="76"/>
  <c r="Z155" i="76"/>
  <c r="Y155" i="76"/>
  <c r="AB154" i="76"/>
  <c r="Z154" i="76"/>
  <c r="Y154" i="76"/>
  <c r="AB153" i="76"/>
  <c r="Z153" i="76"/>
  <c r="Y153" i="76"/>
  <c r="Z152" i="76"/>
  <c r="Y152" i="76"/>
  <c r="AB151" i="76"/>
  <c r="Z151" i="76"/>
  <c r="Y151" i="76"/>
  <c r="AB150" i="76"/>
  <c r="Z150" i="76"/>
  <c r="Y150" i="76"/>
  <c r="AB149" i="76"/>
  <c r="Z149" i="76"/>
  <c r="Y149" i="76"/>
  <c r="AB148" i="76"/>
  <c r="Z148" i="76"/>
  <c r="Y148" i="76"/>
  <c r="Z147" i="76"/>
  <c r="Y147" i="76"/>
  <c r="AB146" i="76"/>
  <c r="Z146" i="76"/>
  <c r="Y146" i="76"/>
  <c r="AB145" i="76"/>
  <c r="AA145" i="76"/>
  <c r="Z145" i="76"/>
  <c r="Y145" i="76"/>
  <c r="AB144" i="76"/>
  <c r="Z144" i="76"/>
  <c r="Y144" i="76"/>
  <c r="AB143" i="76"/>
  <c r="Z143" i="76"/>
  <c r="Y143" i="76"/>
  <c r="Z142" i="76"/>
  <c r="Y142" i="76"/>
  <c r="AB141" i="76"/>
  <c r="Z141" i="76"/>
  <c r="Y141" i="76"/>
  <c r="AB140" i="76"/>
  <c r="Z140" i="76"/>
  <c r="Y140" i="76"/>
  <c r="AB139" i="76"/>
  <c r="Z139" i="76"/>
  <c r="Y139" i="76"/>
  <c r="AB138" i="76"/>
  <c r="AA138" i="76"/>
  <c r="Z138" i="76"/>
  <c r="Y138" i="76"/>
  <c r="Z137" i="76"/>
  <c r="Y137" i="76"/>
  <c r="AB136" i="76"/>
  <c r="Z136" i="76"/>
  <c r="Y136" i="76"/>
  <c r="AB135" i="76"/>
  <c r="Z135" i="76"/>
  <c r="Y135" i="76"/>
  <c r="AB134" i="76"/>
  <c r="Z134" i="76"/>
  <c r="Y134" i="76"/>
  <c r="AB133" i="76"/>
  <c r="Z133" i="76"/>
  <c r="Y133" i="76"/>
  <c r="Z132" i="76"/>
  <c r="Y132" i="76"/>
  <c r="AB131" i="76"/>
  <c r="Z131" i="76"/>
  <c r="Y131" i="76"/>
  <c r="AB130" i="76"/>
  <c r="AA130" i="76"/>
  <c r="Z130" i="76"/>
  <c r="Y130" i="76"/>
  <c r="AB129" i="76"/>
  <c r="Z129" i="76"/>
  <c r="Y129" i="76"/>
  <c r="AB128" i="76"/>
  <c r="Z128" i="76"/>
  <c r="Y128" i="76"/>
  <c r="Z127" i="76"/>
  <c r="Y127" i="76"/>
  <c r="AB126" i="76"/>
  <c r="AA126" i="76"/>
  <c r="Z126" i="76"/>
  <c r="Y126" i="76"/>
  <c r="AB125" i="76"/>
  <c r="Z125" i="76"/>
  <c r="Y125" i="76"/>
  <c r="AB124" i="76"/>
  <c r="AA124" i="76"/>
  <c r="Z124" i="76"/>
  <c r="Y124" i="76"/>
  <c r="AB123" i="76"/>
  <c r="Z123" i="76"/>
  <c r="Y123" i="76"/>
  <c r="Z122" i="76"/>
  <c r="Y122" i="76"/>
  <c r="AB121" i="76"/>
  <c r="Z121" i="76"/>
  <c r="Y121" i="76"/>
  <c r="AB120" i="76"/>
  <c r="Z120" i="76"/>
  <c r="Y120" i="76"/>
  <c r="AB119" i="76"/>
  <c r="Z119" i="76"/>
  <c r="Y119" i="76"/>
  <c r="AB118" i="76"/>
  <c r="AA118" i="76"/>
  <c r="Z118" i="76"/>
  <c r="Y118" i="76"/>
  <c r="Z117" i="76"/>
  <c r="Y117" i="76"/>
  <c r="AB116" i="76"/>
  <c r="Z116" i="76"/>
  <c r="Y116" i="76"/>
  <c r="AB115" i="76"/>
  <c r="Z115" i="76"/>
  <c r="Y115" i="76"/>
  <c r="AB114" i="76"/>
  <c r="Z114" i="76"/>
  <c r="Y114" i="76"/>
  <c r="AB113" i="76"/>
  <c r="AA113" i="76"/>
  <c r="Z113" i="76"/>
  <c r="Y113" i="76"/>
  <c r="Z112" i="76"/>
  <c r="Y112" i="76"/>
  <c r="AB111" i="76"/>
  <c r="Z111" i="76"/>
  <c r="Y111" i="76"/>
  <c r="AB110" i="76"/>
  <c r="Z110" i="76"/>
  <c r="Y110" i="76"/>
  <c r="AB109" i="76"/>
  <c r="Z109" i="76"/>
  <c r="Y109" i="76"/>
  <c r="AB108" i="76"/>
  <c r="Z108" i="76"/>
  <c r="Y108" i="76"/>
  <c r="Z107" i="76"/>
  <c r="Y107" i="76"/>
  <c r="AB106" i="76"/>
  <c r="AA106" i="76"/>
  <c r="Z106" i="76"/>
  <c r="Y106" i="76"/>
  <c r="AB105" i="76"/>
  <c r="Z105" i="76"/>
  <c r="Y105" i="76"/>
  <c r="AB104" i="76"/>
  <c r="Z104" i="76"/>
  <c r="Y104" i="76"/>
  <c r="AB103" i="76"/>
  <c r="Z103" i="76"/>
  <c r="Y103" i="76"/>
  <c r="Z102" i="76"/>
  <c r="Y102" i="76"/>
  <c r="AB101" i="76"/>
  <c r="AA101" i="76"/>
  <c r="Z101" i="76"/>
  <c r="Y101" i="76"/>
  <c r="AB100" i="76"/>
  <c r="Z100" i="76"/>
  <c r="Y100" i="76"/>
  <c r="AB99" i="76"/>
  <c r="AA99" i="76"/>
  <c r="Z99" i="76"/>
  <c r="Y99" i="76"/>
  <c r="AB98" i="76"/>
  <c r="Z98" i="76"/>
  <c r="Y98" i="76"/>
  <c r="Z97" i="76"/>
  <c r="Y97" i="76"/>
  <c r="AB96" i="76"/>
  <c r="Z96" i="76"/>
  <c r="Y96" i="76"/>
  <c r="AB95" i="76"/>
  <c r="AA95" i="76"/>
  <c r="Z95" i="76"/>
  <c r="Y95" i="76"/>
  <c r="AB94" i="76"/>
  <c r="Z94" i="76"/>
  <c r="Y94" i="76"/>
  <c r="AB93" i="76"/>
  <c r="Z93" i="76"/>
  <c r="Y93" i="76"/>
  <c r="Z92" i="76"/>
  <c r="Y92" i="76"/>
  <c r="AB91" i="76"/>
  <c r="Z91" i="76"/>
  <c r="Y91" i="76"/>
  <c r="AB90" i="76"/>
  <c r="Z90" i="76"/>
  <c r="Y90" i="76"/>
  <c r="AB89" i="76"/>
  <c r="Z89" i="76"/>
  <c r="Y89" i="76"/>
  <c r="AB88" i="76"/>
  <c r="AA88" i="76"/>
  <c r="Z88" i="76"/>
  <c r="Y88" i="76"/>
  <c r="Z87" i="76"/>
  <c r="Y87" i="76"/>
  <c r="AB86" i="76"/>
  <c r="AA86" i="76"/>
  <c r="Z86" i="76"/>
  <c r="Y86" i="76"/>
  <c r="AB85" i="76"/>
  <c r="Z85" i="76"/>
  <c r="Y85" i="76"/>
  <c r="AB84" i="76"/>
  <c r="Z84" i="76"/>
  <c r="Y84" i="76"/>
  <c r="AB83" i="76"/>
  <c r="Z83" i="76"/>
  <c r="Y83" i="76"/>
  <c r="AB82" i="76"/>
  <c r="Z82" i="76"/>
  <c r="Y82" i="76"/>
  <c r="AB81" i="76"/>
  <c r="Z81" i="76"/>
  <c r="Y81" i="76"/>
  <c r="AB80" i="76"/>
  <c r="AA80" i="76"/>
  <c r="Z80" i="76"/>
  <c r="Y80" i="76"/>
  <c r="AB79" i="76"/>
  <c r="Z79" i="76"/>
  <c r="Y79" i="76"/>
  <c r="Z78" i="76"/>
  <c r="Y78" i="76"/>
  <c r="AB77" i="76"/>
  <c r="Z77" i="76"/>
  <c r="Y77" i="76"/>
  <c r="AB76" i="76"/>
  <c r="AA76" i="76"/>
  <c r="Z76" i="76"/>
  <c r="Y76" i="76"/>
  <c r="AB75" i="76"/>
  <c r="Z75" i="76"/>
  <c r="Y75" i="76"/>
  <c r="AB74" i="76"/>
  <c r="Z74" i="76"/>
  <c r="Y74" i="76"/>
  <c r="AB73" i="76"/>
  <c r="Z73" i="76"/>
  <c r="Y73" i="76"/>
  <c r="AB72" i="76"/>
  <c r="Z72" i="76"/>
  <c r="Y72" i="76"/>
  <c r="AB71" i="76"/>
  <c r="Z71" i="76"/>
  <c r="Y71" i="76"/>
  <c r="AB70" i="76"/>
  <c r="Z70" i="76"/>
  <c r="Y70" i="76"/>
  <c r="AB69" i="76"/>
  <c r="Z69" i="76"/>
  <c r="Y69" i="76"/>
  <c r="AB68" i="76"/>
  <c r="Z68" i="76"/>
  <c r="Y68" i="76"/>
  <c r="AB67" i="76"/>
  <c r="Z67" i="76"/>
  <c r="Y67" i="76"/>
  <c r="AB66" i="76"/>
  <c r="Z66" i="76"/>
  <c r="Y66" i="76"/>
  <c r="AB65" i="76"/>
  <c r="Z65" i="76"/>
  <c r="Y65" i="76"/>
  <c r="AB64" i="76"/>
  <c r="AA64" i="76"/>
  <c r="Z64" i="76"/>
  <c r="Y64" i="76"/>
  <c r="AB63" i="76"/>
  <c r="Z63" i="76"/>
  <c r="Y63" i="76"/>
  <c r="AB62" i="76"/>
  <c r="Z62" i="76"/>
  <c r="Y62" i="76"/>
  <c r="AB61" i="76"/>
  <c r="Z61" i="76"/>
  <c r="Y61" i="76"/>
  <c r="AB60" i="76"/>
  <c r="Z60" i="76"/>
  <c r="Y60" i="76"/>
  <c r="AB59" i="76"/>
  <c r="Z59" i="76"/>
  <c r="Y59" i="76"/>
  <c r="AB58" i="76"/>
  <c r="Z58" i="76"/>
  <c r="Y58" i="76"/>
  <c r="Z57" i="76"/>
  <c r="Y57" i="76"/>
  <c r="AB56" i="76"/>
  <c r="AA56" i="76"/>
  <c r="Z56" i="76"/>
  <c r="Y56" i="76"/>
  <c r="AB55" i="76"/>
  <c r="Z55" i="76"/>
  <c r="Y55" i="76"/>
  <c r="AB54" i="76"/>
  <c r="Z54" i="76"/>
  <c r="Y54" i="76"/>
  <c r="AB53" i="76"/>
  <c r="Z53" i="76"/>
  <c r="Y53" i="76"/>
  <c r="AB52" i="76"/>
  <c r="Z52" i="76"/>
  <c r="Y52" i="76"/>
  <c r="AB51" i="76"/>
  <c r="Z51" i="76"/>
  <c r="Y51" i="76"/>
  <c r="AB50" i="76"/>
  <c r="AA50" i="76"/>
  <c r="Z50" i="76"/>
  <c r="Y50" i="76"/>
  <c r="AB49" i="76"/>
  <c r="Z49" i="76"/>
  <c r="Y49" i="76"/>
  <c r="AB48" i="76"/>
  <c r="Z48" i="76"/>
  <c r="Y48" i="76"/>
  <c r="AB47" i="76"/>
  <c r="Z47" i="76"/>
  <c r="Y47" i="76"/>
  <c r="AB46" i="76"/>
  <c r="Z46" i="76"/>
  <c r="Y46" i="76"/>
  <c r="AB45" i="76"/>
  <c r="AA45" i="76"/>
  <c r="Z45" i="76"/>
  <c r="Y45" i="76"/>
  <c r="AB44" i="76"/>
  <c r="Z44" i="76"/>
  <c r="Y44" i="76"/>
  <c r="AB43" i="76"/>
  <c r="Z43" i="76"/>
  <c r="Y43" i="76"/>
  <c r="AB42" i="76"/>
  <c r="Z42" i="76"/>
  <c r="Y42" i="76"/>
  <c r="Z41" i="76"/>
  <c r="Y41" i="76"/>
  <c r="AB40" i="76"/>
  <c r="Z40" i="76"/>
  <c r="Y40" i="76"/>
  <c r="AB39" i="76"/>
  <c r="Z39" i="76"/>
  <c r="Y39" i="76"/>
  <c r="AB38" i="76"/>
  <c r="Z38" i="76"/>
  <c r="Y38" i="76"/>
  <c r="AB37" i="76"/>
  <c r="Z37" i="76"/>
  <c r="Y37" i="76"/>
  <c r="AB36" i="76"/>
  <c r="Z36" i="76"/>
  <c r="Y36" i="76"/>
  <c r="AB35" i="76"/>
  <c r="Z35" i="76"/>
  <c r="Y35" i="76"/>
  <c r="AB34" i="76"/>
  <c r="AA34" i="76"/>
  <c r="Z34" i="76"/>
  <c r="Y34" i="76"/>
  <c r="AB33" i="76"/>
  <c r="AA33" i="76"/>
  <c r="Z33" i="76"/>
  <c r="Y33" i="76"/>
  <c r="G33" i="76"/>
  <c r="Z32" i="76"/>
  <c r="Y32" i="76"/>
  <c r="AB31" i="76"/>
  <c r="Z31" i="76"/>
  <c r="Y31" i="76"/>
  <c r="AB30" i="76"/>
  <c r="Z30" i="76"/>
  <c r="Y30" i="76"/>
  <c r="I30" i="76"/>
  <c r="AB29" i="76"/>
  <c r="AA29" i="76"/>
  <c r="Z29" i="76"/>
  <c r="Y29" i="76"/>
  <c r="I29" i="76"/>
  <c r="AB28" i="76"/>
  <c r="AA28" i="76"/>
  <c r="Z28" i="76"/>
  <c r="Y28" i="76"/>
  <c r="AB27" i="76"/>
  <c r="Z27" i="76"/>
  <c r="Y27" i="76"/>
  <c r="L27" i="76"/>
  <c r="I27" i="76"/>
  <c r="AB26" i="76"/>
  <c r="Z26" i="76"/>
  <c r="Y26" i="76"/>
  <c r="L26" i="76"/>
  <c r="I26" i="76"/>
  <c r="AA599" i="76" s="1"/>
  <c r="AB25" i="76"/>
  <c r="Z25" i="76"/>
  <c r="Y25" i="76"/>
  <c r="I25" i="76"/>
  <c r="AB24" i="76"/>
  <c r="Z24" i="76"/>
  <c r="Y24" i="76"/>
  <c r="I24" i="76"/>
  <c r="Z23" i="76"/>
  <c r="Y23" i="76"/>
  <c r="I23" i="76"/>
  <c r="AB22" i="76"/>
  <c r="Z22" i="76"/>
  <c r="Y22" i="76"/>
  <c r="I22" i="76"/>
  <c r="AB21" i="76"/>
  <c r="Z21" i="76"/>
  <c r="Y21" i="76"/>
  <c r="AB20" i="76"/>
  <c r="Z20" i="76"/>
  <c r="Y20" i="76"/>
  <c r="AA19" i="76"/>
  <c r="Z19" i="76"/>
  <c r="Y19" i="76"/>
  <c r="AB18" i="76"/>
  <c r="AA18" i="76"/>
  <c r="Z18" i="76"/>
  <c r="Y18" i="76"/>
  <c r="AB17" i="76"/>
  <c r="Z17" i="76"/>
  <c r="Y17" i="76"/>
  <c r="AB16" i="76"/>
  <c r="Z16" i="76"/>
  <c r="Y16" i="76"/>
  <c r="AB15" i="76"/>
  <c r="Z15" i="76"/>
  <c r="Y15" i="76"/>
  <c r="Z14" i="76"/>
  <c r="Y14" i="76"/>
  <c r="AB13" i="76"/>
  <c r="AA13" i="76"/>
  <c r="Z13" i="76"/>
  <c r="U6" i="76"/>
  <c r="E2" i="76"/>
  <c r="Y614" i="75"/>
  <c r="X614" i="75"/>
  <c r="W614" i="75"/>
  <c r="Y613" i="75"/>
  <c r="W613" i="75"/>
  <c r="Y612" i="75"/>
  <c r="X612" i="75"/>
  <c r="W612" i="75"/>
  <c r="Y611" i="75"/>
  <c r="X611" i="75"/>
  <c r="W611" i="75"/>
  <c r="Y610" i="75"/>
  <c r="W610" i="75"/>
  <c r="Y609" i="75"/>
  <c r="X609" i="75"/>
  <c r="W609" i="75"/>
  <c r="Y608" i="75"/>
  <c r="X608" i="75"/>
  <c r="W608" i="75"/>
  <c r="Y607" i="75"/>
  <c r="W607" i="75"/>
  <c r="Y606" i="75"/>
  <c r="X606" i="75"/>
  <c r="W606" i="75"/>
  <c r="Y605" i="75"/>
  <c r="X605" i="75"/>
  <c r="W605" i="75"/>
  <c r="Y604" i="75"/>
  <c r="W604" i="75"/>
  <c r="Y603" i="75"/>
  <c r="X603" i="75"/>
  <c r="W603" i="75"/>
  <c r="Y602" i="75"/>
  <c r="X602" i="75"/>
  <c r="W602" i="75"/>
  <c r="Y601" i="75"/>
  <c r="W601" i="75"/>
  <c r="Y600" i="75"/>
  <c r="X600" i="75"/>
  <c r="W600" i="75"/>
  <c r="Y599" i="75"/>
  <c r="W599" i="75"/>
  <c r="Y598" i="75"/>
  <c r="X598" i="75"/>
  <c r="W598" i="75"/>
  <c r="Y597" i="75"/>
  <c r="X597" i="75"/>
  <c r="W597" i="75"/>
  <c r="Y596" i="75"/>
  <c r="W596" i="75"/>
  <c r="Y595" i="75"/>
  <c r="X595" i="75"/>
  <c r="W595" i="75"/>
  <c r="Y594" i="75"/>
  <c r="W594" i="75"/>
  <c r="Y593" i="75"/>
  <c r="X593" i="75"/>
  <c r="W593" i="75"/>
  <c r="Y592" i="75"/>
  <c r="X592" i="75"/>
  <c r="W592" i="75"/>
  <c r="Y591" i="75"/>
  <c r="W591" i="75"/>
  <c r="Y590" i="75"/>
  <c r="W590" i="75"/>
  <c r="Y589" i="75"/>
  <c r="X589" i="75"/>
  <c r="W589" i="75"/>
  <c r="Y588" i="75"/>
  <c r="W588" i="75"/>
  <c r="Y587" i="75"/>
  <c r="X587" i="75"/>
  <c r="W587" i="75"/>
  <c r="Y586" i="75"/>
  <c r="X586" i="75"/>
  <c r="W586" i="75"/>
  <c r="Y585" i="75"/>
  <c r="X585" i="75"/>
  <c r="W585" i="75"/>
  <c r="Y584" i="75"/>
  <c r="W584" i="75"/>
  <c r="Y583" i="75"/>
  <c r="W583" i="75"/>
  <c r="Y582" i="75"/>
  <c r="X582" i="75"/>
  <c r="W582" i="75"/>
  <c r="Y581" i="75"/>
  <c r="X581" i="75"/>
  <c r="W581" i="75"/>
  <c r="Y580" i="75"/>
  <c r="X580" i="75"/>
  <c r="W580" i="75"/>
  <c r="Y579" i="75"/>
  <c r="X579" i="75"/>
  <c r="W579" i="75"/>
  <c r="Y578" i="75"/>
  <c r="W578" i="75"/>
  <c r="Y577" i="75"/>
  <c r="X577" i="75"/>
  <c r="W577" i="75"/>
  <c r="Y576" i="75"/>
  <c r="X576" i="75"/>
  <c r="W576" i="75"/>
  <c r="Y575" i="75"/>
  <c r="X575" i="75"/>
  <c r="W575" i="75"/>
  <c r="Y574" i="75"/>
  <c r="X574" i="75"/>
  <c r="W574" i="75"/>
  <c r="Y573" i="75"/>
  <c r="W573" i="75"/>
  <c r="Y572" i="75"/>
  <c r="W572" i="75"/>
  <c r="Y571" i="75"/>
  <c r="X571" i="75"/>
  <c r="W571" i="75"/>
  <c r="Y570" i="75"/>
  <c r="W570" i="75"/>
  <c r="Y569" i="75"/>
  <c r="X569" i="75"/>
  <c r="W569" i="75"/>
  <c r="Y568" i="75"/>
  <c r="X568" i="75"/>
  <c r="W568" i="75"/>
  <c r="Y567" i="75"/>
  <c r="W567" i="75"/>
  <c r="Y566" i="75"/>
  <c r="W566" i="75"/>
  <c r="Y565" i="75"/>
  <c r="X565" i="75"/>
  <c r="W565" i="75"/>
  <c r="Y564" i="75"/>
  <c r="X564" i="75"/>
  <c r="W564" i="75"/>
  <c r="Y563" i="75"/>
  <c r="X563" i="75"/>
  <c r="W563" i="75"/>
  <c r="Y562" i="75"/>
  <c r="X562" i="75"/>
  <c r="W562" i="75"/>
  <c r="Y561" i="75"/>
  <c r="W561" i="75"/>
  <c r="Y560" i="75"/>
  <c r="X560" i="75"/>
  <c r="W560" i="75"/>
  <c r="Y559" i="75"/>
  <c r="X559" i="75"/>
  <c r="W559" i="75"/>
  <c r="Y558" i="75"/>
  <c r="X558" i="75"/>
  <c r="W558" i="75"/>
  <c r="Y557" i="75"/>
  <c r="X557" i="75"/>
  <c r="W557" i="75"/>
  <c r="Y556" i="75"/>
  <c r="W556" i="75"/>
  <c r="Y555" i="75"/>
  <c r="W555" i="75"/>
  <c r="Y554" i="75"/>
  <c r="X554" i="75"/>
  <c r="W554" i="75"/>
  <c r="Y553" i="75"/>
  <c r="X553" i="75"/>
  <c r="W553" i="75"/>
  <c r="Y552" i="75"/>
  <c r="X552" i="75"/>
  <c r="W552" i="75"/>
  <c r="Y551" i="75"/>
  <c r="X551" i="75"/>
  <c r="W551" i="75"/>
  <c r="Y550" i="75"/>
  <c r="X550" i="75"/>
  <c r="W550" i="75"/>
  <c r="Y549" i="75"/>
  <c r="W549" i="75"/>
  <c r="Y548" i="75"/>
  <c r="X548" i="75"/>
  <c r="W548" i="75"/>
  <c r="Y547" i="75"/>
  <c r="X547" i="75"/>
  <c r="W547" i="75"/>
  <c r="Y546" i="75"/>
  <c r="X546" i="75"/>
  <c r="W546" i="75"/>
  <c r="Y545" i="75"/>
  <c r="W545" i="75"/>
  <c r="Y544" i="75"/>
  <c r="X544" i="75"/>
  <c r="W544" i="75"/>
  <c r="Y543" i="75"/>
  <c r="X543" i="75"/>
  <c r="W543" i="75"/>
  <c r="Y542" i="75"/>
  <c r="X542" i="75"/>
  <c r="W542" i="75"/>
  <c r="Y541" i="75"/>
  <c r="X541" i="75"/>
  <c r="W541" i="75"/>
  <c r="Y540" i="75"/>
  <c r="W540" i="75"/>
  <c r="Y539" i="75"/>
  <c r="X539" i="75"/>
  <c r="W539" i="75"/>
  <c r="Y538" i="75"/>
  <c r="X538" i="75"/>
  <c r="W538" i="75"/>
  <c r="Y537" i="75"/>
  <c r="X537" i="75"/>
  <c r="W537" i="75"/>
  <c r="Y536" i="75"/>
  <c r="X536" i="75"/>
  <c r="W536" i="75"/>
  <c r="Y535" i="75"/>
  <c r="X535" i="75"/>
  <c r="W535" i="75"/>
  <c r="Y534" i="75"/>
  <c r="W534" i="75"/>
  <c r="Y533" i="75"/>
  <c r="X533" i="75"/>
  <c r="W533" i="75"/>
  <c r="Y532" i="75"/>
  <c r="W532" i="75"/>
  <c r="Y531" i="75"/>
  <c r="X531" i="75"/>
  <c r="W531" i="75"/>
  <c r="Y530" i="75"/>
  <c r="X530" i="75"/>
  <c r="W530" i="75"/>
  <c r="Y529" i="75"/>
  <c r="W529" i="75"/>
  <c r="Y528" i="75"/>
  <c r="W528" i="75"/>
  <c r="Y527" i="75"/>
  <c r="X527" i="75"/>
  <c r="W527" i="75"/>
  <c r="Y526" i="75"/>
  <c r="W526" i="75"/>
  <c r="Y525" i="75"/>
  <c r="X525" i="75"/>
  <c r="W525" i="75"/>
  <c r="Y524" i="75"/>
  <c r="X524" i="75"/>
  <c r="W524" i="75"/>
  <c r="Y523" i="75"/>
  <c r="X523" i="75"/>
  <c r="W523" i="75"/>
  <c r="Y522" i="75"/>
  <c r="X522" i="75"/>
  <c r="W522" i="75"/>
  <c r="Y521" i="75"/>
  <c r="X521" i="75"/>
  <c r="W521" i="75"/>
  <c r="Y520" i="75"/>
  <c r="W520" i="75"/>
  <c r="Y519" i="75"/>
  <c r="X519" i="75"/>
  <c r="W519" i="75"/>
  <c r="Y518" i="75"/>
  <c r="W518" i="75"/>
  <c r="Y517" i="75"/>
  <c r="X517" i="75"/>
  <c r="W517" i="75"/>
  <c r="Y516" i="75"/>
  <c r="X516" i="75"/>
  <c r="W516" i="75"/>
  <c r="Y515" i="75"/>
  <c r="X515" i="75"/>
  <c r="W515" i="75"/>
  <c r="Y514" i="75"/>
  <c r="W514" i="75"/>
  <c r="Y513" i="75"/>
  <c r="W513" i="75"/>
  <c r="Y512" i="75"/>
  <c r="X512" i="75"/>
  <c r="W512" i="75"/>
  <c r="Y511" i="75"/>
  <c r="X511" i="75"/>
  <c r="W511" i="75"/>
  <c r="Y510" i="75"/>
  <c r="X510" i="75"/>
  <c r="W510" i="75"/>
  <c r="Y509" i="75"/>
  <c r="X509" i="75"/>
  <c r="W509" i="75"/>
  <c r="Y508" i="75"/>
  <c r="X508" i="75"/>
  <c r="W508" i="75"/>
  <c r="Y507" i="75"/>
  <c r="W507" i="75"/>
  <c r="Y506" i="75"/>
  <c r="X506" i="75"/>
  <c r="W506" i="75"/>
  <c r="Y505" i="75"/>
  <c r="X505" i="75"/>
  <c r="W505" i="75"/>
  <c r="Y504" i="75"/>
  <c r="X504" i="75"/>
  <c r="W504" i="75"/>
  <c r="Y503" i="75"/>
  <c r="W503" i="75"/>
  <c r="Y502" i="75"/>
  <c r="W502" i="75"/>
  <c r="Y501" i="75"/>
  <c r="X501" i="75"/>
  <c r="W501" i="75"/>
  <c r="Y500" i="75"/>
  <c r="X500" i="75"/>
  <c r="W500" i="75"/>
  <c r="Y499" i="75"/>
  <c r="X499" i="75"/>
  <c r="W499" i="75"/>
  <c r="Y498" i="75"/>
  <c r="X498" i="75"/>
  <c r="W498" i="75"/>
  <c r="Y497" i="75"/>
  <c r="W497" i="75"/>
  <c r="Y496" i="75"/>
  <c r="X496" i="75"/>
  <c r="W496" i="75"/>
  <c r="Y495" i="75"/>
  <c r="X495" i="75"/>
  <c r="W495" i="75"/>
  <c r="Y494" i="75"/>
  <c r="X494" i="75"/>
  <c r="W494" i="75"/>
  <c r="Y493" i="75"/>
  <c r="X493" i="75"/>
  <c r="W493" i="75"/>
  <c r="Y492" i="75"/>
  <c r="W492" i="75"/>
  <c r="Y491" i="75"/>
  <c r="W491" i="75"/>
  <c r="Y490" i="75"/>
  <c r="X490" i="75"/>
  <c r="W490" i="75"/>
  <c r="Y489" i="75"/>
  <c r="X489" i="75"/>
  <c r="W489" i="75"/>
  <c r="Y488" i="75"/>
  <c r="X488" i="75"/>
  <c r="W488" i="75"/>
  <c r="Y487" i="75"/>
  <c r="X487" i="75"/>
  <c r="W487" i="75"/>
  <c r="Y486" i="75"/>
  <c r="W486" i="75"/>
  <c r="Y485" i="75"/>
  <c r="X485" i="75"/>
  <c r="W485" i="75"/>
  <c r="Y484" i="75"/>
  <c r="X484" i="75"/>
  <c r="W484" i="75"/>
  <c r="Y483" i="75"/>
  <c r="X483" i="75"/>
  <c r="W483" i="75"/>
  <c r="Y482" i="75"/>
  <c r="X482" i="75"/>
  <c r="W482" i="75"/>
  <c r="Y481" i="75"/>
  <c r="X481" i="75"/>
  <c r="W481" i="75"/>
  <c r="Y480" i="75"/>
  <c r="W480" i="75"/>
  <c r="Y479" i="75"/>
  <c r="X479" i="75"/>
  <c r="W479" i="75"/>
  <c r="Y478" i="75"/>
  <c r="X478" i="75"/>
  <c r="W478" i="75"/>
  <c r="Y477" i="75"/>
  <c r="X477" i="75"/>
  <c r="W477" i="75"/>
  <c r="Y476" i="75"/>
  <c r="X476" i="75"/>
  <c r="W476" i="75"/>
  <c r="Y475" i="75"/>
  <c r="W475" i="75"/>
  <c r="Y474" i="75"/>
  <c r="W474" i="75"/>
  <c r="Y473" i="75"/>
  <c r="X473" i="75"/>
  <c r="W473" i="75"/>
  <c r="Y472" i="75"/>
  <c r="X472" i="75"/>
  <c r="W472" i="75"/>
  <c r="Y471" i="75"/>
  <c r="X471" i="75"/>
  <c r="W471" i="75"/>
  <c r="Y470" i="75"/>
  <c r="W470" i="75"/>
  <c r="Y469" i="75"/>
  <c r="X469" i="75"/>
  <c r="W469" i="75"/>
  <c r="Y468" i="75"/>
  <c r="X468" i="75"/>
  <c r="W468" i="75"/>
  <c r="Y467" i="75"/>
  <c r="X467" i="75"/>
  <c r="W467" i="75"/>
  <c r="Y466" i="75"/>
  <c r="X466" i="75"/>
  <c r="W466" i="75"/>
  <c r="Y465" i="75"/>
  <c r="X465" i="75"/>
  <c r="W465" i="75"/>
  <c r="Y464" i="75"/>
  <c r="W464" i="75"/>
  <c r="Y463" i="75"/>
  <c r="W463" i="75"/>
  <c r="Y462" i="75"/>
  <c r="X462" i="75"/>
  <c r="W462" i="75"/>
  <c r="Y461" i="75"/>
  <c r="X461" i="75"/>
  <c r="W461" i="75"/>
  <c r="Y460" i="75"/>
  <c r="X460" i="75"/>
  <c r="W460" i="75"/>
  <c r="Y459" i="75"/>
  <c r="W459" i="75"/>
  <c r="Y458" i="75"/>
  <c r="X458" i="75"/>
  <c r="W458" i="75"/>
  <c r="Y457" i="75"/>
  <c r="W457" i="75"/>
  <c r="Y456" i="75"/>
  <c r="X456" i="75"/>
  <c r="W456" i="75"/>
  <c r="Y455" i="75"/>
  <c r="X455" i="75"/>
  <c r="W455" i="75"/>
  <c r="Y454" i="75"/>
  <c r="X454" i="75"/>
  <c r="W454" i="75"/>
  <c r="Y453" i="75"/>
  <c r="X453" i="75"/>
  <c r="W453" i="75"/>
  <c r="Y452" i="75"/>
  <c r="X452" i="75"/>
  <c r="W452" i="75"/>
  <c r="Y451" i="75"/>
  <c r="W451" i="75"/>
  <c r="Y450" i="75"/>
  <c r="X450" i="75"/>
  <c r="W450" i="75"/>
  <c r="Y449" i="75"/>
  <c r="W449" i="75"/>
  <c r="Y448" i="75"/>
  <c r="W448" i="75"/>
  <c r="Y447" i="75"/>
  <c r="X447" i="75"/>
  <c r="W447" i="75"/>
  <c r="Y446" i="75"/>
  <c r="X446" i="75"/>
  <c r="W446" i="75"/>
  <c r="Y445" i="75"/>
  <c r="W445" i="75"/>
  <c r="Y444" i="75"/>
  <c r="X444" i="75"/>
  <c r="W444" i="75"/>
  <c r="Y443" i="75"/>
  <c r="W443" i="75"/>
  <c r="Y442" i="75"/>
  <c r="X442" i="75"/>
  <c r="W442" i="75"/>
  <c r="Y441" i="75"/>
  <c r="X441" i="75"/>
  <c r="W441" i="75"/>
  <c r="Y440" i="75"/>
  <c r="X440" i="75"/>
  <c r="W440" i="75"/>
  <c r="Y439" i="75"/>
  <c r="X439" i="75"/>
  <c r="W439" i="75"/>
  <c r="Y438" i="75"/>
  <c r="X438" i="75"/>
  <c r="W438" i="75"/>
  <c r="Y437" i="75"/>
  <c r="W437" i="75"/>
  <c r="Y436" i="75"/>
  <c r="X436" i="75"/>
  <c r="W436" i="75"/>
  <c r="Y435" i="75"/>
  <c r="X435" i="75"/>
  <c r="W435" i="75"/>
  <c r="Y434" i="75"/>
  <c r="X434" i="75"/>
  <c r="W434" i="75"/>
  <c r="Y433" i="75"/>
  <c r="X433" i="75"/>
  <c r="W433" i="75"/>
  <c r="Y432" i="75"/>
  <c r="W432" i="75"/>
  <c r="Y431" i="75"/>
  <c r="X431" i="75"/>
  <c r="W431" i="75"/>
  <c r="Y430" i="75"/>
  <c r="X430" i="75"/>
  <c r="W430" i="75"/>
  <c r="Y429" i="75"/>
  <c r="X429" i="75"/>
  <c r="W429" i="75"/>
  <c r="Y428" i="75"/>
  <c r="W428" i="75"/>
  <c r="Y427" i="75"/>
  <c r="X427" i="75"/>
  <c r="W427" i="75"/>
  <c r="Y426" i="75"/>
  <c r="W426" i="75"/>
  <c r="Y425" i="75"/>
  <c r="X425" i="75"/>
  <c r="W425" i="75"/>
  <c r="Y424" i="75"/>
  <c r="X424" i="75"/>
  <c r="W424" i="75"/>
  <c r="Y423" i="75"/>
  <c r="X423" i="75"/>
  <c r="W423" i="75"/>
  <c r="Y422" i="75"/>
  <c r="W422" i="75"/>
  <c r="Y421" i="75"/>
  <c r="W421" i="75"/>
  <c r="Y420" i="75"/>
  <c r="X420" i="75"/>
  <c r="W420" i="75"/>
  <c r="Y419" i="75"/>
  <c r="X419" i="75"/>
  <c r="W419" i="75"/>
  <c r="Y418" i="75"/>
  <c r="X418" i="75"/>
  <c r="W418" i="75"/>
  <c r="Y417" i="75"/>
  <c r="X417" i="75"/>
  <c r="W417" i="75"/>
  <c r="Y416" i="75"/>
  <c r="W416" i="75"/>
  <c r="Y415" i="75"/>
  <c r="X415" i="75"/>
  <c r="W415" i="75"/>
  <c r="Y414" i="75"/>
  <c r="X414" i="75"/>
  <c r="W414" i="75"/>
  <c r="Y413" i="75"/>
  <c r="X413" i="75"/>
  <c r="W413" i="75"/>
  <c r="Y412" i="75"/>
  <c r="X412" i="75"/>
  <c r="W412" i="75"/>
  <c r="Y411" i="75"/>
  <c r="W411" i="75"/>
  <c r="Y410" i="75"/>
  <c r="W410" i="75"/>
  <c r="Y409" i="75"/>
  <c r="X409" i="75"/>
  <c r="W409" i="75"/>
  <c r="Y408" i="75"/>
  <c r="X408" i="75"/>
  <c r="W408" i="75"/>
  <c r="Y407" i="75"/>
  <c r="W407" i="75"/>
  <c r="Y406" i="75"/>
  <c r="X406" i="75"/>
  <c r="W406" i="75"/>
  <c r="Y405" i="75"/>
  <c r="W405" i="75"/>
  <c r="Y404" i="75"/>
  <c r="W404" i="75"/>
  <c r="Y403" i="75"/>
  <c r="X403" i="75"/>
  <c r="W403" i="75"/>
  <c r="Y402" i="75"/>
  <c r="X402" i="75"/>
  <c r="W402" i="75"/>
  <c r="Y401" i="75"/>
  <c r="X401" i="75"/>
  <c r="W401" i="75"/>
  <c r="Y400" i="75"/>
  <c r="X400" i="75"/>
  <c r="W400" i="75"/>
  <c r="Y399" i="75"/>
  <c r="W399" i="75"/>
  <c r="Y398" i="75"/>
  <c r="X398" i="75"/>
  <c r="W398" i="75"/>
  <c r="Y397" i="75"/>
  <c r="X397" i="75"/>
  <c r="W397" i="75"/>
  <c r="Y396" i="75"/>
  <c r="X396" i="75"/>
  <c r="W396" i="75"/>
  <c r="Y395" i="75"/>
  <c r="X395" i="75"/>
  <c r="W395" i="75"/>
  <c r="Y394" i="75"/>
  <c r="W394" i="75"/>
  <c r="Y393" i="75"/>
  <c r="W393" i="75"/>
  <c r="Y392" i="75"/>
  <c r="X392" i="75"/>
  <c r="W392" i="75"/>
  <c r="Y391" i="75"/>
  <c r="W391" i="75"/>
  <c r="Y390" i="75"/>
  <c r="X390" i="75"/>
  <c r="W390" i="75"/>
  <c r="Y389" i="75"/>
  <c r="W389" i="75"/>
  <c r="Y388" i="75"/>
  <c r="X388" i="75"/>
  <c r="W388" i="75"/>
  <c r="Y387" i="75"/>
  <c r="W387" i="75"/>
  <c r="Y386" i="75"/>
  <c r="X386" i="75"/>
  <c r="W386" i="75"/>
  <c r="Y385" i="75"/>
  <c r="X385" i="75"/>
  <c r="W385" i="75"/>
  <c r="Y384" i="75"/>
  <c r="X384" i="75"/>
  <c r="W384" i="75"/>
  <c r="Y383" i="75"/>
  <c r="X383" i="75"/>
  <c r="W383" i="75"/>
  <c r="Y382" i="75"/>
  <c r="X382" i="75"/>
  <c r="W382" i="75"/>
  <c r="Y381" i="75"/>
  <c r="W381" i="75"/>
  <c r="Y380" i="75"/>
  <c r="X380" i="75"/>
  <c r="W380" i="75"/>
  <c r="Y379" i="75"/>
  <c r="X379" i="75"/>
  <c r="W379" i="75"/>
  <c r="Y378" i="75"/>
  <c r="W378" i="75"/>
  <c r="Y377" i="75"/>
  <c r="X377" i="75"/>
  <c r="W377" i="75"/>
  <c r="Y376" i="75"/>
  <c r="X376" i="75"/>
  <c r="W376" i="75"/>
  <c r="Y375" i="75"/>
  <c r="X375" i="75"/>
  <c r="W375" i="75"/>
  <c r="Y374" i="75"/>
  <c r="X374" i="75"/>
  <c r="W374" i="75"/>
  <c r="Y373" i="75"/>
  <c r="W373" i="75"/>
  <c r="Y372" i="75"/>
  <c r="X372" i="75"/>
  <c r="W372" i="75"/>
  <c r="Y371" i="75"/>
  <c r="X371" i="75"/>
  <c r="W371" i="75"/>
  <c r="Y370" i="75"/>
  <c r="W370" i="75"/>
  <c r="Y369" i="75"/>
  <c r="X369" i="75"/>
  <c r="W369" i="75"/>
  <c r="Y368" i="75"/>
  <c r="X368" i="75"/>
  <c r="W368" i="75"/>
  <c r="Y367" i="75"/>
  <c r="W367" i="75"/>
  <c r="Y366" i="75"/>
  <c r="X366" i="75"/>
  <c r="W366" i="75"/>
  <c r="Y365" i="75"/>
  <c r="X365" i="75"/>
  <c r="W365" i="75"/>
  <c r="Y364" i="75"/>
  <c r="W364" i="75"/>
  <c r="Y363" i="75"/>
  <c r="X363" i="75"/>
  <c r="W363" i="75"/>
  <c r="Y362" i="75"/>
  <c r="W362" i="75"/>
  <c r="Y361" i="75"/>
  <c r="X361" i="75"/>
  <c r="W361" i="75"/>
  <c r="Y360" i="75"/>
  <c r="X360" i="75"/>
  <c r="W360" i="75"/>
  <c r="Y359" i="75"/>
  <c r="X359" i="75"/>
  <c r="W359" i="75"/>
  <c r="Y358" i="75"/>
  <c r="W358" i="75"/>
  <c r="Y357" i="75"/>
  <c r="X357" i="75"/>
  <c r="W357" i="75"/>
  <c r="Y356" i="75"/>
  <c r="W356" i="75"/>
  <c r="Y355" i="75"/>
  <c r="X355" i="75"/>
  <c r="W355" i="75"/>
  <c r="Y354" i="75"/>
  <c r="X354" i="75"/>
  <c r="W354" i="75"/>
  <c r="Y353" i="75"/>
  <c r="X353" i="75"/>
  <c r="W353" i="75"/>
  <c r="Y352" i="75"/>
  <c r="X352" i="75"/>
  <c r="W352" i="75"/>
  <c r="Y351" i="75"/>
  <c r="W351" i="75"/>
  <c r="Y350" i="75"/>
  <c r="X350" i="75"/>
  <c r="W350" i="75"/>
  <c r="Y349" i="75"/>
  <c r="W349" i="75"/>
  <c r="Y348" i="75"/>
  <c r="X348" i="75"/>
  <c r="W348" i="75"/>
  <c r="Y347" i="75"/>
  <c r="W347" i="75"/>
  <c r="Y346" i="75"/>
  <c r="X346" i="75"/>
  <c r="W346" i="75"/>
  <c r="Y345" i="75"/>
  <c r="X345" i="75"/>
  <c r="W345" i="75"/>
  <c r="Y344" i="75"/>
  <c r="X344" i="75"/>
  <c r="W344" i="75"/>
  <c r="Y343" i="75"/>
  <c r="X343" i="75"/>
  <c r="W343" i="75"/>
  <c r="Y342" i="75"/>
  <c r="X342" i="75"/>
  <c r="W342" i="75"/>
  <c r="Y341" i="75"/>
  <c r="W341" i="75"/>
  <c r="Y340" i="75"/>
  <c r="W340" i="75"/>
  <c r="Y339" i="75"/>
  <c r="X339" i="75"/>
  <c r="W339" i="75"/>
  <c r="Y338" i="75"/>
  <c r="X338" i="75"/>
  <c r="W338" i="75"/>
  <c r="Y337" i="75"/>
  <c r="X337" i="75"/>
  <c r="W337" i="75"/>
  <c r="Y336" i="75"/>
  <c r="X336" i="75"/>
  <c r="W336" i="75"/>
  <c r="Y335" i="75"/>
  <c r="W335" i="75"/>
  <c r="Y334" i="75"/>
  <c r="X334" i="75"/>
  <c r="W334" i="75"/>
  <c r="Y333" i="75"/>
  <c r="X333" i="75"/>
  <c r="W333" i="75"/>
  <c r="Y332" i="75"/>
  <c r="X332" i="75"/>
  <c r="W332" i="75"/>
  <c r="Y331" i="75"/>
  <c r="X331" i="75"/>
  <c r="W331" i="75"/>
  <c r="Y330" i="75"/>
  <c r="X330" i="75"/>
  <c r="W330" i="75"/>
  <c r="Y329" i="75"/>
  <c r="W329" i="75"/>
  <c r="Y328" i="75"/>
  <c r="W328" i="75"/>
  <c r="Y327" i="75"/>
  <c r="X327" i="75"/>
  <c r="W327" i="75"/>
  <c r="Y326" i="75"/>
  <c r="X326" i="75"/>
  <c r="W326" i="75"/>
  <c r="Y325" i="75"/>
  <c r="X325" i="75"/>
  <c r="W325" i="75"/>
  <c r="Y324" i="75"/>
  <c r="W324" i="75"/>
  <c r="Y323" i="75"/>
  <c r="W323" i="75"/>
  <c r="Y322" i="75"/>
  <c r="X322" i="75"/>
  <c r="W322" i="75"/>
  <c r="Y321" i="75"/>
  <c r="X321" i="75"/>
  <c r="W321" i="75"/>
  <c r="Y320" i="75"/>
  <c r="X320" i="75"/>
  <c r="W320" i="75"/>
  <c r="Y319" i="75"/>
  <c r="W319" i="75"/>
  <c r="Y318" i="75"/>
  <c r="X318" i="75"/>
  <c r="W318" i="75"/>
  <c r="Y317" i="75"/>
  <c r="W317" i="75"/>
  <c r="Y316" i="75"/>
  <c r="X316" i="75"/>
  <c r="W316" i="75"/>
  <c r="Y315" i="75"/>
  <c r="X315" i="75"/>
  <c r="W315" i="75"/>
  <c r="Y314" i="75"/>
  <c r="X314" i="75"/>
  <c r="W314" i="75"/>
  <c r="Y313" i="75"/>
  <c r="W313" i="75"/>
  <c r="Y312" i="75"/>
  <c r="X312" i="75"/>
  <c r="W312" i="75"/>
  <c r="Y311" i="75"/>
  <c r="W311" i="75"/>
  <c r="Y310" i="75"/>
  <c r="X310" i="75"/>
  <c r="W310" i="75"/>
  <c r="Y309" i="75"/>
  <c r="X309" i="75"/>
  <c r="W309" i="75"/>
  <c r="Y308" i="75"/>
  <c r="W308" i="75"/>
  <c r="Y307" i="75"/>
  <c r="W307" i="75"/>
  <c r="Y306" i="75"/>
  <c r="X306" i="75"/>
  <c r="W306" i="75"/>
  <c r="Y305" i="75"/>
  <c r="X305" i="75"/>
  <c r="W305" i="75"/>
  <c r="Y304" i="75"/>
  <c r="X304" i="75"/>
  <c r="W304" i="75"/>
  <c r="Y303" i="75"/>
  <c r="X303" i="75"/>
  <c r="W303" i="75"/>
  <c r="Y302" i="75"/>
  <c r="X302" i="75"/>
  <c r="W302" i="75"/>
  <c r="Y301" i="75"/>
  <c r="X301" i="75"/>
  <c r="W301" i="75"/>
  <c r="Y300" i="75"/>
  <c r="W300" i="75"/>
  <c r="Y299" i="75"/>
  <c r="X299" i="75"/>
  <c r="W299" i="75"/>
  <c r="Y298" i="75"/>
  <c r="X298" i="75"/>
  <c r="W298" i="75"/>
  <c r="Y297" i="75"/>
  <c r="W297" i="75"/>
  <c r="Y296" i="75"/>
  <c r="X296" i="75"/>
  <c r="W296" i="75"/>
  <c r="Y295" i="75"/>
  <c r="X295" i="75"/>
  <c r="W295" i="75"/>
  <c r="Y294" i="75"/>
  <c r="W294" i="75"/>
  <c r="Y293" i="75"/>
  <c r="X293" i="75"/>
  <c r="W293" i="75"/>
  <c r="Y292" i="75"/>
  <c r="W292" i="75"/>
  <c r="Y291" i="75"/>
  <c r="W291" i="75"/>
  <c r="Y290" i="75"/>
  <c r="X290" i="75"/>
  <c r="W290" i="75"/>
  <c r="Y289" i="75"/>
  <c r="X289" i="75"/>
  <c r="W289" i="75"/>
  <c r="Y288" i="75"/>
  <c r="X288" i="75"/>
  <c r="W288" i="75"/>
  <c r="Y287" i="75"/>
  <c r="X287" i="75"/>
  <c r="W287" i="75"/>
  <c r="Y286" i="75"/>
  <c r="W286" i="75"/>
  <c r="Y285" i="75"/>
  <c r="X285" i="75"/>
  <c r="W285" i="75"/>
  <c r="Y284" i="75"/>
  <c r="X284" i="75"/>
  <c r="W284" i="75"/>
  <c r="Y283" i="75"/>
  <c r="W283" i="75"/>
  <c r="Y282" i="75"/>
  <c r="X282" i="75"/>
  <c r="W282" i="75"/>
  <c r="Y281" i="75"/>
  <c r="W281" i="75"/>
  <c r="Y280" i="75"/>
  <c r="X280" i="75"/>
  <c r="W280" i="75"/>
  <c r="Y279" i="75"/>
  <c r="X279" i="75"/>
  <c r="W279" i="75"/>
  <c r="Y278" i="75"/>
  <c r="X278" i="75"/>
  <c r="W278" i="75"/>
  <c r="Y277" i="75"/>
  <c r="X277" i="75"/>
  <c r="W277" i="75"/>
  <c r="Y276" i="75"/>
  <c r="W276" i="75"/>
  <c r="Y275" i="75"/>
  <c r="X275" i="75"/>
  <c r="W275" i="75"/>
  <c r="Y274" i="75"/>
  <c r="X274" i="75"/>
  <c r="W274" i="75"/>
  <c r="Y273" i="75"/>
  <c r="X273" i="75"/>
  <c r="W273" i="75"/>
  <c r="Y272" i="75"/>
  <c r="W272" i="75"/>
  <c r="Y271" i="75"/>
  <c r="X271" i="75"/>
  <c r="W271" i="75"/>
  <c r="Y270" i="75"/>
  <c r="X270" i="75"/>
  <c r="W270" i="75"/>
  <c r="Y269" i="75"/>
  <c r="X269" i="75"/>
  <c r="W269" i="75"/>
  <c r="Y268" i="75"/>
  <c r="X268" i="75"/>
  <c r="W268" i="75"/>
  <c r="Y267" i="75"/>
  <c r="X267" i="75"/>
  <c r="W267" i="75"/>
  <c r="Y266" i="75"/>
  <c r="W266" i="75"/>
  <c r="Y265" i="75"/>
  <c r="W265" i="75"/>
  <c r="Y264" i="75"/>
  <c r="X264" i="75"/>
  <c r="W264" i="75"/>
  <c r="Y263" i="75"/>
  <c r="X263" i="75"/>
  <c r="W263" i="75"/>
  <c r="Y262" i="75"/>
  <c r="X262" i="75"/>
  <c r="W262" i="75"/>
  <c r="Y261" i="75"/>
  <c r="X261" i="75"/>
  <c r="W261" i="75"/>
  <c r="Y260" i="75"/>
  <c r="W260" i="75"/>
  <c r="Y259" i="75"/>
  <c r="X259" i="75"/>
  <c r="W259" i="75"/>
  <c r="Y258" i="75"/>
  <c r="X258" i="75"/>
  <c r="W258" i="75"/>
  <c r="Y257" i="75"/>
  <c r="X257" i="75"/>
  <c r="W257" i="75"/>
  <c r="Y256" i="75"/>
  <c r="X256" i="75"/>
  <c r="W256" i="75"/>
  <c r="Y255" i="75"/>
  <c r="W255" i="75"/>
  <c r="Y254" i="75"/>
  <c r="W254" i="75"/>
  <c r="Y253" i="75"/>
  <c r="X253" i="75"/>
  <c r="W253" i="75"/>
  <c r="Y252" i="75"/>
  <c r="X252" i="75"/>
  <c r="W252" i="75"/>
  <c r="Y251" i="75"/>
  <c r="X251" i="75"/>
  <c r="W251" i="75"/>
  <c r="Y250" i="75"/>
  <c r="X250" i="75"/>
  <c r="W250" i="75"/>
  <c r="Y249" i="75"/>
  <c r="W249" i="75"/>
  <c r="Y248" i="75"/>
  <c r="X248" i="75"/>
  <c r="W248" i="75"/>
  <c r="Y247" i="75"/>
  <c r="X247" i="75"/>
  <c r="W247" i="75"/>
  <c r="Y246" i="75"/>
  <c r="X246" i="75"/>
  <c r="W246" i="75"/>
  <c r="Y245" i="75"/>
  <c r="X245" i="75"/>
  <c r="W245" i="75"/>
  <c r="Y244" i="75"/>
  <c r="W244" i="75"/>
  <c r="Y243" i="75"/>
  <c r="W243" i="75"/>
  <c r="Y242" i="75"/>
  <c r="X242" i="75"/>
  <c r="W242" i="75"/>
  <c r="Y241" i="75"/>
  <c r="X241" i="75"/>
  <c r="W241" i="75"/>
  <c r="Y240" i="75"/>
  <c r="X240" i="75"/>
  <c r="W240" i="75"/>
  <c r="Y239" i="75"/>
  <c r="W239" i="75"/>
  <c r="Y238" i="75"/>
  <c r="X238" i="75"/>
  <c r="W238" i="75"/>
  <c r="Y237" i="75"/>
  <c r="X237" i="75"/>
  <c r="W237" i="75"/>
  <c r="Y236" i="75"/>
  <c r="X236" i="75"/>
  <c r="W236" i="75"/>
  <c r="Y235" i="75"/>
  <c r="X235" i="75"/>
  <c r="W235" i="75"/>
  <c r="Y234" i="75"/>
  <c r="W234" i="75"/>
  <c r="Y233" i="75"/>
  <c r="X233" i="75"/>
  <c r="W233" i="75"/>
  <c r="Y232" i="75"/>
  <c r="W232" i="75"/>
  <c r="Y231" i="75"/>
  <c r="X231" i="75"/>
  <c r="W231" i="75"/>
  <c r="Y230" i="75"/>
  <c r="X230" i="75"/>
  <c r="W230" i="75"/>
  <c r="Y229" i="75"/>
  <c r="X229" i="75"/>
  <c r="W229" i="75"/>
  <c r="Y228" i="75"/>
  <c r="X228" i="75"/>
  <c r="W228" i="75"/>
  <c r="Y227" i="75"/>
  <c r="X227" i="75"/>
  <c r="W227" i="75"/>
  <c r="Y226" i="75"/>
  <c r="W226" i="75"/>
  <c r="Y225" i="75"/>
  <c r="X225" i="75"/>
  <c r="W225" i="75"/>
  <c r="Y224" i="75"/>
  <c r="X224" i="75"/>
  <c r="W224" i="75"/>
  <c r="Y223" i="75"/>
  <c r="X223" i="75"/>
  <c r="W223" i="75"/>
  <c r="Y222" i="75"/>
  <c r="X222" i="75"/>
  <c r="W222" i="75"/>
  <c r="Y221" i="75"/>
  <c r="W221" i="75"/>
  <c r="Y220" i="75"/>
  <c r="X220" i="75"/>
  <c r="W220" i="75"/>
  <c r="Y219" i="75"/>
  <c r="X219" i="75"/>
  <c r="W219" i="75"/>
  <c r="Y218" i="75"/>
  <c r="W218" i="75"/>
  <c r="Y217" i="75"/>
  <c r="X217" i="75"/>
  <c r="W217" i="75"/>
  <c r="Y216" i="75"/>
  <c r="X216" i="75"/>
  <c r="W216" i="75"/>
  <c r="Y215" i="75"/>
  <c r="W215" i="75"/>
  <c r="Y214" i="75"/>
  <c r="X214" i="75"/>
  <c r="W214" i="75"/>
  <c r="Y213" i="75"/>
  <c r="W213" i="75"/>
  <c r="Y212" i="75"/>
  <c r="X212" i="75"/>
  <c r="W212" i="75"/>
  <c r="Y211" i="75"/>
  <c r="X211" i="75"/>
  <c r="W211" i="75"/>
  <c r="Y210" i="75"/>
  <c r="W210" i="75"/>
  <c r="Y209" i="75"/>
  <c r="X209" i="75"/>
  <c r="W209" i="75"/>
  <c r="Y208" i="75"/>
  <c r="X208" i="75"/>
  <c r="W208" i="75"/>
  <c r="Y207" i="75"/>
  <c r="X207" i="75"/>
  <c r="W207" i="75"/>
  <c r="Y206" i="75"/>
  <c r="X206" i="75"/>
  <c r="W206" i="75"/>
  <c r="Y205" i="75"/>
  <c r="X205" i="75"/>
  <c r="W205" i="75"/>
  <c r="Y204" i="75"/>
  <c r="W204" i="75"/>
  <c r="Y203" i="75"/>
  <c r="X203" i="75"/>
  <c r="W203" i="75"/>
  <c r="Y202" i="75"/>
  <c r="X202" i="75"/>
  <c r="W202" i="75"/>
  <c r="Y201" i="75"/>
  <c r="X201" i="75"/>
  <c r="W201" i="75"/>
  <c r="Y200" i="75"/>
  <c r="X200" i="75"/>
  <c r="W200" i="75"/>
  <c r="Y199" i="75"/>
  <c r="W199" i="75"/>
  <c r="Y198" i="75"/>
  <c r="X198" i="75"/>
  <c r="W198" i="75"/>
  <c r="Y197" i="75"/>
  <c r="W197" i="75"/>
  <c r="Y196" i="75"/>
  <c r="X196" i="75"/>
  <c r="W196" i="75"/>
  <c r="Y195" i="75"/>
  <c r="X195" i="75"/>
  <c r="W195" i="75"/>
  <c r="Y194" i="75"/>
  <c r="X194" i="75"/>
  <c r="W194" i="75"/>
  <c r="Y193" i="75"/>
  <c r="W193" i="75"/>
  <c r="Y192" i="75"/>
  <c r="W192" i="75"/>
  <c r="Y191" i="75"/>
  <c r="X191" i="75"/>
  <c r="W191" i="75"/>
  <c r="Y190" i="75"/>
  <c r="X190" i="75"/>
  <c r="W190" i="75"/>
  <c r="Y189" i="75"/>
  <c r="X189" i="75"/>
  <c r="W189" i="75"/>
  <c r="Y188" i="75"/>
  <c r="W188" i="75"/>
  <c r="Y187" i="75"/>
  <c r="X187" i="75"/>
  <c r="W187" i="75"/>
  <c r="Y186" i="75"/>
  <c r="X186" i="75"/>
  <c r="W186" i="75"/>
  <c r="Y185" i="75"/>
  <c r="X185" i="75"/>
  <c r="W185" i="75"/>
  <c r="Y184" i="75"/>
  <c r="X184" i="75"/>
  <c r="W184" i="75"/>
  <c r="Y183" i="75"/>
  <c r="X183" i="75"/>
  <c r="W183" i="75"/>
  <c r="Y182" i="75"/>
  <c r="X182" i="75"/>
  <c r="W182" i="75"/>
  <c r="Y181" i="75"/>
  <c r="W181" i="75"/>
  <c r="Y180" i="75"/>
  <c r="X180" i="75"/>
  <c r="W180" i="75"/>
  <c r="Y179" i="75"/>
  <c r="X179" i="75"/>
  <c r="W179" i="75"/>
  <c r="Y178" i="75"/>
  <c r="X178" i="75"/>
  <c r="W178" i="75"/>
  <c r="Y177" i="75"/>
  <c r="W177" i="75"/>
  <c r="Y176" i="75"/>
  <c r="W176" i="75"/>
  <c r="Y175" i="75"/>
  <c r="X175" i="75"/>
  <c r="W175" i="75"/>
  <c r="Y174" i="75"/>
  <c r="X174" i="75"/>
  <c r="W174" i="75"/>
  <c r="Y173" i="75"/>
  <c r="X173" i="75"/>
  <c r="W173" i="75"/>
  <c r="Y172" i="75"/>
  <c r="X172" i="75"/>
  <c r="W172" i="75"/>
  <c r="Y171" i="75"/>
  <c r="W171" i="75"/>
  <c r="Y170" i="75"/>
  <c r="X170" i="75"/>
  <c r="W170" i="75"/>
  <c r="Y169" i="75"/>
  <c r="X169" i="75"/>
  <c r="W169" i="75"/>
  <c r="Y168" i="75"/>
  <c r="X168" i="75"/>
  <c r="W168" i="75"/>
  <c r="Y167" i="75"/>
  <c r="X167" i="75"/>
  <c r="W167" i="75"/>
  <c r="Y166" i="75"/>
  <c r="W166" i="75"/>
  <c r="Y165" i="75"/>
  <c r="X165" i="75"/>
  <c r="W165" i="75"/>
  <c r="Y164" i="75"/>
  <c r="X164" i="75"/>
  <c r="W164" i="75"/>
  <c r="Y163" i="75"/>
  <c r="X163" i="75"/>
  <c r="W163" i="75"/>
  <c r="Y162" i="75"/>
  <c r="X162" i="75"/>
  <c r="W162" i="75"/>
  <c r="Y161" i="75"/>
  <c r="W161" i="75"/>
  <c r="Y160" i="75"/>
  <c r="X160" i="75"/>
  <c r="W160" i="75"/>
  <c r="Y159" i="75"/>
  <c r="X159" i="75"/>
  <c r="W159" i="75"/>
  <c r="Y158" i="75"/>
  <c r="X158" i="75"/>
  <c r="W158" i="75"/>
  <c r="Y157" i="75"/>
  <c r="X157" i="75"/>
  <c r="W157" i="75"/>
  <c r="Y156" i="75"/>
  <c r="X156" i="75"/>
  <c r="W156" i="75"/>
  <c r="Y155" i="75"/>
  <c r="W155" i="75"/>
  <c r="Y154" i="75"/>
  <c r="X154" i="75"/>
  <c r="W154" i="75"/>
  <c r="Y153" i="75"/>
  <c r="X153" i="75"/>
  <c r="W153" i="75"/>
  <c r="Y152" i="75"/>
  <c r="X152" i="75"/>
  <c r="W152" i="75"/>
  <c r="Y151" i="75"/>
  <c r="X151" i="75"/>
  <c r="W151" i="75"/>
  <c r="Y150" i="75"/>
  <c r="W150" i="75"/>
  <c r="Y149" i="75"/>
  <c r="X149" i="75"/>
  <c r="W149" i="75"/>
  <c r="Y148" i="75"/>
  <c r="X148" i="75"/>
  <c r="W148" i="75"/>
  <c r="Y147" i="75"/>
  <c r="X147" i="75"/>
  <c r="W147" i="75"/>
  <c r="Y146" i="75"/>
  <c r="X146" i="75"/>
  <c r="W146" i="75"/>
  <c r="Y145" i="75"/>
  <c r="W145" i="75"/>
  <c r="Y144" i="75"/>
  <c r="X144" i="75"/>
  <c r="W144" i="75"/>
  <c r="Y143" i="75"/>
  <c r="X143" i="75"/>
  <c r="W143" i="75"/>
  <c r="Y142" i="75"/>
  <c r="X142" i="75"/>
  <c r="W142" i="75"/>
  <c r="Y141" i="75"/>
  <c r="X141" i="75"/>
  <c r="W141" i="75"/>
  <c r="Y140" i="75"/>
  <c r="X140" i="75"/>
  <c r="W140" i="75"/>
  <c r="Y139" i="75"/>
  <c r="X139" i="75"/>
  <c r="W139" i="75"/>
  <c r="Y138" i="75"/>
  <c r="X138" i="75"/>
  <c r="W138" i="75"/>
  <c r="Y137" i="75"/>
  <c r="X137" i="75"/>
  <c r="W137" i="75"/>
  <c r="Y136" i="75"/>
  <c r="X136" i="75"/>
  <c r="W136" i="75"/>
  <c r="Y135" i="75"/>
  <c r="X135" i="75"/>
  <c r="W135" i="75"/>
  <c r="Y134" i="75"/>
  <c r="W134" i="75"/>
  <c r="Y133" i="75"/>
  <c r="X133" i="75"/>
  <c r="W133" i="75"/>
  <c r="Y132" i="75"/>
  <c r="X132" i="75"/>
  <c r="W132" i="75"/>
  <c r="Y131" i="75"/>
  <c r="X131" i="75"/>
  <c r="W131" i="75"/>
  <c r="Y130" i="75"/>
  <c r="X130" i="75"/>
  <c r="W130" i="75"/>
  <c r="Y129" i="75"/>
  <c r="W129" i="75"/>
  <c r="Y128" i="75"/>
  <c r="X128" i="75"/>
  <c r="W128" i="75"/>
  <c r="Y127" i="75"/>
  <c r="X127" i="75"/>
  <c r="W127" i="75"/>
  <c r="Y126" i="75"/>
  <c r="X126" i="75"/>
  <c r="W126" i="75"/>
  <c r="Y125" i="75"/>
  <c r="X125" i="75"/>
  <c r="W125" i="75"/>
  <c r="Y124" i="75"/>
  <c r="W124" i="75"/>
  <c r="Y123" i="75"/>
  <c r="X123" i="75"/>
  <c r="W123" i="75"/>
  <c r="Y122" i="75"/>
  <c r="X122" i="75"/>
  <c r="W122" i="75"/>
  <c r="Y121" i="75"/>
  <c r="X121" i="75"/>
  <c r="W121" i="75"/>
  <c r="Y120" i="75"/>
  <c r="X120" i="75"/>
  <c r="W120" i="75"/>
  <c r="Y119" i="75"/>
  <c r="X119" i="75"/>
  <c r="W119" i="75"/>
  <c r="Y118" i="75"/>
  <c r="X118" i="75"/>
  <c r="W118" i="75"/>
  <c r="Y117" i="75"/>
  <c r="X117" i="75"/>
  <c r="W117" i="75"/>
  <c r="Y116" i="75"/>
  <c r="X116" i="75"/>
  <c r="W116" i="75"/>
  <c r="Y115" i="75"/>
  <c r="X115" i="75"/>
  <c r="W115" i="75"/>
  <c r="Y114" i="75"/>
  <c r="X114" i="75"/>
  <c r="W114" i="75"/>
  <c r="Y113" i="75"/>
  <c r="W113" i="75"/>
  <c r="Y112" i="75"/>
  <c r="X112" i="75"/>
  <c r="W112" i="75"/>
  <c r="Y111" i="75"/>
  <c r="X111" i="75"/>
  <c r="W111" i="75"/>
  <c r="Y110" i="75"/>
  <c r="X110" i="75"/>
  <c r="W110" i="75"/>
  <c r="Y109" i="75"/>
  <c r="X109" i="75"/>
  <c r="W109" i="75"/>
  <c r="Y108" i="75"/>
  <c r="W108" i="75"/>
  <c r="Y107" i="75"/>
  <c r="X107" i="75"/>
  <c r="W107" i="75"/>
  <c r="Y106" i="75"/>
  <c r="X106" i="75"/>
  <c r="W106" i="75"/>
  <c r="Y105" i="75"/>
  <c r="X105" i="75"/>
  <c r="W105" i="75"/>
  <c r="Y104" i="75"/>
  <c r="X104" i="75"/>
  <c r="W104" i="75"/>
  <c r="Y103" i="75"/>
  <c r="W103" i="75"/>
  <c r="Y102" i="75"/>
  <c r="X102" i="75"/>
  <c r="W102" i="75"/>
  <c r="Y101" i="75"/>
  <c r="X101" i="75"/>
  <c r="W101" i="75"/>
  <c r="Y100" i="75"/>
  <c r="X100" i="75"/>
  <c r="W100" i="75"/>
  <c r="Y99" i="75"/>
  <c r="X99" i="75"/>
  <c r="W99" i="75"/>
  <c r="Y98" i="75"/>
  <c r="X98" i="75"/>
  <c r="W98" i="75"/>
  <c r="Y97" i="75"/>
  <c r="X97" i="75"/>
  <c r="W97" i="75"/>
  <c r="Y96" i="75"/>
  <c r="X96" i="75"/>
  <c r="W96" i="75"/>
  <c r="Y95" i="75"/>
  <c r="X95" i="75"/>
  <c r="W95" i="75"/>
  <c r="Y94" i="75"/>
  <c r="X94" i="75"/>
  <c r="W94" i="75"/>
  <c r="Y93" i="75"/>
  <c r="X93" i="75"/>
  <c r="W93" i="75"/>
  <c r="Y92" i="75"/>
  <c r="W92" i="75"/>
  <c r="Y91" i="75"/>
  <c r="X91" i="75"/>
  <c r="W91" i="75"/>
  <c r="Y90" i="75"/>
  <c r="X90" i="75"/>
  <c r="W90" i="75"/>
  <c r="Y89" i="75"/>
  <c r="X89" i="75"/>
  <c r="W89" i="75"/>
  <c r="Y88" i="75"/>
  <c r="X88" i="75"/>
  <c r="W88" i="75"/>
  <c r="Y87" i="75"/>
  <c r="W87" i="75"/>
  <c r="Y86" i="75"/>
  <c r="X86" i="75"/>
  <c r="W86" i="75"/>
  <c r="Y85" i="75"/>
  <c r="X85" i="75"/>
  <c r="W85" i="75"/>
  <c r="Y84" i="75"/>
  <c r="X84" i="75"/>
  <c r="W84" i="75"/>
  <c r="Y83" i="75"/>
  <c r="X83" i="75"/>
  <c r="W83" i="75"/>
  <c r="Y82" i="75"/>
  <c r="W82" i="75"/>
  <c r="Y81" i="75"/>
  <c r="X81" i="75"/>
  <c r="W81" i="75"/>
  <c r="Y80" i="75"/>
  <c r="X80" i="75"/>
  <c r="W80" i="75"/>
  <c r="Y79" i="75"/>
  <c r="X79" i="75"/>
  <c r="W79" i="75"/>
  <c r="Y78" i="75"/>
  <c r="X78" i="75"/>
  <c r="W78" i="75"/>
  <c r="Y77" i="75"/>
  <c r="X77" i="75"/>
  <c r="W77" i="75"/>
  <c r="Y76" i="75"/>
  <c r="X76" i="75"/>
  <c r="W76" i="75"/>
  <c r="Y75" i="75"/>
  <c r="X75" i="75"/>
  <c r="W75" i="75"/>
  <c r="Y74" i="75"/>
  <c r="X74" i="75"/>
  <c r="W74" i="75"/>
  <c r="Y73" i="75"/>
  <c r="X73" i="75"/>
  <c r="W73" i="75"/>
  <c r="Y72" i="75"/>
  <c r="X72" i="75"/>
  <c r="W72" i="75"/>
  <c r="Y71" i="75"/>
  <c r="W71" i="75"/>
  <c r="Y70" i="75"/>
  <c r="X70" i="75"/>
  <c r="W70" i="75"/>
  <c r="Y69" i="75"/>
  <c r="X69" i="75"/>
  <c r="W69" i="75"/>
  <c r="Y68" i="75"/>
  <c r="X68" i="75"/>
  <c r="W68" i="75"/>
  <c r="Y67" i="75"/>
  <c r="X67" i="75"/>
  <c r="W67" i="75"/>
  <c r="Y66" i="75"/>
  <c r="W66" i="75"/>
  <c r="Y65" i="75"/>
  <c r="X65" i="75"/>
  <c r="W65" i="75"/>
  <c r="Y64" i="75"/>
  <c r="X64" i="75"/>
  <c r="W64" i="75"/>
  <c r="Y63" i="75"/>
  <c r="X63" i="75"/>
  <c r="W63" i="75"/>
  <c r="Y62" i="75"/>
  <c r="X62" i="75"/>
  <c r="W62" i="75"/>
  <c r="Y61" i="75"/>
  <c r="W61" i="75"/>
  <c r="Y60" i="75"/>
  <c r="X60" i="75"/>
  <c r="W60" i="75"/>
  <c r="Y59" i="75"/>
  <c r="X59" i="75"/>
  <c r="W59" i="75"/>
  <c r="Y58" i="75"/>
  <c r="X58" i="75"/>
  <c r="W58" i="75"/>
  <c r="Y57" i="75"/>
  <c r="X57" i="75"/>
  <c r="W57" i="75"/>
  <c r="Y56" i="75"/>
  <c r="X56" i="75"/>
  <c r="W56" i="75"/>
  <c r="Y55" i="75"/>
  <c r="W55" i="75"/>
  <c r="Y54" i="75"/>
  <c r="X54" i="75"/>
  <c r="W54" i="75"/>
  <c r="Y53" i="75"/>
  <c r="X53" i="75"/>
  <c r="W53" i="75"/>
  <c r="Y52" i="75"/>
  <c r="X52" i="75"/>
  <c r="W52" i="75"/>
  <c r="Y51" i="75"/>
  <c r="X51" i="75"/>
  <c r="W51" i="75"/>
  <c r="Y50" i="75"/>
  <c r="W50" i="75"/>
  <c r="Y49" i="75"/>
  <c r="X49" i="75"/>
  <c r="W49" i="75"/>
  <c r="Y48" i="75"/>
  <c r="X48" i="75"/>
  <c r="W48" i="75"/>
  <c r="Y47" i="75"/>
  <c r="X47" i="75"/>
  <c r="W47" i="75"/>
  <c r="Y46" i="75"/>
  <c r="X46" i="75"/>
  <c r="W46" i="75"/>
  <c r="Y45" i="75"/>
  <c r="W45" i="75"/>
  <c r="Y44" i="75"/>
  <c r="X44" i="75"/>
  <c r="W44" i="75"/>
  <c r="Y43" i="75"/>
  <c r="X43" i="75"/>
  <c r="W43" i="75"/>
  <c r="Y42" i="75"/>
  <c r="X42" i="75"/>
  <c r="W42" i="75"/>
  <c r="Y41" i="75"/>
  <c r="X41" i="75"/>
  <c r="W41" i="75"/>
  <c r="Y40" i="75"/>
  <c r="X40" i="75"/>
  <c r="W40" i="75"/>
  <c r="Y39" i="75"/>
  <c r="X39" i="75"/>
  <c r="W39" i="75"/>
  <c r="Y38" i="75"/>
  <c r="X38" i="75"/>
  <c r="W38" i="75"/>
  <c r="Y37" i="75"/>
  <c r="X37" i="75"/>
  <c r="W37" i="75"/>
  <c r="Y36" i="75"/>
  <c r="X36" i="75"/>
  <c r="W36" i="75"/>
  <c r="Y35" i="75"/>
  <c r="X35" i="75"/>
  <c r="W35" i="75"/>
  <c r="Y34" i="75"/>
  <c r="W34" i="75"/>
  <c r="Y33" i="75"/>
  <c r="X33" i="75"/>
  <c r="W33" i="75"/>
  <c r="G33" i="75"/>
  <c r="Y32" i="75"/>
  <c r="X32" i="75"/>
  <c r="W32" i="75"/>
  <c r="Y31" i="75"/>
  <c r="X31" i="75"/>
  <c r="W31" i="75"/>
  <c r="Y30" i="75"/>
  <c r="X30" i="75"/>
  <c r="W30" i="75"/>
  <c r="I30" i="75"/>
  <c r="Y29" i="75"/>
  <c r="X29" i="75"/>
  <c r="W29" i="75"/>
  <c r="I29" i="75"/>
  <c r="Y28" i="75"/>
  <c r="X28" i="75"/>
  <c r="W28" i="75"/>
  <c r="Y27" i="75"/>
  <c r="X27" i="75"/>
  <c r="W27" i="75"/>
  <c r="L27" i="75"/>
  <c r="I27" i="75"/>
  <c r="Y26" i="75"/>
  <c r="W26" i="75"/>
  <c r="I26" i="75"/>
  <c r="X584" i="75" s="1"/>
  <c r="Y25" i="75"/>
  <c r="X25" i="75"/>
  <c r="W25" i="75"/>
  <c r="I25" i="75"/>
  <c r="Y24" i="75"/>
  <c r="X24" i="75"/>
  <c r="W24" i="75"/>
  <c r="I24" i="75"/>
  <c r="Y23" i="75"/>
  <c r="X23" i="75"/>
  <c r="W23" i="75"/>
  <c r="I23" i="75"/>
  <c r="Z545" i="75" s="1"/>
  <c r="Y22" i="75"/>
  <c r="W22" i="75"/>
  <c r="I22" i="75"/>
  <c r="Y21" i="75"/>
  <c r="X21" i="75"/>
  <c r="W21" i="75"/>
  <c r="Y20" i="75"/>
  <c r="X20" i="75"/>
  <c r="W20" i="75"/>
  <c r="Y19" i="75"/>
  <c r="X19" i="75"/>
  <c r="W19" i="75"/>
  <c r="Y18" i="75"/>
  <c r="X18" i="75"/>
  <c r="W18" i="75"/>
  <c r="Y17" i="75"/>
  <c r="W17" i="75"/>
  <c r="Y16" i="75"/>
  <c r="X16" i="75"/>
  <c r="W16" i="75"/>
  <c r="Y15" i="75"/>
  <c r="X15" i="75"/>
  <c r="W15" i="75"/>
  <c r="Y14" i="75"/>
  <c r="X14" i="75"/>
  <c r="W14" i="75"/>
  <c r="Z13" i="75"/>
  <c r="Y13" i="75"/>
  <c r="X13" i="75"/>
  <c r="U6" i="75"/>
  <c r="E2" i="75"/>
  <c r="J32" i="10"/>
  <c r="H32" i="10"/>
  <c r="E32" i="10"/>
  <c r="C32" i="10"/>
  <c r="E8" i="10"/>
  <c r="F6" i="77" s="1"/>
  <c r="E7" i="10"/>
  <c r="E5" i="37" s="1"/>
  <c r="E5" i="80" l="1"/>
  <c r="F5" i="77"/>
  <c r="Z146" i="75"/>
  <c r="I28" i="75"/>
  <c r="Z62" i="75"/>
  <c r="Z330" i="75"/>
  <c r="Z368" i="75"/>
  <c r="Z420" i="75"/>
  <c r="Z472" i="75"/>
  <c r="Z503" i="75"/>
  <c r="Z509" i="75"/>
  <c r="Z542" i="75"/>
  <c r="Z587" i="75"/>
  <c r="Z594" i="75"/>
  <c r="Z614" i="75"/>
  <c r="AE52" i="77"/>
  <c r="AE59" i="77"/>
  <c r="AE67" i="77"/>
  <c r="AE93" i="77"/>
  <c r="AE153" i="77"/>
  <c r="AE463" i="77"/>
  <c r="AE482" i="77"/>
  <c r="Z68" i="75"/>
  <c r="Z74" i="75"/>
  <c r="Z98" i="75"/>
  <c r="Z104" i="75"/>
  <c r="Z122" i="75"/>
  <c r="Z164" i="75"/>
  <c r="Z195" i="75"/>
  <c r="Z227" i="75"/>
  <c r="Z233" i="75"/>
  <c r="Z239" i="75"/>
  <c r="Z252" i="75"/>
  <c r="Z284" i="75"/>
  <c r="Z355" i="75"/>
  <c r="Z362" i="75"/>
  <c r="Z562" i="75"/>
  <c r="Z568" i="75"/>
  <c r="AE16" i="77"/>
  <c r="AE71" i="77"/>
  <c r="AE110" i="77"/>
  <c r="AE137" i="77"/>
  <c r="AE307" i="77"/>
  <c r="AE528" i="77"/>
  <c r="AE553" i="77"/>
  <c r="Z18" i="75"/>
  <c r="Z51" i="75"/>
  <c r="Z141" i="75"/>
  <c r="Z183" i="75"/>
  <c r="Z189" i="75"/>
  <c r="Z208" i="75"/>
  <c r="Z304" i="75"/>
  <c r="Z324" i="75"/>
  <c r="Z343" i="75"/>
  <c r="Z349" i="75"/>
  <c r="Z408" i="75"/>
  <c r="Z440" i="75"/>
  <c r="Z460" i="75"/>
  <c r="Z530" i="75"/>
  <c r="Z608" i="75"/>
  <c r="AA69" i="76"/>
  <c r="AA75" i="76"/>
  <c r="AA81" i="76"/>
  <c r="AA175" i="76"/>
  <c r="AA181" i="76"/>
  <c r="AA281" i="76"/>
  <c r="AA324" i="76"/>
  <c r="AA330" i="76"/>
  <c r="AA443" i="76"/>
  <c r="AA449" i="76"/>
  <c r="AA586" i="76"/>
  <c r="AE78" i="77"/>
  <c r="AE170" i="77"/>
  <c r="AE219" i="77"/>
  <c r="AE223" i="77"/>
  <c r="AE245" i="77"/>
  <c r="AE254" i="77"/>
  <c r="AE334" i="77"/>
  <c r="AE454" i="77"/>
  <c r="Z116" i="75"/>
  <c r="AA31" i="76"/>
  <c r="AA23" i="76"/>
  <c r="AA612" i="76"/>
  <c r="AA607" i="76"/>
  <c r="AA602" i="76"/>
  <c r="AA597" i="76"/>
  <c r="AA592" i="76"/>
  <c r="AA587" i="76"/>
  <c r="AA582" i="76"/>
  <c r="AA577" i="76"/>
  <c r="AA572" i="76"/>
  <c r="AA567" i="76"/>
  <c r="AA562" i="76"/>
  <c r="AA557" i="76"/>
  <c r="AA552" i="76"/>
  <c r="AA547" i="76"/>
  <c r="AA542" i="76"/>
  <c r="AA537" i="76"/>
  <c r="AA532" i="76"/>
  <c r="AA527" i="76"/>
  <c r="AA522" i="76"/>
  <c r="AA517" i="76"/>
  <c r="AA512" i="76"/>
  <c r="AA507" i="76"/>
  <c r="AA502" i="76"/>
  <c r="AA497" i="76"/>
  <c r="AA492" i="76"/>
  <c r="AA487" i="76"/>
  <c r="AA482" i="76"/>
  <c r="AA477" i="76"/>
  <c r="AA472" i="76"/>
  <c r="AA467" i="76"/>
  <c r="AA462" i="76"/>
  <c r="AA457" i="76"/>
  <c r="AA452" i="76"/>
  <c r="AA447" i="76"/>
  <c r="AA442" i="76"/>
  <c r="AA437" i="76"/>
  <c r="AA432" i="76"/>
  <c r="AA427" i="76"/>
  <c r="AA422" i="76"/>
  <c r="AA417" i="76"/>
  <c r="AA412" i="76"/>
  <c r="AA407" i="76"/>
  <c r="AA402" i="76"/>
  <c r="AA397" i="76"/>
  <c r="AA392" i="76"/>
  <c r="AA387" i="76"/>
  <c r="AA382" i="76"/>
  <c r="AA377" i="76"/>
  <c r="AA372" i="76"/>
  <c r="AA367" i="76"/>
  <c r="AA362" i="76"/>
  <c r="AA357" i="76"/>
  <c r="AA352" i="76"/>
  <c r="AA347" i="76"/>
  <c r="AA342" i="76"/>
  <c r="AA337" i="76"/>
  <c r="AA332" i="76"/>
  <c r="AA327" i="76"/>
  <c r="AA322" i="76"/>
  <c r="AA317" i="76"/>
  <c r="AA312" i="76"/>
  <c r="AA307" i="76"/>
  <c r="AA302" i="76"/>
  <c r="AA297" i="76"/>
  <c r="AA292" i="76"/>
  <c r="AA287" i="76"/>
  <c r="AA282" i="76"/>
  <c r="AA277" i="76"/>
  <c r="AA272" i="76"/>
  <c r="AA267" i="76"/>
  <c r="AA262" i="76"/>
  <c r="AA257" i="76"/>
  <c r="AA252" i="76"/>
  <c r="AA247" i="76"/>
  <c r="AA242" i="76"/>
  <c r="AA237" i="76"/>
  <c r="AA232" i="76"/>
  <c r="AA227" i="76"/>
  <c r="AA222" i="76"/>
  <c r="AA217" i="76"/>
  <c r="AA212" i="76"/>
  <c r="AA207" i="76"/>
  <c r="AA202" i="76"/>
  <c r="AA197" i="76"/>
  <c r="AA192" i="76"/>
  <c r="AA187" i="76"/>
  <c r="AA182" i="76"/>
  <c r="AA177" i="76"/>
  <c r="AA172" i="76"/>
  <c r="AA167" i="76"/>
  <c r="AA162" i="76"/>
  <c r="AA157" i="76"/>
  <c r="AA152" i="76"/>
  <c r="AA147" i="76"/>
  <c r="AA142" i="76"/>
  <c r="AA137" i="76"/>
  <c r="AA132" i="76"/>
  <c r="AA127" i="76"/>
  <c r="AA122" i="76"/>
  <c r="AA117" i="76"/>
  <c r="AA112" i="76"/>
  <c r="AA107" i="76"/>
  <c r="AA102" i="76"/>
  <c r="AA97" i="76"/>
  <c r="AA92" i="76"/>
  <c r="AA87" i="76"/>
  <c r="AA82" i="76"/>
  <c r="AA77" i="76"/>
  <c r="AA72" i="76"/>
  <c r="AA67" i="76"/>
  <c r="AA62" i="76"/>
  <c r="AA57" i="76"/>
  <c r="AA52" i="76"/>
  <c r="AA47" i="76"/>
  <c r="AA42" i="76"/>
  <c r="AA37" i="76"/>
  <c r="AA24" i="76"/>
  <c r="AA611" i="76"/>
  <c r="AA600" i="76"/>
  <c r="AA589" i="76"/>
  <c r="AA578" i="76"/>
  <c r="AA561" i="76"/>
  <c r="AA550" i="76"/>
  <c r="AA539" i="76"/>
  <c r="AA528" i="76"/>
  <c r="AA511" i="76"/>
  <c r="AA500" i="76"/>
  <c r="AA489" i="76"/>
  <c r="AA478" i="76"/>
  <c r="AA461" i="76"/>
  <c r="AA450" i="76"/>
  <c r="AA439" i="76"/>
  <c r="AA428" i="76"/>
  <c r="AA411" i="76"/>
  <c r="AA400" i="76"/>
  <c r="AA389" i="76"/>
  <c r="AA378" i="76"/>
  <c r="AA361" i="76"/>
  <c r="AA350" i="76"/>
  <c r="AA339" i="76"/>
  <c r="AA328" i="76"/>
  <c r="AA311" i="76"/>
  <c r="AA300" i="76"/>
  <c r="AA289" i="76"/>
  <c r="AA278" i="76"/>
  <c r="AA261" i="76"/>
  <c r="AA250" i="76"/>
  <c r="AA239" i="76"/>
  <c r="AA228" i="76"/>
  <c r="AA211" i="76"/>
  <c r="AA200" i="76"/>
  <c r="AA189" i="76"/>
  <c r="AA178" i="76"/>
  <c r="AA161" i="76"/>
  <c r="AA150" i="76"/>
  <c r="AA139" i="76"/>
  <c r="AA128" i="76"/>
  <c r="AA111" i="76"/>
  <c r="AA100" i="76"/>
  <c r="AA89" i="76"/>
  <c r="AA73" i="76"/>
  <c r="AA36" i="76"/>
  <c r="AA41" i="76"/>
  <c r="AA78" i="76"/>
  <c r="AA605" i="76"/>
  <c r="AA594" i="76"/>
  <c r="AA583" i="76"/>
  <c r="AA566" i="76"/>
  <c r="AA555" i="76"/>
  <c r="AA544" i="76"/>
  <c r="AA533" i="76"/>
  <c r="AA516" i="76"/>
  <c r="AA505" i="76"/>
  <c r="AA494" i="76"/>
  <c r="AA483" i="76"/>
  <c r="AA466" i="76"/>
  <c r="AA455" i="76"/>
  <c r="AA444" i="76"/>
  <c r="AA433" i="76"/>
  <c r="AA416" i="76"/>
  <c r="AA405" i="76"/>
  <c r="AA394" i="76"/>
  <c r="AA383" i="76"/>
  <c r="AA366" i="76"/>
  <c r="AA355" i="76"/>
  <c r="AA344" i="76"/>
  <c r="AA333" i="76"/>
  <c r="AA316" i="76"/>
  <c r="AA305" i="76"/>
  <c r="AA294" i="76"/>
  <c r="AA283" i="76"/>
  <c r="AA266" i="76"/>
  <c r="AA255" i="76"/>
  <c r="AA244" i="76"/>
  <c r="AA233" i="76"/>
  <c r="AA216" i="76"/>
  <c r="AA205" i="76"/>
  <c r="AA194" i="76"/>
  <c r="AA183" i="76"/>
  <c r="AA166" i="76"/>
  <c r="AA155" i="76"/>
  <c r="AA144" i="76"/>
  <c r="AA133" i="76"/>
  <c r="AA116" i="76"/>
  <c r="AA105" i="76"/>
  <c r="AA94" i="76"/>
  <c r="AA83" i="76"/>
  <c r="AA46" i="76"/>
  <c r="AA22" i="76"/>
  <c r="AA17" i="76"/>
  <c r="AA603" i="76"/>
  <c r="AA591" i="76"/>
  <c r="AA504" i="76"/>
  <c r="AA440" i="76"/>
  <c r="AA353" i="76"/>
  <c r="AA341" i="76"/>
  <c r="AA254" i="76"/>
  <c r="AA190" i="76"/>
  <c r="AA103" i="76"/>
  <c r="AA91" i="76"/>
  <c r="AA74" i="76"/>
  <c r="AA58" i="76"/>
  <c r="AA585" i="76"/>
  <c r="AA568" i="76"/>
  <c r="AA556" i="76"/>
  <c r="AA521" i="76"/>
  <c r="AA498" i="76"/>
  <c r="AA486" i="76"/>
  <c r="AA469" i="76"/>
  <c r="AA434" i="76"/>
  <c r="AA399" i="76"/>
  <c r="AA370" i="76"/>
  <c r="AA335" i="76"/>
  <c r="AA318" i="76"/>
  <c r="AA306" i="76"/>
  <c r="AA271" i="76"/>
  <c r="AA248" i="76"/>
  <c r="AA236" i="76"/>
  <c r="AA219" i="76"/>
  <c r="AA184" i="76"/>
  <c r="AA149" i="76"/>
  <c r="AA120" i="76"/>
  <c r="AA85" i="76"/>
  <c r="AA63" i="76"/>
  <c r="AA30" i="76"/>
  <c r="AA503" i="76"/>
  <c r="AA253" i="76"/>
  <c r="AA241" i="76"/>
  <c r="AA154" i="76"/>
  <c r="AA90" i="76"/>
  <c r="AA40" i="76"/>
  <c r="AA21" i="76"/>
  <c r="AA584" i="76"/>
  <c r="AA334" i="76"/>
  <c r="AA206" i="76"/>
  <c r="AA614" i="76"/>
  <c r="AA579" i="76"/>
  <c r="AA515" i="76"/>
  <c r="AA480" i="76"/>
  <c r="AA463" i="76"/>
  <c r="AA451" i="76"/>
  <c r="AA393" i="76"/>
  <c r="AA381" i="76"/>
  <c r="AA364" i="76"/>
  <c r="AA329" i="76"/>
  <c r="AA265" i="76"/>
  <c r="AA230" i="76"/>
  <c r="AA213" i="76"/>
  <c r="AA201" i="76"/>
  <c r="AA143" i="76"/>
  <c r="AA131" i="76"/>
  <c r="AA114" i="76"/>
  <c r="AA68" i="76"/>
  <c r="AA35" i="76"/>
  <c r="AA26" i="76"/>
  <c r="AA16" i="76"/>
  <c r="AA288" i="76"/>
  <c r="AA79" i="76"/>
  <c r="AA590" i="76"/>
  <c r="AA491" i="76"/>
  <c r="AA404" i="76"/>
  <c r="AA340" i="76"/>
  <c r="AA549" i="76"/>
  <c r="AA468" i="76"/>
  <c r="AA421" i="76"/>
  <c r="AA386" i="76"/>
  <c r="AA369" i="76"/>
  <c r="AA235" i="76"/>
  <c r="AA218" i="76"/>
  <c r="AA148" i="76"/>
  <c r="AA119" i="76"/>
  <c r="AA608" i="76"/>
  <c r="AA596" i="76"/>
  <c r="AA573" i="76"/>
  <c r="AA538" i="76"/>
  <c r="AA526" i="76"/>
  <c r="AA509" i="76"/>
  <c r="AA474" i="76"/>
  <c r="AA445" i="76"/>
  <c r="AA410" i="76"/>
  <c r="AA375" i="76"/>
  <c r="AA358" i="76"/>
  <c r="AA346" i="76"/>
  <c r="AA323" i="76"/>
  <c r="AA276" i="76"/>
  <c r="AA259" i="76"/>
  <c r="AA224" i="76"/>
  <c r="AA195" i="76"/>
  <c r="AA160" i="76"/>
  <c r="AA125" i="76"/>
  <c r="AA108" i="76"/>
  <c r="AA96" i="76"/>
  <c r="AA520" i="76"/>
  <c r="AA485" i="76"/>
  <c r="AA456" i="76"/>
  <c r="AA398" i="76"/>
  <c r="AA299" i="76"/>
  <c r="AA270" i="76"/>
  <c r="AA171" i="76"/>
  <c r="AA136" i="76"/>
  <c r="AA84" i="76"/>
  <c r="AA51" i="76"/>
  <c r="AA554" i="76"/>
  <c r="AA490" i="76"/>
  <c r="AA403" i="76"/>
  <c r="AA391" i="76"/>
  <c r="AA304" i="76"/>
  <c r="AA240" i="76"/>
  <c r="AA153" i="76"/>
  <c r="AA141" i="76"/>
  <c r="AA61" i="76"/>
  <c r="AA39" i="76"/>
  <c r="AA25" i="76"/>
  <c r="AA20" i="76"/>
  <c r="AA593" i="76"/>
  <c r="AA581" i="76"/>
  <c r="AA564" i="76"/>
  <c r="AA529" i="76"/>
  <c r="AA465" i="76"/>
  <c r="AA430" i="76"/>
  <c r="AA413" i="76"/>
  <c r="AA401" i="76"/>
  <c r="AA343" i="76"/>
  <c r="AA331" i="76"/>
  <c r="AA314" i="76"/>
  <c r="AA279" i="76"/>
  <c r="AA215" i="76"/>
  <c r="AA180" i="76"/>
  <c r="AA163" i="76"/>
  <c r="AA151" i="76"/>
  <c r="AA93" i="76"/>
  <c r="AA70" i="76"/>
  <c r="AA54" i="76"/>
  <c r="AA32" i="76"/>
  <c r="I28" i="76"/>
  <c r="AA53" i="76"/>
  <c r="AA59" i="76"/>
  <c r="AA226" i="76"/>
  <c r="AA258" i="76"/>
  <c r="AA264" i="76"/>
  <c r="AA345" i="76"/>
  <c r="AA351" i="76"/>
  <c r="AA408" i="76"/>
  <c r="AA420" i="76"/>
  <c r="AA569" i="76"/>
  <c r="AA613" i="76"/>
  <c r="AE53" i="77"/>
  <c r="AE111" i="77"/>
  <c r="AE417" i="77"/>
  <c r="AE515" i="77"/>
  <c r="AE585" i="77"/>
  <c r="Z64" i="75"/>
  <c r="Z137" i="75"/>
  <c r="Z210" i="75"/>
  <c r="Z229" i="75"/>
  <c r="Z235" i="75"/>
  <c r="Z397" i="75"/>
  <c r="Z423" i="75"/>
  <c r="Z475" i="75"/>
  <c r="Z499" i="75"/>
  <c r="Z505" i="75"/>
  <c r="Z532" i="75"/>
  <c r="Z590" i="75"/>
  <c r="Z610" i="75"/>
  <c r="AA14" i="76"/>
  <c r="AA65" i="76"/>
  <c r="AA165" i="76"/>
  <c r="AA208" i="76"/>
  <c r="AA214" i="76"/>
  <c r="AA295" i="76"/>
  <c r="AA301" i="76"/>
  <c r="AA376" i="76"/>
  <c r="AA395" i="76"/>
  <c r="AA426" i="76"/>
  <c r="AA470" i="76"/>
  <c r="AA495" i="76"/>
  <c r="AA501" i="76"/>
  <c r="AA563" i="76"/>
  <c r="AA575" i="76"/>
  <c r="AA588" i="76"/>
  <c r="AE46" i="77"/>
  <c r="AE115" i="77"/>
  <c r="AE171" i="77"/>
  <c r="AE208" i="77"/>
  <c r="AE229" i="77"/>
  <c r="AE394" i="77"/>
  <c r="AE403" i="77"/>
  <c r="Z377" i="75"/>
  <c r="Z390" i="75"/>
  <c r="Z558" i="75"/>
  <c r="Z564" i="75"/>
  <c r="Z597" i="75"/>
  <c r="AA48" i="76"/>
  <c r="AA71" i="76"/>
  <c r="AA121" i="76"/>
  <c r="AA159" i="76"/>
  <c r="AA308" i="76"/>
  <c r="AA320" i="76"/>
  <c r="AA476" i="76"/>
  <c r="AA508" i="76"/>
  <c r="AA514" i="76"/>
  <c r="AA595" i="76"/>
  <c r="AA601" i="76"/>
  <c r="AE61" i="77"/>
  <c r="AE87" i="77"/>
  <c r="AE151" i="77"/>
  <c r="AE175" i="77"/>
  <c r="AE200" i="77"/>
  <c r="AE204" i="77"/>
  <c r="AE287" i="77"/>
  <c r="AE353" i="77"/>
  <c r="AE390" i="77"/>
  <c r="AE581" i="77"/>
  <c r="Z14" i="75"/>
  <c r="Z47" i="75"/>
  <c r="Z53" i="75"/>
  <c r="Z59" i="75"/>
  <c r="Z119" i="75"/>
  <c r="Z143" i="75"/>
  <c r="Z167" i="75"/>
  <c r="Z179" i="75"/>
  <c r="Z268" i="75"/>
  <c r="Z280" i="75"/>
  <c r="Z339" i="75"/>
  <c r="AA109" i="76"/>
  <c r="AA115" i="76"/>
  <c r="AA146" i="76"/>
  <c r="AA196" i="76"/>
  <c r="AA221" i="76"/>
  <c r="AA246" i="76"/>
  <c r="AA326" i="76"/>
  <c r="AA415" i="76"/>
  <c r="AA458" i="76"/>
  <c r="AA464" i="76"/>
  <c r="AA545" i="76"/>
  <c r="AA551" i="76"/>
  <c r="AE50" i="77"/>
  <c r="AE426" i="77"/>
  <c r="AE470" i="77"/>
  <c r="F23" i="25"/>
  <c r="AA23" i="36"/>
  <c r="W25" i="36"/>
  <c r="W10" i="36"/>
  <c r="Z611" i="75"/>
  <c r="Z606" i="75"/>
  <c r="Z601" i="75"/>
  <c r="Z596" i="75"/>
  <c r="Z591" i="75"/>
  <c r="Z586" i="75"/>
  <c r="Z581" i="75"/>
  <c r="Z576" i="75"/>
  <c r="Z571" i="75"/>
  <c r="Z566" i="75"/>
  <c r="Z561" i="75"/>
  <c r="Z556" i="75"/>
  <c r="Z551" i="75"/>
  <c r="Z546" i="75"/>
  <c r="Z541" i="75"/>
  <c r="Z536" i="75"/>
  <c r="Z531" i="75"/>
  <c r="Z526" i="75"/>
  <c r="Z521" i="75"/>
  <c r="Z516" i="75"/>
  <c r="Z511" i="75"/>
  <c r="Z506" i="75"/>
  <c r="Z501" i="75"/>
  <c r="Z496" i="75"/>
  <c r="Z491" i="75"/>
  <c r="Z486" i="75"/>
  <c r="Z481" i="75"/>
  <c r="Z476" i="75"/>
  <c r="Z471" i="75"/>
  <c r="Z466" i="75"/>
  <c r="Z461" i="75"/>
  <c r="Z456" i="75"/>
  <c r="Z451" i="75"/>
  <c r="Z446" i="75"/>
  <c r="Z441" i="75"/>
  <c r="Z436" i="75"/>
  <c r="Z431" i="75"/>
  <c r="Z426" i="75"/>
  <c r="Z421" i="75"/>
  <c r="Z416" i="75"/>
  <c r="Z411" i="75"/>
  <c r="Z406" i="75"/>
  <c r="Z401" i="75"/>
  <c r="Z396" i="75"/>
  <c r="Z391" i="75"/>
  <c r="Z386" i="75"/>
  <c r="Z381" i="75"/>
  <c r="Z376" i="75"/>
  <c r="Z371" i="75"/>
  <c r="Z366" i="75"/>
  <c r="Z361" i="75"/>
  <c r="Z356" i="75"/>
  <c r="Z351" i="75"/>
  <c r="Z346" i="75"/>
  <c r="Z341" i="75"/>
  <c r="Z336" i="75"/>
  <c r="Z331" i="75"/>
  <c r="Z326" i="75"/>
  <c r="Z321" i="75"/>
  <c r="Z316" i="75"/>
  <c r="Z311" i="75"/>
  <c r="Z306" i="75"/>
  <c r="Z301" i="75"/>
  <c r="Z296" i="75"/>
  <c r="Z291" i="75"/>
  <c r="Z286" i="75"/>
  <c r="Z281" i="75"/>
  <c r="Z276" i="75"/>
  <c r="Z271" i="75"/>
  <c r="Z266" i="75"/>
  <c r="Z261" i="75"/>
  <c r="Z256" i="75"/>
  <c r="Z251" i="75"/>
  <c r="Z246" i="75"/>
  <c r="Z241" i="75"/>
  <c r="Z236" i="75"/>
  <c r="Z231" i="75"/>
  <c r="Z226" i="75"/>
  <c r="Z221" i="75"/>
  <c r="Z216" i="75"/>
  <c r="Z211" i="75"/>
  <c r="Z206" i="75"/>
  <c r="Z201" i="75"/>
  <c r="Z196" i="75"/>
  <c r="Z191" i="75"/>
  <c r="Z186" i="75"/>
  <c r="Z181" i="75"/>
  <c r="Z176" i="75"/>
  <c r="Z171" i="75"/>
  <c r="Z166" i="75"/>
  <c r="Z580" i="75"/>
  <c r="Z559" i="75"/>
  <c r="Z538" i="75"/>
  <c r="Z517" i="75"/>
  <c r="Z480" i="75"/>
  <c r="Z459" i="75"/>
  <c r="Z438" i="75"/>
  <c r="Z417" i="75"/>
  <c r="Z380" i="75"/>
  <c r="Z359" i="75"/>
  <c r="Z338" i="75"/>
  <c r="Z317" i="75"/>
  <c r="Z604" i="75"/>
  <c r="Z588" i="75"/>
  <c r="Z572" i="75"/>
  <c r="Z534" i="75"/>
  <c r="Z518" i="75"/>
  <c r="Z464" i="75"/>
  <c r="Z437" i="75"/>
  <c r="Z410" i="75"/>
  <c r="Z394" i="75"/>
  <c r="Z367" i="75"/>
  <c r="Z340" i="75"/>
  <c r="Z313" i="75"/>
  <c r="Z297" i="75"/>
  <c r="Z265" i="75"/>
  <c r="Z244" i="75"/>
  <c r="Z223" i="75"/>
  <c r="Z202" i="75"/>
  <c r="Z165" i="75"/>
  <c r="Z160" i="75"/>
  <c r="Z155" i="75"/>
  <c r="Z150" i="75"/>
  <c r="Z145" i="75"/>
  <c r="Z140" i="75"/>
  <c r="Z135" i="75"/>
  <c r="Z130" i="75"/>
  <c r="Z125" i="75"/>
  <c r="Z120" i="75"/>
  <c r="Z115" i="75"/>
  <c r="Z110" i="75"/>
  <c r="Z105" i="75"/>
  <c r="Z100" i="75"/>
  <c r="Z95" i="75"/>
  <c r="Z90" i="75"/>
  <c r="Z85" i="75"/>
  <c r="Z80" i="75"/>
  <c r="Z75" i="75"/>
  <c r="Z70" i="75"/>
  <c r="Z65" i="75"/>
  <c r="Z60" i="75"/>
  <c r="Z55" i="75"/>
  <c r="Z50" i="75"/>
  <c r="Z45" i="75"/>
  <c r="Z40" i="75"/>
  <c r="Z35" i="75"/>
  <c r="Z577" i="75"/>
  <c r="Z523" i="75"/>
  <c r="Z469" i="75"/>
  <c r="Z453" i="75"/>
  <c r="Z415" i="75"/>
  <c r="Z399" i="75"/>
  <c r="Z345" i="75"/>
  <c r="Z270" i="75"/>
  <c r="Z249" i="75"/>
  <c r="Z228" i="75"/>
  <c r="Z207" i="75"/>
  <c r="Z550" i="75"/>
  <c r="Z507" i="75"/>
  <c r="Z383" i="75"/>
  <c r="Z329" i="75"/>
  <c r="Z302" i="75"/>
  <c r="Z609" i="75"/>
  <c r="Z593" i="75"/>
  <c r="Z555" i="75"/>
  <c r="Z539" i="75"/>
  <c r="Z512" i="75"/>
  <c r="Z485" i="75"/>
  <c r="Z458" i="75"/>
  <c r="Z442" i="75"/>
  <c r="Z404" i="75"/>
  <c r="Z388" i="75"/>
  <c r="Z372" i="75"/>
  <c r="Z334" i="75"/>
  <c r="Z318" i="75"/>
  <c r="Z275" i="75"/>
  <c r="Z254" i="75"/>
  <c r="Z584" i="75"/>
  <c r="Z428" i="75"/>
  <c r="Z393" i="75"/>
  <c r="Z387" i="75"/>
  <c r="Z358" i="75"/>
  <c r="Z335" i="75"/>
  <c r="Z300" i="75"/>
  <c r="Z283" i="75"/>
  <c r="Z243" i="75"/>
  <c r="Z232" i="75"/>
  <c r="Z177" i="75"/>
  <c r="Z129" i="75"/>
  <c r="Z108" i="75"/>
  <c r="Z87" i="75"/>
  <c r="Z66" i="75"/>
  <c r="Z17" i="75"/>
  <c r="Z613" i="75"/>
  <c r="Z578" i="75"/>
  <c r="Z549" i="75"/>
  <c r="Z520" i="75"/>
  <c r="Z514" i="75"/>
  <c r="Z497" i="75"/>
  <c r="Z474" i="75"/>
  <c r="Z445" i="75"/>
  <c r="Z422" i="75"/>
  <c r="Z323" i="75"/>
  <c r="Z294" i="75"/>
  <c r="Z260" i="75"/>
  <c r="Z215" i="75"/>
  <c r="Z204" i="75"/>
  <c r="Z193" i="75"/>
  <c r="Z134" i="75"/>
  <c r="Z113" i="75"/>
  <c r="Z92" i="75"/>
  <c r="Z71" i="75"/>
  <c r="Z34" i="75"/>
  <c r="Z398" i="75"/>
  <c r="Z248" i="75"/>
  <c r="Z220" i="75"/>
  <c r="Z123" i="75"/>
  <c r="Z583" i="75"/>
  <c r="Z548" i="75"/>
  <c r="Z450" i="75"/>
  <c r="Z392" i="75"/>
  <c r="Z357" i="75"/>
  <c r="Z328" i="75"/>
  <c r="Z299" i="75"/>
  <c r="Z282" i="75"/>
  <c r="Z259" i="75"/>
  <c r="Z242" i="75"/>
  <c r="Z128" i="75"/>
  <c r="Z107" i="75"/>
  <c r="Z21" i="75"/>
  <c r="Z565" i="75"/>
  <c r="Z409" i="75"/>
  <c r="Z322" i="75"/>
  <c r="Z214" i="75"/>
  <c r="Z170" i="75"/>
  <c r="Z154" i="75"/>
  <c r="Z91" i="75"/>
  <c r="Z607" i="75"/>
  <c r="Z543" i="75"/>
  <c r="Z537" i="75"/>
  <c r="Z508" i="75"/>
  <c r="Z468" i="75"/>
  <c r="Z439" i="75"/>
  <c r="Z433" i="75"/>
  <c r="Z375" i="75"/>
  <c r="Z369" i="75"/>
  <c r="Z352" i="75"/>
  <c r="Z305" i="75"/>
  <c r="Z288" i="75"/>
  <c r="Z277" i="75"/>
  <c r="Z237" i="75"/>
  <c r="Z182" i="75"/>
  <c r="Z139" i="75"/>
  <c r="Z118" i="75"/>
  <c r="Z97" i="75"/>
  <c r="Z76" i="75"/>
  <c r="Z39" i="75"/>
  <c r="Z595" i="75"/>
  <c r="Z560" i="75"/>
  <c r="Z554" i="75"/>
  <c r="Z525" i="75"/>
  <c r="Z502" i="75"/>
  <c r="Z479" i="75"/>
  <c r="Z462" i="75"/>
  <c r="Z427" i="75"/>
  <c r="Z209" i="75"/>
  <c r="Z102" i="75"/>
  <c r="Z44" i="75"/>
  <c r="Z29" i="75"/>
  <c r="Z86" i="75"/>
  <c r="Z513" i="75"/>
  <c r="Z473" i="75"/>
  <c r="Z444" i="75"/>
  <c r="Z403" i="75"/>
  <c r="Z310" i="75"/>
  <c r="Z293" i="75"/>
  <c r="Z192" i="75"/>
  <c r="Z112" i="75"/>
  <c r="Z589" i="75"/>
  <c r="Z363" i="75"/>
  <c r="Z198" i="75"/>
  <c r="Z187" i="75"/>
  <c r="Z144" i="75"/>
  <c r="Z81" i="75"/>
  <c r="Z149" i="75"/>
  <c r="Z49" i="75"/>
  <c r="Z25" i="75"/>
  <c r="Z16" i="75"/>
  <c r="Z612" i="75"/>
  <c r="Z600" i="75"/>
  <c r="Z519" i="75"/>
  <c r="Z490" i="75"/>
  <c r="Z253" i="75"/>
  <c r="Z225" i="75"/>
  <c r="Z203" i="75"/>
  <c r="Z133" i="75"/>
  <c r="Z54" i="75"/>
  <c r="Z33" i="75"/>
  <c r="Z605" i="75"/>
  <c r="Z570" i="75"/>
  <c r="Z547" i="75"/>
  <c r="Z449" i="75"/>
  <c r="Z414" i="75"/>
  <c r="Z379" i="75"/>
  <c r="Z350" i="75"/>
  <c r="Z315" i="75"/>
  <c r="Z298" i="75"/>
  <c r="Z258" i="75"/>
  <c r="Z180" i="75"/>
  <c r="Z148" i="75"/>
  <c r="Z127" i="75"/>
  <c r="Z106" i="75"/>
  <c r="Z69" i="75"/>
  <c r="Z48" i="75"/>
  <c r="Z28" i="75"/>
  <c r="Z20" i="75"/>
  <c r="Z15" i="75"/>
  <c r="Z603" i="75"/>
  <c r="Z557" i="75"/>
  <c r="Z522" i="75"/>
  <c r="Z510" i="75"/>
  <c r="Z482" i="75"/>
  <c r="Z447" i="75"/>
  <c r="Z435" i="75"/>
  <c r="Z395" i="75"/>
  <c r="Z389" i="75"/>
  <c r="Z354" i="75"/>
  <c r="Z325" i="75"/>
  <c r="Z290" i="75"/>
  <c r="Z279" i="75"/>
  <c r="Z262" i="75"/>
  <c r="Z245" i="75"/>
  <c r="Z217" i="75"/>
  <c r="Z184" i="75"/>
  <c r="Z173" i="75"/>
  <c r="Z157" i="75"/>
  <c r="Z136" i="75"/>
  <c r="Z99" i="75"/>
  <c r="Z78" i="75"/>
  <c r="Z57" i="75"/>
  <c r="Z36" i="75"/>
  <c r="Z31" i="75"/>
  <c r="Z23" i="75"/>
  <c r="Z73" i="75"/>
  <c r="Z103" i="75"/>
  <c r="Z121" i="75"/>
  <c r="Z163" i="75"/>
  <c r="Z194" i="75"/>
  <c r="Z432" i="75"/>
  <c r="Z515" i="75"/>
  <c r="Z188" i="75"/>
  <c r="Z213" i="75"/>
  <c r="Z238" i="75"/>
  <c r="Z289" i="75"/>
  <c r="Z309" i="75"/>
  <c r="Z342" i="75"/>
  <c r="Z535" i="75"/>
  <c r="Z27" i="75"/>
  <c r="Z32" i="75"/>
  <c r="Z158" i="75"/>
  <c r="Z478" i="75"/>
  <c r="Z93" i="75"/>
  <c r="Z147" i="75"/>
  <c r="Z272" i="75"/>
  <c r="Z454" i="75"/>
  <c r="Z63" i="75"/>
  <c r="Z222" i="75"/>
  <c r="Z240" i="75"/>
  <c r="Z285" i="75"/>
  <c r="Z448" i="75"/>
  <c r="Z563" i="75"/>
  <c r="Z569" i="75"/>
  <c r="Z582" i="75"/>
  <c r="Z602" i="75"/>
  <c r="AE241" i="77"/>
  <c r="AE407" i="77"/>
  <c r="AE421" i="77"/>
  <c r="Z19" i="75"/>
  <c r="Z52" i="75"/>
  <c r="Z344" i="75"/>
  <c r="Z274" i="75"/>
  <c r="Z307" i="75"/>
  <c r="Z320" i="75"/>
  <c r="Z384" i="75"/>
  <c r="Z430" i="75"/>
  <c r="Z443" i="75"/>
  <c r="Z494" i="75"/>
  <c r="Z552" i="75"/>
  <c r="AA60" i="76"/>
  <c r="AA134" i="76"/>
  <c r="AA290" i="76"/>
  <c r="AA409" i="76"/>
  <c r="AA558" i="76"/>
  <c r="AE566" i="77"/>
  <c r="Z114" i="75"/>
  <c r="Z138" i="75"/>
  <c r="Z205" i="75"/>
  <c r="Z224" i="75"/>
  <c r="Z405" i="75"/>
  <c r="Z424" i="75"/>
  <c r="Z533" i="75"/>
  <c r="AA576" i="76"/>
  <c r="AE112" i="77"/>
  <c r="Z72" i="75"/>
  <c r="Z314" i="75"/>
  <c r="Z412" i="75"/>
  <c r="Z470" i="75"/>
  <c r="Z585" i="75"/>
  <c r="AA309" i="76"/>
  <c r="AA315" i="76"/>
  <c r="AA321" i="76"/>
  <c r="AA384" i="76"/>
  <c r="AA390" i="76"/>
  <c r="AA534" i="76"/>
  <c r="AA540" i="76"/>
  <c r="AE148" i="77"/>
  <c r="AE193" i="77"/>
  <c r="AE197" i="77"/>
  <c r="AE217" i="77"/>
  <c r="AE414" i="77"/>
  <c r="AE457" i="77"/>
  <c r="AE466" i="77"/>
  <c r="AE597" i="77"/>
  <c r="V17" i="37"/>
  <c r="V16" i="37"/>
  <c r="V15" i="37"/>
  <c r="V14" i="37"/>
  <c r="V13" i="37"/>
  <c r="V11" i="37"/>
  <c r="V12" i="37"/>
  <c r="V7" i="37"/>
  <c r="V18" i="37"/>
  <c r="V8" i="37"/>
  <c r="V9" i="37"/>
  <c r="V10" i="37"/>
  <c r="Z96" i="75"/>
  <c r="Z126" i="75"/>
  <c r="Z168" i="75"/>
  <c r="Z174" i="75"/>
  <c r="Z250" i="75"/>
  <c r="Z263" i="75"/>
  <c r="Z269" i="75"/>
  <c r="Z308" i="75"/>
  <c r="Z353" i="75"/>
  <c r="Z483" i="75"/>
  <c r="Z592" i="75"/>
  <c r="AA55" i="76"/>
  <c r="AA98" i="76"/>
  <c r="AA104" i="76"/>
  <c r="AA110" i="76"/>
  <c r="AA173" i="76"/>
  <c r="AA185" i="76"/>
  <c r="AA191" i="76"/>
  <c r="AA260" i="76"/>
  <c r="AA303" i="76"/>
  <c r="AA453" i="76"/>
  <c r="AA459" i="76"/>
  <c r="AA484" i="76"/>
  <c r="AA546" i="76"/>
  <c r="AA609" i="76"/>
  <c r="AE104" i="77"/>
  <c r="AE136" i="77"/>
  <c r="E6" i="19"/>
  <c r="E6" i="66"/>
  <c r="E6" i="55"/>
  <c r="E6" i="80"/>
  <c r="D6" i="25"/>
  <c r="E6" i="60"/>
  <c r="D6" i="27"/>
  <c r="E6" i="59"/>
  <c r="E6" i="20"/>
  <c r="E6" i="56"/>
  <c r="E6" i="58"/>
  <c r="E6" i="47"/>
  <c r="E6" i="36"/>
  <c r="E6" i="35"/>
  <c r="E6" i="53"/>
  <c r="E6" i="57"/>
  <c r="E6" i="51"/>
  <c r="E6" i="76"/>
  <c r="E6" i="75"/>
  <c r="E6" i="37"/>
  <c r="E6" i="34"/>
  <c r="Z43" i="75"/>
  <c r="Z67" i="75"/>
  <c r="Z200" i="75"/>
  <c r="Z400" i="75"/>
  <c r="Z413" i="75"/>
  <c r="Z465" i="75"/>
  <c r="Z567" i="75"/>
  <c r="Z169" i="75"/>
  <c r="Z303" i="75"/>
  <c r="Z38" i="75"/>
  <c r="Z56" i="75"/>
  <c r="Z152" i="75"/>
  <c r="Z348" i="75"/>
  <c r="Z374" i="75"/>
  <c r="Z574" i="75"/>
  <c r="Z159" i="75"/>
  <c r="AE611" i="77"/>
  <c r="AE591" i="77"/>
  <c r="AE571" i="77"/>
  <c r="AE551" i="77"/>
  <c r="AE531" i="77"/>
  <c r="AE511" i="77"/>
  <c r="AE491" i="77"/>
  <c r="AE592" i="77"/>
  <c r="AE589" i="77"/>
  <c r="AE586" i="77"/>
  <c r="AE542" i="77"/>
  <c r="AE539" i="77"/>
  <c r="AE536" i="77"/>
  <c r="AE492" i="77"/>
  <c r="AE489" i="77"/>
  <c r="AE469" i="77"/>
  <c r="AE449" i="77"/>
  <c r="AE429" i="77"/>
  <c r="AE409" i="77"/>
  <c r="AE389" i="77"/>
  <c r="AE369" i="77"/>
  <c r="AE349" i="77"/>
  <c r="AE329" i="77"/>
  <c r="AE309" i="77"/>
  <c r="AE289" i="77"/>
  <c r="AE269" i="77"/>
  <c r="AE580" i="77"/>
  <c r="AE577" i="77"/>
  <c r="AE574" i="77"/>
  <c r="AE568" i="77"/>
  <c r="AE559" i="77"/>
  <c r="AE486" i="77"/>
  <c r="AE442" i="77"/>
  <c r="AE398" i="77"/>
  <c r="AE395" i="77"/>
  <c r="AE392" i="77"/>
  <c r="AE386" i="77"/>
  <c r="AE342" i="77"/>
  <c r="AE298" i="77"/>
  <c r="AE295" i="77"/>
  <c r="AE292" i="77"/>
  <c r="AE286" i="77"/>
  <c r="AE257" i="77"/>
  <c r="AE237" i="77"/>
  <c r="AE607" i="77"/>
  <c r="AE604" i="77"/>
  <c r="AE601" i="77"/>
  <c r="AE598" i="77"/>
  <c r="AE595" i="77"/>
  <c r="AE565" i="77"/>
  <c r="AE562" i="77"/>
  <c r="AE603" i="77"/>
  <c r="AE590" i="77"/>
  <c r="AE558" i="77"/>
  <c r="AE508" i="77"/>
  <c r="AE480" i="77"/>
  <c r="AE477" i="77"/>
  <c r="AE474" i="77"/>
  <c r="AE456" i="77"/>
  <c r="AE450" i="77"/>
  <c r="AE447" i="77"/>
  <c r="AE444" i="77"/>
  <c r="AE441" i="77"/>
  <c r="AE438" i="77"/>
  <c r="AE420" i="77"/>
  <c r="AE380" i="77"/>
  <c r="AE377" i="77"/>
  <c r="AE374" i="77"/>
  <c r="AE356" i="77"/>
  <c r="AE545" i="77"/>
  <c r="AE526" i="77"/>
  <c r="AE523" i="77"/>
  <c r="AE471" i="77"/>
  <c r="AE468" i="77"/>
  <c r="AE465" i="77"/>
  <c r="AE462" i="77"/>
  <c r="AE459" i="77"/>
  <c r="AE371" i="77"/>
  <c r="AE368" i="77"/>
  <c r="AE365" i="77"/>
  <c r="AE362" i="77"/>
  <c r="AE359" i="77"/>
  <c r="AE271" i="77"/>
  <c r="AE268" i="77"/>
  <c r="AE265" i="77"/>
  <c r="AE262" i="77"/>
  <c r="AE613" i="77"/>
  <c r="AE606" i="77"/>
  <c r="AE593" i="77"/>
  <c r="AE561" i="77"/>
  <c r="AE548" i="77"/>
  <c r="AE529" i="77"/>
  <c r="AE520" i="77"/>
  <c r="AE517" i="77"/>
  <c r="AE514" i="77"/>
  <c r="AE495" i="77"/>
  <c r="AE259" i="77"/>
  <c r="AE256" i="77"/>
  <c r="AE253" i="77"/>
  <c r="AE215" i="77"/>
  <c r="AE195" i="77"/>
  <c r="AE596" i="77"/>
  <c r="AE583" i="77"/>
  <c r="AE535" i="77"/>
  <c r="AE532" i="77"/>
  <c r="AE498" i="77"/>
  <c r="AE404" i="77"/>
  <c r="AE401" i="77"/>
  <c r="AE304" i="77"/>
  <c r="AE301" i="77"/>
  <c r="AE250" i="77"/>
  <c r="AE605" i="77"/>
  <c r="AE594" i="77"/>
  <c r="AE576" i="77"/>
  <c r="AE533" i="77"/>
  <c r="AE519" i="77"/>
  <c r="AE509" i="77"/>
  <c r="AE488" i="77"/>
  <c r="AE478" i="77"/>
  <c r="AE446" i="77"/>
  <c r="AE402" i="77"/>
  <c r="AE347" i="77"/>
  <c r="AE321" i="77"/>
  <c r="AE311" i="77"/>
  <c r="AE291" i="77"/>
  <c r="AE261" i="77"/>
  <c r="AE258" i="77"/>
  <c r="AE186" i="77"/>
  <c r="AE166" i="77"/>
  <c r="AE146" i="77"/>
  <c r="AE126" i="77"/>
  <c r="AE106" i="77"/>
  <c r="AE86" i="77"/>
  <c r="AE569" i="77"/>
  <c r="AE540" i="77"/>
  <c r="AE453" i="77"/>
  <c r="AE439" i="77"/>
  <c r="AE419" i="77"/>
  <c r="AE412" i="77"/>
  <c r="AE364" i="77"/>
  <c r="AE357" i="77"/>
  <c r="AE340" i="77"/>
  <c r="AE324" i="77"/>
  <c r="AE314" i="77"/>
  <c r="AE284" i="77"/>
  <c r="AE221" i="77"/>
  <c r="AE218" i="77"/>
  <c r="AE212" i="77"/>
  <c r="AE183" i="77"/>
  <c r="AE163" i="77"/>
  <c r="AE143" i="77"/>
  <c r="AE123" i="77"/>
  <c r="AE103" i="77"/>
  <c r="AE83" i="77"/>
  <c r="AE63" i="77"/>
  <c r="AE43" i="77"/>
  <c r="AE612" i="77"/>
  <c r="AE554" i="77"/>
  <c r="AE547" i="77"/>
  <c r="AE522" i="77"/>
  <c r="AE505" i="77"/>
  <c r="AE481" i="77"/>
  <c r="AE467" i="77"/>
  <c r="AE405" i="77"/>
  <c r="AE388" i="77"/>
  <c r="AE378" i="77"/>
  <c r="AE350" i="77"/>
  <c r="AE327" i="77"/>
  <c r="AE294" i="77"/>
  <c r="AE274" i="77"/>
  <c r="AE264" i="77"/>
  <c r="AE242" i="77"/>
  <c r="AE239" i="77"/>
  <c r="AE236" i="77"/>
  <c r="AE233" i="77"/>
  <c r="AE224" i="77"/>
  <c r="AE209" i="77"/>
  <c r="AE180" i="77"/>
  <c r="AE160" i="77"/>
  <c r="AE140" i="77"/>
  <c r="AE120" i="77"/>
  <c r="AE100" i="77"/>
  <c r="AE80" i="77"/>
  <c r="AE60" i="77"/>
  <c r="AE579" i="77"/>
  <c r="AE512" i="77"/>
  <c r="AE501" i="77"/>
  <c r="AE570" i="77"/>
  <c r="AE534" i="77"/>
  <c r="AE527" i="77"/>
  <c r="AE510" i="77"/>
  <c r="AE567" i="77"/>
  <c r="AE563" i="77"/>
  <c r="AE506" i="77"/>
  <c r="AE479" i="77"/>
  <c r="AE464" i="77"/>
  <c r="AE445" i="77"/>
  <c r="AE538" i="77"/>
  <c r="AE530" i="77"/>
  <c r="AE502" i="77"/>
  <c r="AE460" i="77"/>
  <c r="AE452" i="77"/>
  <c r="AE416" i="77"/>
  <c r="AE328" i="77"/>
  <c r="AE310" i="77"/>
  <c r="AE296" i="77"/>
  <c r="AE246" i="77"/>
  <c r="AE213" i="77"/>
  <c r="AE191" i="77"/>
  <c r="AE141" i="77"/>
  <c r="AE119" i="77"/>
  <c r="AE116" i="77"/>
  <c r="AE113" i="77"/>
  <c r="AE91" i="77"/>
  <c r="AE31" i="77"/>
  <c r="AE608" i="77"/>
  <c r="AE587" i="77"/>
  <c r="AE575" i="77"/>
  <c r="AE518" i="77"/>
  <c r="AE494" i="77"/>
  <c r="AE475" i="77"/>
  <c r="AE437" i="77"/>
  <c r="AE430" i="77"/>
  <c r="AE397" i="77"/>
  <c r="AE379" i="77"/>
  <c r="AE306" i="77"/>
  <c r="AE281" i="77"/>
  <c r="AE270" i="77"/>
  <c r="AE263" i="77"/>
  <c r="AE249" i="77"/>
  <c r="AE226" i="77"/>
  <c r="AE216" i="77"/>
  <c r="AE194" i="77"/>
  <c r="AE144" i="77"/>
  <c r="AE122" i="77"/>
  <c r="AE97" i="77"/>
  <c r="AE94" i="77"/>
  <c r="AE57" i="77"/>
  <c r="AE28" i="77"/>
  <c r="AE23" i="77"/>
  <c r="AE614" i="77"/>
  <c r="AE600" i="77"/>
  <c r="AE544" i="77"/>
  <c r="AE472" i="77"/>
  <c r="AE435" i="77"/>
  <c r="AE431" i="77"/>
  <c r="AE408" i="77"/>
  <c r="AE400" i="77"/>
  <c r="AE381" i="77"/>
  <c r="AE373" i="77"/>
  <c r="AE358" i="77"/>
  <c r="AE354" i="77"/>
  <c r="AE343" i="77"/>
  <c r="AE325" i="77"/>
  <c r="AE299" i="77"/>
  <c r="AE225" i="77"/>
  <c r="AE211" i="77"/>
  <c r="AE198" i="77"/>
  <c r="AE181" i="77"/>
  <c r="AE165" i="77"/>
  <c r="AE152" i="77"/>
  <c r="AE96" i="77"/>
  <c r="AE27" i="77"/>
  <c r="AE19" i="77"/>
  <c r="AE609" i="77"/>
  <c r="AE556" i="77"/>
  <c r="AE443" i="77"/>
  <c r="AE396" i="77"/>
  <c r="AE339" i="77"/>
  <c r="AE332" i="77"/>
  <c r="AE235" i="77"/>
  <c r="AE201" i="77"/>
  <c r="AE155" i="77"/>
  <c r="AE129" i="77"/>
  <c r="AE99" i="77"/>
  <c r="AE79" i="77"/>
  <c r="AE76" i="77"/>
  <c r="AE70" i="77"/>
  <c r="AE48" i="77"/>
  <c r="AE36" i="77"/>
  <c r="AE33" i="77"/>
  <c r="AE30" i="77"/>
  <c r="AE552" i="77"/>
  <c r="AE504" i="77"/>
  <c r="AE500" i="77"/>
  <c r="AE455" i="77"/>
  <c r="AE451" i="77"/>
  <c r="AE427" i="77"/>
  <c r="AE346" i="77"/>
  <c r="AE317" i="77"/>
  <c r="AE283" i="77"/>
  <c r="AE279" i="77"/>
  <c r="AE272" i="77"/>
  <c r="AE260" i="77"/>
  <c r="AE214" i="77"/>
  <c r="AE184" i="77"/>
  <c r="AE168" i="77"/>
  <c r="AE158" i="77"/>
  <c r="AE145" i="77"/>
  <c r="AE132" i="77"/>
  <c r="AE109" i="77"/>
  <c r="AE102" i="77"/>
  <c r="AE73" i="77"/>
  <c r="AE51" i="77"/>
  <c r="AE45" i="77"/>
  <c r="AE42" i="77"/>
  <c r="AE39" i="77"/>
  <c r="AE573" i="77"/>
  <c r="AE555" i="77"/>
  <c r="AE399" i="77"/>
  <c r="AE372" i="77"/>
  <c r="AE320" i="77"/>
  <c r="AE316" i="77"/>
  <c r="AE282" i="77"/>
  <c r="AE267" i="77"/>
  <c r="AE248" i="77"/>
  <c r="AE234" i="77"/>
  <c r="AE220" i="77"/>
  <c r="AE210" i="77"/>
  <c r="AE203" i="77"/>
  <c r="AE190" i="77"/>
  <c r="AE164" i="77"/>
  <c r="AE154" i="77"/>
  <c r="AE131" i="77"/>
  <c r="AE108" i="77"/>
  <c r="AE95" i="77"/>
  <c r="AE69" i="77"/>
  <c r="AE26" i="77"/>
  <c r="AE21" i="77"/>
  <c r="AE18" i="77"/>
  <c r="AE513" i="77"/>
  <c r="AE476" i="77"/>
  <c r="AE440" i="77"/>
  <c r="AE348" i="77"/>
  <c r="AE336" i="77"/>
  <c r="AE240" i="77"/>
  <c r="AE232" i="77"/>
  <c r="AE179" i="77"/>
  <c r="AE161" i="77"/>
  <c r="AE139" i="77"/>
  <c r="AE118" i="77"/>
  <c r="AE89" i="77"/>
  <c r="AE72" i="77"/>
  <c r="AE65" i="77"/>
  <c r="AE58" i="77"/>
  <c r="AE38" i="77"/>
  <c r="AE25" i="77"/>
  <c r="AE423" i="77"/>
  <c r="AE415" i="77"/>
  <c r="AE411" i="77"/>
  <c r="AE385" i="77"/>
  <c r="AE280" i="77"/>
  <c r="AE276" i="77"/>
  <c r="AE157" i="77"/>
  <c r="AE150" i="77"/>
  <c r="AE125" i="77"/>
  <c r="AE107" i="77"/>
  <c r="AE458" i="77"/>
  <c r="AE406" i="77"/>
  <c r="AE312" i="77"/>
  <c r="AE308" i="77"/>
  <c r="AE300" i="77"/>
  <c r="AE251" i="77"/>
  <c r="AE228" i="77"/>
  <c r="AE172" i="77"/>
  <c r="AE114" i="77"/>
  <c r="AE92" i="77"/>
  <c r="AE85" i="77"/>
  <c r="AE75" i="77"/>
  <c r="AE68" i="77"/>
  <c r="AE54" i="77"/>
  <c r="AE41" i="77"/>
  <c r="AE22" i="77"/>
  <c r="AE525" i="77"/>
  <c r="AE516" i="77"/>
  <c r="AE448" i="77"/>
  <c r="AE418" i="77"/>
  <c r="AE410" i="77"/>
  <c r="AE384" i="77"/>
  <c r="AE351" i="77"/>
  <c r="AE484" i="77"/>
  <c r="AE338" i="77"/>
  <c r="AE330" i="77"/>
  <c r="AE322" i="77"/>
  <c r="AE247" i="77"/>
  <c r="AE227" i="77"/>
  <c r="AE189" i="77"/>
  <c r="AE185" i="77"/>
  <c r="AE147" i="77"/>
  <c r="AE117" i="77"/>
  <c r="AE98" i="77"/>
  <c r="AE62" i="77"/>
  <c r="AE34" i="77"/>
  <c r="AE546" i="77"/>
  <c r="AE461" i="77"/>
  <c r="AE428" i="77"/>
  <c r="AE326" i="77"/>
  <c r="AE318" i="77"/>
  <c r="AE305" i="77"/>
  <c r="AE297" i="77"/>
  <c r="AE293" i="77"/>
  <c r="AE285" i="77"/>
  <c r="AE243" i="77"/>
  <c r="AE207" i="77"/>
  <c r="AE128" i="77"/>
  <c r="AE105" i="77"/>
  <c r="AE14" i="77"/>
  <c r="AE584" i="77"/>
  <c r="AE483" i="77"/>
  <c r="AE432" i="77"/>
  <c r="AE333" i="77"/>
  <c r="AE313" i="77"/>
  <c r="AE192" i="77"/>
  <c r="AE47" i="77"/>
  <c r="AE436" i="77"/>
  <c r="AE288" i="77"/>
  <c r="AE138" i="77"/>
  <c r="AE560" i="77"/>
  <c r="AE541" i="77"/>
  <c r="AE507" i="77"/>
  <c r="AE493" i="77"/>
  <c r="AE424" i="77"/>
  <c r="AE376" i="77"/>
  <c r="AE363" i="77"/>
  <c r="AE255" i="77"/>
  <c r="AE196" i="77"/>
  <c r="AE173" i="77"/>
  <c r="AE90" i="77"/>
  <c r="AE44" i="77"/>
  <c r="AE24" i="77"/>
  <c r="AE230" i="77"/>
  <c r="AE206" i="77"/>
  <c r="AE599" i="77"/>
  <c r="AE550" i="77"/>
  <c r="AE497" i="77"/>
  <c r="AE393" i="77"/>
  <c r="AE367" i="77"/>
  <c r="AE222" i="77"/>
  <c r="AE135" i="77"/>
  <c r="AE124" i="77"/>
  <c r="AE101" i="77"/>
  <c r="AE37" i="77"/>
  <c r="AE17" i="77"/>
  <c r="AE337" i="77"/>
  <c r="AE238" i="77"/>
  <c r="AE188" i="77"/>
  <c r="AE176" i="77"/>
  <c r="AE169" i="77"/>
  <c r="AE142" i="77"/>
  <c r="AE496" i="77"/>
  <c r="AE375" i="77"/>
  <c r="AE202" i="77"/>
  <c r="AE134" i="77"/>
  <c r="AE127" i="77"/>
  <c r="AE557" i="77"/>
  <c r="AE524" i="77"/>
  <c r="AE499" i="77"/>
  <c r="AE434" i="77"/>
  <c r="AE382" i="77"/>
  <c r="AE335" i="77"/>
  <c r="AE331" i="77"/>
  <c r="AE315" i="77"/>
  <c r="AE182" i="77"/>
  <c r="AE159" i="77"/>
  <c r="AE84" i="77"/>
  <c r="AE49" i="77"/>
  <c r="AE35" i="77"/>
  <c r="AE572" i="77"/>
  <c r="AE543" i="77"/>
  <c r="AE490" i="77"/>
  <c r="AE485" i="77"/>
  <c r="AE425" i="77"/>
  <c r="AE413" i="77"/>
  <c r="AE323" i="77"/>
  <c r="AE319" i="77"/>
  <c r="AE273" i="77"/>
  <c r="AE244" i="77"/>
  <c r="AE178" i="77"/>
  <c r="AE167" i="77"/>
  <c r="AE290" i="77"/>
  <c r="AE370" i="77"/>
  <c r="AE549" i="77"/>
  <c r="Z234" i="75"/>
  <c r="Z402" i="75"/>
  <c r="Z434" i="75"/>
  <c r="Z467" i="75"/>
  <c r="Z498" i="75"/>
  <c r="AE20" i="77"/>
  <c r="AE187" i="77"/>
  <c r="AE303" i="77"/>
  <c r="AE352" i="77"/>
  <c r="AE366" i="77"/>
  <c r="AE610" i="77"/>
  <c r="Z142" i="75"/>
  <c r="Z190" i="75"/>
  <c r="Z292" i="75"/>
  <c r="Z370" i="75"/>
  <c r="AE162" i="77"/>
  <c r="AE277" i="77"/>
  <c r="Z88" i="75"/>
  <c r="Z172" i="75"/>
  <c r="Z197" i="75"/>
  <c r="Z273" i="75"/>
  <c r="Z312" i="75"/>
  <c r="Z493" i="75"/>
  <c r="Z131" i="75"/>
  <c r="Z161" i="75"/>
  <c r="Z185" i="75"/>
  <c r="Z255" i="75"/>
  <c r="Z83" i="75"/>
  <c r="Z287" i="75"/>
  <c r="Z333" i="75"/>
  <c r="Z365" i="75"/>
  <c r="Z463" i="75"/>
  <c r="Z488" i="75"/>
  <c r="AA15" i="76"/>
  <c r="AA43" i="76"/>
  <c r="AA140" i="76"/>
  <c r="AA284" i="76"/>
  <c r="AA371" i="76"/>
  <c r="AA570" i="76"/>
  <c r="AE278" i="77"/>
  <c r="AE345" i="77"/>
  <c r="Z30" i="75"/>
  <c r="Z156" i="75"/>
  <c r="Z230" i="75"/>
  <c r="Z327" i="75"/>
  <c r="Z418" i="75"/>
  <c r="Z500" i="75"/>
  <c r="AA66" i="76"/>
  <c r="AA209" i="76"/>
  <c r="AA234" i="76"/>
  <c r="AA359" i="76"/>
  <c r="AA396" i="76"/>
  <c r="AA446" i="76"/>
  <c r="AE252" i="77"/>
  <c r="AE521" i="77"/>
  <c r="Z26" i="75"/>
  <c r="Z42" i="75"/>
  <c r="Z132" i="75"/>
  <c r="Z162" i="75"/>
  <c r="Z457" i="75"/>
  <c r="Z151" i="75"/>
  <c r="Z295" i="75"/>
  <c r="Z347" i="75"/>
  <c r="Z385" i="75"/>
  <c r="Z477" i="75"/>
  <c r="Z489" i="75"/>
  <c r="Z495" i="75"/>
  <c r="Z528" i="75"/>
  <c r="Z553" i="75"/>
  <c r="Z573" i="75"/>
  <c r="Z579" i="75"/>
  <c r="AA44" i="76"/>
  <c r="AA123" i="76"/>
  <c r="AA129" i="76"/>
  <c r="AA135" i="76"/>
  <c r="AA179" i="76"/>
  <c r="AA273" i="76"/>
  <c r="AA285" i="76"/>
  <c r="AA291" i="76"/>
  <c r="AA559" i="76"/>
  <c r="AA565" i="76"/>
  <c r="AA571" i="76"/>
  <c r="AE32" i="77"/>
  <c r="AE66" i="77"/>
  <c r="AE88" i="77"/>
  <c r="AE205" i="77"/>
  <c r="AE391" i="77"/>
  <c r="AE582" i="77"/>
  <c r="X22" i="36"/>
  <c r="X10" i="36"/>
  <c r="AB10" i="36"/>
  <c r="AB25" i="36"/>
  <c r="V24" i="27"/>
  <c r="F14" i="27" s="1"/>
  <c r="D14" i="27"/>
  <c r="Z79" i="75"/>
  <c r="Z175" i="75"/>
  <c r="Z264" i="75"/>
  <c r="Z407" i="75"/>
  <c r="Z484" i="75"/>
  <c r="Z529" i="75"/>
  <c r="Z111" i="75"/>
  <c r="Z117" i="75"/>
  <c r="Z153" i="75"/>
  <c r="Z278" i="75"/>
  <c r="Z337" i="75"/>
  <c r="Z492" i="75"/>
  <c r="Z524" i="75"/>
  <c r="Z575" i="75"/>
  <c r="AE130" i="77"/>
  <c r="AE199" i="77"/>
  <c r="AE361" i="77"/>
  <c r="AE473" i="77"/>
  <c r="AE503" i="77"/>
  <c r="AE564" i="77"/>
  <c r="Z382" i="75"/>
  <c r="Z504" i="75"/>
  <c r="AE56" i="77"/>
  <c r="AE64" i="77"/>
  <c r="AE174" i="77"/>
  <c r="AE344" i="77"/>
  <c r="Z24" i="75"/>
  <c r="Z247" i="75"/>
  <c r="AE82" i="77"/>
  <c r="Z46" i="75"/>
  <c r="Z58" i="75"/>
  <c r="Z178" i="75"/>
  <c r="Z267" i="75"/>
  <c r="Z82" i="75"/>
  <c r="Z94" i="75"/>
  <c r="Z124" i="75"/>
  <c r="Z319" i="75"/>
  <c r="Z332" i="75"/>
  <c r="Z364" i="75"/>
  <c r="Z429" i="75"/>
  <c r="Z455" i="75"/>
  <c r="Z487" i="75"/>
  <c r="Z544" i="75"/>
  <c r="Z41" i="75"/>
  <c r="Z77" i="75"/>
  <c r="Z89" i="75"/>
  <c r="Z101" i="75"/>
  <c r="Z218" i="75"/>
  <c r="Z378" i="75"/>
  <c r="Z527" i="75"/>
  <c r="AA203" i="76"/>
  <c r="AA296" i="76"/>
  <c r="AA365" i="76"/>
  <c r="AA471" i="76"/>
  <c r="AA496" i="76"/>
  <c r="AE341" i="77"/>
  <c r="AE422" i="77"/>
  <c r="Z199" i="75"/>
  <c r="Z540" i="75"/>
  <c r="Z598" i="75"/>
  <c r="AA49" i="76"/>
  <c r="Z37" i="75"/>
  <c r="Z84" i="75"/>
  <c r="Z212" i="75"/>
  <c r="Z360" i="75"/>
  <c r="Z373" i="75"/>
  <c r="Z22" i="75"/>
  <c r="Z61" i="75"/>
  <c r="Z109" i="75"/>
  <c r="Z219" i="75"/>
  <c r="Z257" i="75"/>
  <c r="Z419" i="75"/>
  <c r="Z425" i="75"/>
  <c r="Z452" i="75"/>
  <c r="Z599" i="75"/>
  <c r="AA27" i="76"/>
  <c r="AA38" i="76"/>
  <c r="AA198" i="76"/>
  <c r="AA204" i="76"/>
  <c r="AA210" i="76"/>
  <c r="AA223" i="76"/>
  <c r="AA229" i="76"/>
  <c r="AA348" i="76"/>
  <c r="AA354" i="76"/>
  <c r="AA360" i="76"/>
  <c r="AA423" i="76"/>
  <c r="AA435" i="76"/>
  <c r="AA441" i="76"/>
  <c r="AA510" i="76"/>
  <c r="AA553" i="76"/>
  <c r="AE15" i="77"/>
  <c r="AE40" i="77"/>
  <c r="AE77" i="77"/>
  <c r="AE387" i="77"/>
  <c r="F38" i="58"/>
  <c r="AB46" i="77"/>
  <c r="AB56" i="77"/>
  <c r="AB71" i="77"/>
  <c r="AB103" i="77"/>
  <c r="AB261" i="77"/>
  <c r="AB287" i="77"/>
  <c r="AB299" i="77"/>
  <c r="AB307" i="77"/>
  <c r="AB391" i="77"/>
  <c r="E5" i="19"/>
  <c r="E5" i="66"/>
  <c r="E5" i="55"/>
  <c r="E5" i="57"/>
  <c r="D5" i="25"/>
  <c r="E5" i="60"/>
  <c r="D5" i="27"/>
  <c r="E5" i="59"/>
  <c r="E5" i="20"/>
  <c r="E5" i="56"/>
  <c r="E5" i="58"/>
  <c r="E5" i="36"/>
  <c r="E5" i="35"/>
  <c r="E5" i="51"/>
  <c r="E5" i="47"/>
  <c r="E5" i="76"/>
  <c r="E5" i="34"/>
  <c r="AB600" i="77"/>
  <c r="AB580" i="77"/>
  <c r="AB560" i="77"/>
  <c r="AB540" i="77"/>
  <c r="AB520" i="77"/>
  <c r="AB500" i="77"/>
  <c r="AB614" i="77"/>
  <c r="AB610" i="77"/>
  <c r="AB607" i="77"/>
  <c r="AB563" i="77"/>
  <c r="AB557" i="77"/>
  <c r="AB513" i="77"/>
  <c r="AB510" i="77"/>
  <c r="AB507" i="77"/>
  <c r="AB478" i="77"/>
  <c r="AB458" i="77"/>
  <c r="AB438" i="77"/>
  <c r="AB418" i="77"/>
  <c r="AB398" i="77"/>
  <c r="AB378" i="77"/>
  <c r="AB358" i="77"/>
  <c r="AB338" i="77"/>
  <c r="AB318" i="77"/>
  <c r="AB298" i="77"/>
  <c r="AB278" i="77"/>
  <c r="AB547" i="77"/>
  <c r="AB538" i="77"/>
  <c r="AB463" i="77"/>
  <c r="AB419" i="77"/>
  <c r="AB416" i="77"/>
  <c r="AB413" i="77"/>
  <c r="AB363" i="77"/>
  <c r="AB319" i="77"/>
  <c r="AB316" i="77"/>
  <c r="AB313" i="77"/>
  <c r="AB266" i="77"/>
  <c r="AB246" i="77"/>
  <c r="AB226" i="77"/>
  <c r="AB584" i="77"/>
  <c r="AB565" i="77"/>
  <c r="AB499" i="77"/>
  <c r="AB408" i="77"/>
  <c r="AB399" i="77"/>
  <c r="AB587" i="77"/>
  <c r="AB568" i="77"/>
  <c r="AB555" i="77"/>
  <c r="AB552" i="77"/>
  <c r="AB539" i="77"/>
  <c r="AB502" i="77"/>
  <c r="AB435" i="77"/>
  <c r="AB432" i="77"/>
  <c r="AB429" i="77"/>
  <c r="AB426" i="77"/>
  <c r="AB414" i="77"/>
  <c r="AB411" i="77"/>
  <c r="AB335" i="77"/>
  <c r="AB332" i="77"/>
  <c r="AB329" i="77"/>
  <c r="AB326" i="77"/>
  <c r="AB314" i="77"/>
  <c r="AB311" i="77"/>
  <c r="AB571" i="77"/>
  <c r="AB505" i="77"/>
  <c r="AB486" i="77"/>
  <c r="AB483" i="77"/>
  <c r="AB453" i="77"/>
  <c r="AB423" i="77"/>
  <c r="AB417" i="77"/>
  <c r="AB386" i="77"/>
  <c r="AB383" i="77"/>
  <c r="AB353" i="77"/>
  <c r="AB323" i="77"/>
  <c r="AB317" i="77"/>
  <c r="AB286" i="77"/>
  <c r="AB283" i="77"/>
  <c r="AB230" i="77"/>
  <c r="AB204" i="77"/>
  <c r="AB603" i="77"/>
  <c r="AB590" i="77"/>
  <c r="AB577" i="77"/>
  <c r="AB574" i="77"/>
  <c r="AB558" i="77"/>
  <c r="AB542" i="77"/>
  <c r="AB508" i="77"/>
  <c r="AB489" i="77"/>
  <c r="AB480" i="77"/>
  <c r="AB477" i="77"/>
  <c r="AB474" i="77"/>
  <c r="AB456" i="77"/>
  <c r="AB450" i="77"/>
  <c r="AB447" i="77"/>
  <c r="AB444" i="77"/>
  <c r="AB441" i="77"/>
  <c r="AB420" i="77"/>
  <c r="AB389" i="77"/>
  <c r="AB380" i="77"/>
  <c r="AB377" i="77"/>
  <c r="AB374" i="77"/>
  <c r="AB356" i="77"/>
  <c r="AB350" i="77"/>
  <c r="AB347" i="77"/>
  <c r="AB344" i="77"/>
  <c r="AB341" i="77"/>
  <c r="AB320" i="77"/>
  <c r="AB289" i="77"/>
  <c r="AB280" i="77"/>
  <c r="AB277" i="77"/>
  <c r="AB274" i="77"/>
  <c r="AB598" i="77"/>
  <c r="AB573" i="77"/>
  <c r="AB530" i="77"/>
  <c r="AB492" i="77"/>
  <c r="AB485" i="77"/>
  <c r="AB382" i="77"/>
  <c r="AB368" i="77"/>
  <c r="AB334" i="77"/>
  <c r="AB288" i="77"/>
  <c r="AB268" i="77"/>
  <c r="AB249" i="77"/>
  <c r="AB198" i="77"/>
  <c r="AB195" i="77"/>
  <c r="AB175" i="77"/>
  <c r="AB155" i="77"/>
  <c r="AB135" i="77"/>
  <c r="AB115" i="77"/>
  <c r="AB95" i="77"/>
  <c r="AB609" i="77"/>
  <c r="AB583" i="77"/>
  <c r="AB566" i="77"/>
  <c r="AB551" i="77"/>
  <c r="AB544" i="77"/>
  <c r="AB526" i="77"/>
  <c r="AB516" i="77"/>
  <c r="AB495" i="77"/>
  <c r="AB471" i="77"/>
  <c r="AB457" i="77"/>
  <c r="AB443" i="77"/>
  <c r="AB436" i="77"/>
  <c r="AB409" i="77"/>
  <c r="AB392" i="77"/>
  <c r="AB375" i="77"/>
  <c r="AB361" i="77"/>
  <c r="AB308" i="77"/>
  <c r="AB252" i="77"/>
  <c r="AB192" i="77"/>
  <c r="AB172" i="77"/>
  <c r="AB152" i="77"/>
  <c r="AB132" i="77"/>
  <c r="AB112" i="77"/>
  <c r="AB92" i="77"/>
  <c r="AB72" i="77"/>
  <c r="AB52" i="77"/>
  <c r="AB562" i="77"/>
  <c r="AB464" i="77"/>
  <c r="AB385" i="77"/>
  <c r="AB337" i="77"/>
  <c r="AB301" i="77"/>
  <c r="AB281" i="77"/>
  <c r="AB271" i="77"/>
  <c r="AB255" i="77"/>
  <c r="AB189" i="77"/>
  <c r="AB169" i="77"/>
  <c r="AB149" i="77"/>
  <c r="AB129" i="77"/>
  <c r="AB109" i="77"/>
  <c r="AB89" i="77"/>
  <c r="AB69" i="77"/>
  <c r="AB605" i="77"/>
  <c r="AB601" i="77"/>
  <c r="AB594" i="77"/>
  <c r="AB576" i="77"/>
  <c r="AB533" i="77"/>
  <c r="AB519" i="77"/>
  <c r="AB509" i="77"/>
  <c r="AB498" i="77"/>
  <c r="AB488" i="77"/>
  <c r="AB588" i="77"/>
  <c r="AB567" i="77"/>
  <c r="AB549" i="77"/>
  <c r="AB531" i="77"/>
  <c r="AB524" i="77"/>
  <c r="AB517" i="77"/>
  <c r="AB613" i="77"/>
  <c r="AB596" i="77"/>
  <c r="AB572" i="77"/>
  <c r="AB515" i="77"/>
  <c r="AB511" i="77"/>
  <c r="AB491" i="77"/>
  <c r="AB424" i="77"/>
  <c r="AB559" i="77"/>
  <c r="AB487" i="77"/>
  <c r="AB472" i="77"/>
  <c r="AB468" i="77"/>
  <c r="AB449" i="77"/>
  <c r="AB434" i="77"/>
  <c r="AB405" i="77"/>
  <c r="AB325" i="77"/>
  <c r="AB260" i="77"/>
  <c r="AB253" i="77"/>
  <c r="AB243" i="77"/>
  <c r="AB223" i="77"/>
  <c r="AB182" i="77"/>
  <c r="AB160" i="77"/>
  <c r="AB157" i="77"/>
  <c r="AB154" i="77"/>
  <c r="AB104" i="77"/>
  <c r="AB82" i="77"/>
  <c r="AB73" i="77"/>
  <c r="AB70" i="77"/>
  <c r="AB40" i="77"/>
  <c r="AB21" i="77"/>
  <c r="AB604" i="77"/>
  <c r="AB543" i="77"/>
  <c r="AB427" i="77"/>
  <c r="AB401" i="77"/>
  <c r="AB387" i="77"/>
  <c r="AB285" i="77"/>
  <c r="AB267" i="77"/>
  <c r="AB236" i="77"/>
  <c r="AB207" i="77"/>
  <c r="AB185" i="77"/>
  <c r="AB163" i="77"/>
  <c r="AB107" i="77"/>
  <c r="AB85" i="77"/>
  <c r="AB37" i="77"/>
  <c r="AB18" i="77"/>
  <c r="AB592" i="77"/>
  <c r="AB575" i="77"/>
  <c r="AB561" i="77"/>
  <c r="AB493" i="77"/>
  <c r="AB460" i="77"/>
  <c r="AB448" i="77"/>
  <c r="AB370" i="77"/>
  <c r="AB351" i="77"/>
  <c r="AB336" i="77"/>
  <c r="AB229" i="77"/>
  <c r="AB162" i="77"/>
  <c r="AB139" i="77"/>
  <c r="AB113" i="77"/>
  <c r="AB106" i="77"/>
  <c r="AB55" i="77"/>
  <c r="AB579" i="77"/>
  <c r="AB535" i="77"/>
  <c r="AB514" i="77"/>
  <c r="AB404" i="77"/>
  <c r="AB393" i="77"/>
  <c r="AB362" i="77"/>
  <c r="AB310" i="77"/>
  <c r="AB257" i="77"/>
  <c r="AB239" i="77"/>
  <c r="AB218" i="77"/>
  <c r="AB208" i="77"/>
  <c r="AB188" i="77"/>
  <c r="AB126" i="77"/>
  <c r="AB116" i="77"/>
  <c r="AB93" i="77"/>
  <c r="AB58" i="77"/>
  <c r="AB22" i="77"/>
  <c r="AB548" i="77"/>
  <c r="AB522" i="77"/>
  <c r="AB518" i="77"/>
  <c r="AB484" i="77"/>
  <c r="AB476" i="77"/>
  <c r="AB412" i="77"/>
  <c r="AB366" i="77"/>
  <c r="AB354" i="77"/>
  <c r="AB306" i="77"/>
  <c r="AB276" i="77"/>
  <c r="AB232" i="77"/>
  <c r="AB178" i="77"/>
  <c r="AB142" i="77"/>
  <c r="AB119" i="77"/>
  <c r="AB86" i="77"/>
  <c r="AB67" i="77"/>
  <c r="AB64" i="77"/>
  <c r="AB61" i="77"/>
  <c r="AB16" i="77"/>
  <c r="AB608" i="77"/>
  <c r="AB599" i="77"/>
  <c r="AB569" i="77"/>
  <c r="AB479" i="77"/>
  <c r="AB407" i="77"/>
  <c r="AB376" i="77"/>
  <c r="AB324" i="77"/>
  <c r="AB309" i="77"/>
  <c r="AB245" i="77"/>
  <c r="AB228" i="77"/>
  <c r="AB224" i="77"/>
  <c r="AB171" i="77"/>
  <c r="AB161" i="77"/>
  <c r="AB148" i="77"/>
  <c r="AB125" i="77"/>
  <c r="AB105" i="77"/>
  <c r="AB60" i="77"/>
  <c r="AB24" i="77"/>
  <c r="AB597" i="77"/>
  <c r="AB554" i="77"/>
  <c r="AB536" i="77"/>
  <c r="AB527" i="77"/>
  <c r="AB365" i="77"/>
  <c r="AB297" i="77"/>
  <c r="AB248" i="77"/>
  <c r="AB176" i="77"/>
  <c r="AB133" i="77"/>
  <c r="AB122" i="77"/>
  <c r="AB100" i="77"/>
  <c r="AB62" i="77"/>
  <c r="AB45" i="77"/>
  <c r="AB32" i="77"/>
  <c r="AB48" i="77"/>
  <c r="AB564" i="77"/>
  <c r="AB503" i="77"/>
  <c r="AB494" i="77"/>
  <c r="AB490" i="77"/>
  <c r="AB481" i="77"/>
  <c r="AB454" i="77"/>
  <c r="AB445" i="77"/>
  <c r="AB390" i="77"/>
  <c r="AB373" i="77"/>
  <c r="AB293" i="77"/>
  <c r="AB264" i="77"/>
  <c r="AB244" i="77"/>
  <c r="AB187" i="77"/>
  <c r="AB183" i="77"/>
  <c r="AB165" i="77"/>
  <c r="AB147" i="77"/>
  <c r="AB143" i="77"/>
  <c r="AB136" i="77"/>
  <c r="AB35" i="77"/>
  <c r="AB611" i="77"/>
  <c r="AB606" i="77"/>
  <c r="AB545" i="77"/>
  <c r="AB467" i="77"/>
  <c r="AB369" i="77"/>
  <c r="AB352" i="77"/>
  <c r="AB340" i="77"/>
  <c r="AB304" i="77"/>
  <c r="AB205" i="77"/>
  <c r="AB194" i="77"/>
  <c r="AB111" i="77"/>
  <c r="AB591" i="77"/>
  <c r="AB586" i="77"/>
  <c r="AB582" i="77"/>
  <c r="AB512" i="77"/>
  <c r="AB372" i="77"/>
  <c r="AB589" i="77"/>
  <c r="AB469" i="77"/>
  <c r="AB451" i="77"/>
  <c r="AB33" i="77"/>
  <c r="AB97" i="77"/>
  <c r="AB206" i="77"/>
  <c r="AB250" i="77"/>
  <c r="AB275" i="77"/>
  <c r="AB279" i="77"/>
  <c r="AB388" i="77"/>
  <c r="AB506" i="77"/>
  <c r="B59" i="47"/>
  <c r="K23" i="37"/>
  <c r="H23" i="37"/>
  <c r="H41" i="47" s="1"/>
  <c r="F23" i="37"/>
  <c r="F41" i="47" s="1"/>
  <c r="S13" i="37"/>
  <c r="B41" i="47"/>
  <c r="G23" i="37"/>
  <c r="G41" i="47" s="1"/>
  <c r="E33" i="58"/>
  <c r="X34" i="75"/>
  <c r="X92" i="75"/>
  <c r="X171" i="75"/>
  <c r="X215" i="75"/>
  <c r="X254" i="75"/>
  <c r="X317" i="75"/>
  <c r="X381" i="75"/>
  <c r="X422" i="75"/>
  <c r="X445" i="75"/>
  <c r="X520" i="75"/>
  <c r="X566" i="75"/>
  <c r="X578" i="75"/>
  <c r="AB27" i="77"/>
  <c r="AB51" i="77"/>
  <c r="AB94" i="77"/>
  <c r="AB98" i="77"/>
  <c r="AB117" i="77"/>
  <c r="AB247" i="77"/>
  <c r="AB251" i="77"/>
  <c r="AB272" i="77"/>
  <c r="AB322" i="77"/>
  <c r="AB330" i="77"/>
  <c r="AB402" i="77"/>
  <c r="X71" i="75"/>
  <c r="X134" i="75"/>
  <c r="X294" i="75"/>
  <c r="X311" i="75"/>
  <c r="X404" i="75"/>
  <c r="X416" i="75"/>
  <c r="X474" i="75"/>
  <c r="X514" i="75"/>
  <c r="X601" i="75"/>
  <c r="X613" i="75"/>
  <c r="X17" i="75"/>
  <c r="X50" i="75"/>
  <c r="X66" i="75"/>
  <c r="X87" i="75"/>
  <c r="X108" i="75"/>
  <c r="X129" i="75"/>
  <c r="X150" i="75"/>
  <c r="X166" i="75"/>
  <c r="X177" i="75"/>
  <c r="X232" i="75"/>
  <c r="X243" i="75"/>
  <c r="X266" i="75"/>
  <c r="X283" i="75"/>
  <c r="X300" i="75"/>
  <c r="X329" i="75"/>
  <c r="X341" i="75"/>
  <c r="X358" i="75"/>
  <c r="X387" i="75"/>
  <c r="X393" i="75"/>
  <c r="X451" i="75"/>
  <c r="AB34" i="77"/>
  <c r="AB41" i="77"/>
  <c r="AB83" i="77"/>
  <c r="AB87" i="77"/>
  <c r="AB121" i="77"/>
  <c r="AB158" i="77"/>
  <c r="AB166" i="77"/>
  <c r="AB170" i="77"/>
  <c r="AB200" i="77"/>
  <c r="AB211" i="77"/>
  <c r="AB219" i="77"/>
  <c r="AB227" i="77"/>
  <c r="AB231" i="77"/>
  <c r="AB342" i="77"/>
  <c r="AB346" i="77"/>
  <c r="AB359" i="77"/>
  <c r="AB437" i="77"/>
  <c r="AB470" i="77"/>
  <c r="E5" i="53"/>
  <c r="X607" i="75"/>
  <c r="X591" i="75"/>
  <c r="X570" i="75"/>
  <c r="X549" i="75"/>
  <c r="X528" i="75"/>
  <c r="X507" i="75"/>
  <c r="X491" i="75"/>
  <c r="X470" i="75"/>
  <c r="X449" i="75"/>
  <c r="X428" i="75"/>
  <c r="X407" i="75"/>
  <c r="X391" i="75"/>
  <c r="X370" i="75"/>
  <c r="X349" i="75"/>
  <c r="X328" i="75"/>
  <c r="X307" i="75"/>
  <c r="X291" i="75"/>
  <c r="X610" i="75"/>
  <c r="X594" i="75"/>
  <c r="X567" i="75"/>
  <c r="X556" i="75"/>
  <c r="X540" i="75"/>
  <c r="X513" i="75"/>
  <c r="X497" i="75"/>
  <c r="X486" i="75"/>
  <c r="X459" i="75"/>
  <c r="X443" i="75"/>
  <c r="X405" i="75"/>
  <c r="X389" i="75"/>
  <c r="X373" i="75"/>
  <c r="X335" i="75"/>
  <c r="X319" i="75"/>
  <c r="X276" i="75"/>
  <c r="X255" i="75"/>
  <c r="X234" i="75"/>
  <c r="X213" i="75"/>
  <c r="X192" i="75"/>
  <c r="X176" i="75"/>
  <c r="X545" i="75"/>
  <c r="X378" i="75"/>
  <c r="X324" i="75"/>
  <c r="X308" i="75"/>
  <c r="X292" i="75"/>
  <c r="X281" i="75"/>
  <c r="X260" i="75"/>
  <c r="X239" i="75"/>
  <c r="X218" i="75"/>
  <c r="X197" i="75"/>
  <c r="X599" i="75"/>
  <c r="X583" i="75"/>
  <c r="X529" i="75"/>
  <c r="X502" i="75"/>
  <c r="X475" i="75"/>
  <c r="X448" i="75"/>
  <c r="X432" i="75"/>
  <c r="X421" i="75"/>
  <c r="X362" i="75"/>
  <c r="X351" i="75"/>
  <c r="X181" i="75"/>
  <c r="X604" i="75"/>
  <c r="X588" i="75"/>
  <c r="X572" i="75"/>
  <c r="X561" i="75"/>
  <c r="X534" i="75"/>
  <c r="X518" i="75"/>
  <c r="X480" i="75"/>
  <c r="X464" i="75"/>
  <c r="X437" i="75"/>
  <c r="X426" i="75"/>
  <c r="X410" i="75"/>
  <c r="X394" i="75"/>
  <c r="X367" i="75"/>
  <c r="X356" i="75"/>
  <c r="X340" i="75"/>
  <c r="X313" i="75"/>
  <c r="X297" i="75"/>
  <c r="X286" i="75"/>
  <c r="X265" i="75"/>
  <c r="X244" i="75"/>
  <c r="X55" i="75"/>
  <c r="X113" i="75"/>
  <c r="X155" i="75"/>
  <c r="X193" i="75"/>
  <c r="X204" i="75"/>
  <c r="X226" i="75"/>
  <c r="X323" i="75"/>
  <c r="E5" i="75"/>
  <c r="X22" i="75"/>
  <c r="X26" i="75"/>
  <c r="X45" i="75"/>
  <c r="X61" i="75"/>
  <c r="X82" i="75"/>
  <c r="X103" i="75"/>
  <c r="X124" i="75"/>
  <c r="X145" i="75"/>
  <c r="X161" i="75"/>
  <c r="X188" i="75"/>
  <c r="X199" i="75"/>
  <c r="X210" i="75"/>
  <c r="X221" i="75"/>
  <c r="X249" i="75"/>
  <c r="X272" i="75"/>
  <c r="X347" i="75"/>
  <c r="X364" i="75"/>
  <c r="X399" i="75"/>
  <c r="X411" i="75"/>
  <c r="X457" i="75"/>
  <c r="X463" i="75"/>
  <c r="X492" i="75"/>
  <c r="X503" i="75"/>
  <c r="X526" i="75"/>
  <c r="X532" i="75"/>
  <c r="X555" i="75"/>
  <c r="X573" i="75"/>
  <c r="X590" i="75"/>
  <c r="X596" i="75"/>
  <c r="AB177" i="77"/>
  <c r="AB181" i="77"/>
  <c r="AB215" i="77"/>
  <c r="AB235" i="77"/>
  <c r="AB381" i="77"/>
  <c r="AB433" i="77"/>
  <c r="AB585" i="77"/>
  <c r="AB31" i="77"/>
  <c r="AB66" i="77"/>
  <c r="AB80" i="77"/>
  <c r="AB110" i="77"/>
  <c r="AB151" i="77"/>
  <c r="AB193" i="77"/>
  <c r="AB302" i="77"/>
  <c r="AB355" i="77"/>
  <c r="AB421" i="77"/>
  <c r="AB442" i="77"/>
  <c r="AB466" i="77"/>
  <c r="AB523" i="77"/>
  <c r="AB532" i="77"/>
  <c r="AB537" i="77"/>
  <c r="AB581" i="77"/>
  <c r="AB595" i="77"/>
  <c r="E29" i="58"/>
  <c r="F17" i="25"/>
  <c r="U23" i="36"/>
  <c r="AB23" i="76"/>
  <c r="AB612" i="76"/>
  <c r="AB607" i="76"/>
  <c r="AB602" i="76"/>
  <c r="AB597" i="76"/>
  <c r="AB592" i="76"/>
  <c r="AB587" i="76"/>
  <c r="AB582" i="76"/>
  <c r="AB577" i="76"/>
  <c r="AB572" i="76"/>
  <c r="AB567" i="76"/>
  <c r="AB562" i="76"/>
  <c r="AB557" i="76"/>
  <c r="AB552" i="76"/>
  <c r="AB547" i="76"/>
  <c r="AB542" i="76"/>
  <c r="AB537" i="76"/>
  <c r="AB532" i="76"/>
  <c r="AB527" i="76"/>
  <c r="AB522" i="76"/>
  <c r="AB517" i="76"/>
  <c r="AB512" i="76"/>
  <c r="AB507" i="76"/>
  <c r="AB502" i="76"/>
  <c r="AB497" i="76"/>
  <c r="AB492" i="76"/>
  <c r="AB487" i="76"/>
  <c r="AB482" i="76"/>
  <c r="AB477" i="76"/>
  <c r="AB472" i="76"/>
  <c r="AB467" i="76"/>
  <c r="AB462" i="76"/>
  <c r="AB457" i="76"/>
  <c r="AB452" i="76"/>
  <c r="AB447" i="76"/>
  <c r="AB442" i="76"/>
  <c r="AB437" i="76"/>
  <c r="AB432" i="76"/>
  <c r="AB427" i="76"/>
  <c r="AB422" i="76"/>
  <c r="AB417" i="76"/>
  <c r="AB412" i="76"/>
  <c r="AB407" i="76"/>
  <c r="AB402" i="76"/>
  <c r="AB397" i="76"/>
  <c r="AB392" i="76"/>
  <c r="AB387" i="76"/>
  <c r="AB382" i="76"/>
  <c r="AB377" i="76"/>
  <c r="AB372" i="76"/>
  <c r="AB367" i="76"/>
  <c r="AB362" i="76"/>
  <c r="AB357" i="76"/>
  <c r="AB352" i="76"/>
  <c r="AB347" i="76"/>
  <c r="AB342" i="76"/>
  <c r="AB337" i="76"/>
  <c r="AB332" i="76"/>
  <c r="AB327" i="76"/>
  <c r="AB322" i="76"/>
  <c r="AB317" i="76"/>
  <c r="AB312" i="76"/>
  <c r="AB307" i="76"/>
  <c r="AB302" i="76"/>
  <c r="AB297" i="76"/>
  <c r="AB292" i="76"/>
  <c r="AB287" i="76"/>
  <c r="AB282" i="76"/>
  <c r="AB277" i="76"/>
  <c r="AB272" i="76"/>
  <c r="AB267" i="76"/>
  <c r="AB262" i="76"/>
  <c r="AB257" i="76"/>
  <c r="AB252" i="76"/>
  <c r="AB247" i="76"/>
  <c r="AB242" i="76"/>
  <c r="AB237" i="76"/>
  <c r="AB232" i="76"/>
  <c r="AB227" i="76"/>
  <c r="AB222" i="76"/>
  <c r="AB217" i="76"/>
  <c r="AB212" i="76"/>
  <c r="AB207" i="76"/>
  <c r="AB202" i="76"/>
  <c r="AB197" i="76"/>
  <c r="AB192" i="76"/>
  <c r="AB187" i="76"/>
  <c r="AB182" i="76"/>
  <c r="AB177" i="76"/>
  <c r="AB172" i="76"/>
  <c r="AB167" i="76"/>
  <c r="AB162" i="76"/>
  <c r="AB157" i="76"/>
  <c r="AB152" i="76"/>
  <c r="AB147" i="76"/>
  <c r="AB142" i="76"/>
  <c r="AB137" i="76"/>
  <c r="AB132" i="76"/>
  <c r="AB127" i="76"/>
  <c r="AB122" i="76"/>
  <c r="AB117" i="76"/>
  <c r="AB112" i="76"/>
  <c r="AB107" i="76"/>
  <c r="AB102" i="76"/>
  <c r="AB97" i="76"/>
  <c r="AB92" i="76"/>
  <c r="AB87" i="76"/>
  <c r="AB32" i="76"/>
  <c r="AB19" i="76"/>
  <c r="AB14" i="76"/>
  <c r="AB41" i="76"/>
  <c r="AB57" i="76"/>
  <c r="AB78" i="76"/>
  <c r="K23" i="35"/>
  <c r="H23" i="35"/>
  <c r="H23" i="47" s="1"/>
  <c r="G23" i="35"/>
  <c r="G23" i="47" s="1"/>
  <c r="B23" i="47"/>
  <c r="S13" i="47" s="1"/>
  <c r="F23" i="35"/>
  <c r="F23" i="47" s="1"/>
  <c r="AC63" i="77"/>
  <c r="AC115" i="77"/>
  <c r="AC141" i="77"/>
  <c r="AC151" i="77"/>
  <c r="AC174" i="77"/>
  <c r="AC177" i="77"/>
  <c r="AC180" i="77"/>
  <c r="AC187" i="77"/>
  <c r="AC197" i="77"/>
  <c r="AC217" i="77"/>
  <c r="AC238" i="77"/>
  <c r="AC294" i="77"/>
  <c r="AC342" i="77"/>
  <c r="AC403" i="77"/>
  <c r="AC430" i="77"/>
  <c r="AC442" i="77"/>
  <c r="AF454" i="77"/>
  <c r="AF458" i="77"/>
  <c r="AF470" i="77"/>
  <c r="AF499" i="77"/>
  <c r="AF503" i="77"/>
  <c r="AC513" i="77"/>
  <c r="AC525" i="77"/>
  <c r="AC529" i="77"/>
  <c r="AC578" i="77"/>
  <c r="AF585" i="77"/>
  <c r="AC597" i="77"/>
  <c r="AC577" i="77"/>
  <c r="AC557" i="77"/>
  <c r="AC537" i="77"/>
  <c r="AC517" i="77"/>
  <c r="AC497" i="77"/>
  <c r="AC614" i="77"/>
  <c r="AC611" i="77"/>
  <c r="AC613" i="77"/>
  <c r="AC604" i="77"/>
  <c r="AC560" i="77"/>
  <c r="AC554" i="77"/>
  <c r="AC551" i="77"/>
  <c r="AC548" i="77"/>
  <c r="AC504" i="77"/>
  <c r="AC475" i="77"/>
  <c r="AC455" i="77"/>
  <c r="AC435" i="77"/>
  <c r="AC415" i="77"/>
  <c r="AC395" i="77"/>
  <c r="AC375" i="77"/>
  <c r="AC355" i="77"/>
  <c r="AC335" i="77"/>
  <c r="AC315" i="77"/>
  <c r="AC295" i="77"/>
  <c r="AC275" i="77"/>
  <c r="AC550" i="77"/>
  <c r="AC544" i="77"/>
  <c r="AC541" i="77"/>
  <c r="AC460" i="77"/>
  <c r="AC457" i="77"/>
  <c r="AC454" i="77"/>
  <c r="AC410" i="77"/>
  <c r="AC407" i="77"/>
  <c r="AC404" i="77"/>
  <c r="AC360" i="77"/>
  <c r="AC357" i="77"/>
  <c r="AC354" i="77"/>
  <c r="AC310" i="77"/>
  <c r="AC307" i="77"/>
  <c r="AC304" i="77"/>
  <c r="AC263" i="77"/>
  <c r="AC243" i="77"/>
  <c r="AC223" i="77"/>
  <c r="AC586" i="77"/>
  <c r="AC583" i="77"/>
  <c r="AC556" i="77"/>
  <c r="AC587" i="77"/>
  <c r="AC568" i="77"/>
  <c r="AC555" i="77"/>
  <c r="AC552" i="77"/>
  <c r="AC539" i="77"/>
  <c r="AC502" i="77"/>
  <c r="AC432" i="77"/>
  <c r="AC429" i="77"/>
  <c r="AC426" i="77"/>
  <c r="AC414" i="77"/>
  <c r="AC411" i="77"/>
  <c r="AC610" i="77"/>
  <c r="AC600" i="77"/>
  <c r="AC571" i="77"/>
  <c r="AC505" i="77"/>
  <c r="AC486" i="77"/>
  <c r="AC483" i="77"/>
  <c r="AC453" i="77"/>
  <c r="AC423" i="77"/>
  <c r="AC417" i="77"/>
  <c r="AC386" i="77"/>
  <c r="AC383" i="77"/>
  <c r="AC353" i="77"/>
  <c r="AC323" i="77"/>
  <c r="AC317" i="77"/>
  <c r="AC286" i="77"/>
  <c r="AC283" i="77"/>
  <c r="AC603" i="77"/>
  <c r="AC590" i="77"/>
  <c r="AC574" i="77"/>
  <c r="AC558" i="77"/>
  <c r="AC542" i="77"/>
  <c r="AC508" i="77"/>
  <c r="AC489" i="77"/>
  <c r="AC480" i="77"/>
  <c r="AC477" i="77"/>
  <c r="AC474" i="77"/>
  <c r="AC456" i="77"/>
  <c r="AC450" i="77"/>
  <c r="AC447" i="77"/>
  <c r="AC444" i="77"/>
  <c r="AC441" i="77"/>
  <c r="AC438" i="77"/>
  <c r="AC420" i="77"/>
  <c r="AC389" i="77"/>
  <c r="AC380" i="77"/>
  <c r="AC377" i="77"/>
  <c r="AC374" i="77"/>
  <c r="AC356" i="77"/>
  <c r="AC350" i="77"/>
  <c r="AC347" i="77"/>
  <c r="AC344" i="77"/>
  <c r="AC341" i="77"/>
  <c r="AC338" i="77"/>
  <c r="AC320" i="77"/>
  <c r="AC289" i="77"/>
  <c r="AC280" i="77"/>
  <c r="AC277" i="77"/>
  <c r="AC274" i="77"/>
  <c r="AC227" i="77"/>
  <c r="AC224" i="77"/>
  <c r="AC221" i="77"/>
  <c r="AC201" i="77"/>
  <c r="AC545" i="77"/>
  <c r="AC526" i="77"/>
  <c r="AC523" i="77"/>
  <c r="AC511" i="77"/>
  <c r="AC471" i="77"/>
  <c r="AC468" i="77"/>
  <c r="AC465" i="77"/>
  <c r="AC462" i="77"/>
  <c r="AC459" i="77"/>
  <c r="AC392" i="77"/>
  <c r="AC371" i="77"/>
  <c r="AC368" i="77"/>
  <c r="AC365" i="77"/>
  <c r="AC362" i="77"/>
  <c r="AC359" i="77"/>
  <c r="AC292" i="77"/>
  <c r="AC271" i="77"/>
  <c r="AC268" i="77"/>
  <c r="AC265" i="77"/>
  <c r="AC262" i="77"/>
  <c r="AC609" i="77"/>
  <c r="AC566" i="77"/>
  <c r="AC516" i="77"/>
  <c r="AC495" i="77"/>
  <c r="AC443" i="77"/>
  <c r="AC436" i="77"/>
  <c r="AC416" i="77"/>
  <c r="AC409" i="77"/>
  <c r="AC361" i="77"/>
  <c r="AC318" i="77"/>
  <c r="AC308" i="77"/>
  <c r="AC298" i="77"/>
  <c r="AC278" i="77"/>
  <c r="AC252" i="77"/>
  <c r="AC192" i="77"/>
  <c r="AC172" i="77"/>
  <c r="AC152" i="77"/>
  <c r="AC132" i="77"/>
  <c r="AC112" i="77"/>
  <c r="AC92" i="77"/>
  <c r="AC562" i="77"/>
  <c r="AC464" i="77"/>
  <c r="AC399" i="77"/>
  <c r="AC385" i="77"/>
  <c r="AC337" i="77"/>
  <c r="AC301" i="77"/>
  <c r="AC281" i="77"/>
  <c r="AC255" i="77"/>
  <c r="AC189" i="77"/>
  <c r="AC169" i="77"/>
  <c r="AC149" i="77"/>
  <c r="AC129" i="77"/>
  <c r="AC109" i="77"/>
  <c r="AC89" i="77"/>
  <c r="AC69" i="77"/>
  <c r="AC49" i="77"/>
  <c r="AC605" i="77"/>
  <c r="AC601" i="77"/>
  <c r="AC594" i="77"/>
  <c r="AC576" i="77"/>
  <c r="AC533" i="77"/>
  <c r="AC519" i="77"/>
  <c r="AC509" i="77"/>
  <c r="AC498" i="77"/>
  <c r="AC488" i="77"/>
  <c r="AC478" i="77"/>
  <c r="AC446" i="77"/>
  <c r="AC402" i="77"/>
  <c r="AC321" i="77"/>
  <c r="AC311" i="77"/>
  <c r="AC291" i="77"/>
  <c r="AC261" i="77"/>
  <c r="AC258" i="77"/>
  <c r="AC186" i="77"/>
  <c r="AC166" i="77"/>
  <c r="AC146" i="77"/>
  <c r="AC126" i="77"/>
  <c r="AC106" i="77"/>
  <c r="AC86" i="77"/>
  <c r="AC66" i="77"/>
  <c r="AC569" i="77"/>
  <c r="AC540" i="77"/>
  <c r="AC599" i="77"/>
  <c r="AC581" i="77"/>
  <c r="AC503" i="77"/>
  <c r="AC493" i="77"/>
  <c r="AC559" i="77"/>
  <c r="AC487" i="77"/>
  <c r="AC472" i="77"/>
  <c r="AC449" i="77"/>
  <c r="AC434" i="77"/>
  <c r="AC543" i="77"/>
  <c r="AC427" i="77"/>
  <c r="AC401" i="77"/>
  <c r="AC387" i="77"/>
  <c r="AC285" i="77"/>
  <c r="AC267" i="77"/>
  <c r="AC236" i="77"/>
  <c r="AC207" i="77"/>
  <c r="AC204" i="77"/>
  <c r="AC185" i="77"/>
  <c r="AC163" i="77"/>
  <c r="AC107" i="77"/>
  <c r="AC85" i="77"/>
  <c r="AC37" i="77"/>
  <c r="AC18" i="77"/>
  <c r="AC567" i="77"/>
  <c r="AC563" i="77"/>
  <c r="AC522" i="77"/>
  <c r="AC506" i="77"/>
  <c r="AC479" i="77"/>
  <c r="AC445" i="77"/>
  <c r="AC394" i="77"/>
  <c r="AC372" i="77"/>
  <c r="AC349" i="77"/>
  <c r="AC303" i="77"/>
  <c r="AC210" i="77"/>
  <c r="AC188" i="77"/>
  <c r="AC138" i="77"/>
  <c r="AC135" i="77"/>
  <c r="AC110" i="77"/>
  <c r="AC88" i="77"/>
  <c r="AC34" i="77"/>
  <c r="AC15" i="77"/>
  <c r="AC27" i="77"/>
  <c r="AC96" i="77"/>
  <c r="AC165" i="77"/>
  <c r="AC181" i="77"/>
  <c r="AC191" i="77"/>
  <c r="AC198" i="77"/>
  <c r="AC211" i="77"/>
  <c r="AC225" i="77"/>
  <c r="AC242" i="77"/>
  <c r="AC253" i="77"/>
  <c r="AC299" i="77"/>
  <c r="AC325" i="77"/>
  <c r="AC343" i="77"/>
  <c r="AC358" i="77"/>
  <c r="AC373" i="77"/>
  <c r="AC381" i="77"/>
  <c r="AC400" i="77"/>
  <c r="AC408" i="77"/>
  <c r="AC431" i="77"/>
  <c r="AC439" i="77"/>
  <c r="AF463" i="77"/>
  <c r="AF496" i="77"/>
  <c r="AC570" i="77"/>
  <c r="B19" i="47"/>
  <c r="S9" i="47" s="1"/>
  <c r="K19" i="35"/>
  <c r="H19" i="35"/>
  <c r="H19" i="47" s="1"/>
  <c r="G19" i="35"/>
  <c r="G19" i="47" s="1"/>
  <c r="F18" i="58"/>
  <c r="AC16" i="77"/>
  <c r="AF608" i="77"/>
  <c r="AF588" i="77"/>
  <c r="AF568" i="77"/>
  <c r="AF548" i="77"/>
  <c r="AF528" i="77"/>
  <c r="AF508" i="77"/>
  <c r="AF583" i="77"/>
  <c r="AF533" i="77"/>
  <c r="AF530" i="77"/>
  <c r="AF527" i="77"/>
  <c r="AF486" i="77"/>
  <c r="AF466" i="77"/>
  <c r="AF446" i="77"/>
  <c r="AF426" i="77"/>
  <c r="AF406" i="77"/>
  <c r="AF386" i="77"/>
  <c r="AF366" i="77"/>
  <c r="AF346" i="77"/>
  <c r="AF326" i="77"/>
  <c r="AF306" i="77"/>
  <c r="AF286" i="77"/>
  <c r="AF607" i="77"/>
  <c r="AF604" i="77"/>
  <c r="AF601" i="77"/>
  <c r="AF598" i="77"/>
  <c r="AF595" i="77"/>
  <c r="AF589" i="77"/>
  <c r="AF571" i="77"/>
  <c r="AF565" i="77"/>
  <c r="AF562" i="77"/>
  <c r="AF525" i="77"/>
  <c r="AF507" i="77"/>
  <c r="AF504" i="77"/>
  <c r="AF501" i="77"/>
  <c r="AF498" i="77"/>
  <c r="AF495" i="77"/>
  <c r="AF489" i="77"/>
  <c r="AF483" i="77"/>
  <c r="AF439" i="77"/>
  <c r="AF436" i="77"/>
  <c r="AF433" i="77"/>
  <c r="AF389" i="77"/>
  <c r="AF383" i="77"/>
  <c r="AF339" i="77"/>
  <c r="AF336" i="77"/>
  <c r="AF333" i="77"/>
  <c r="AF289" i="77"/>
  <c r="AF283" i="77"/>
  <c r="AF254" i="77"/>
  <c r="AF234" i="77"/>
  <c r="AF610" i="77"/>
  <c r="AF592" i="77"/>
  <c r="AF574" i="77"/>
  <c r="AF545" i="77"/>
  <c r="AF542" i="77"/>
  <c r="AF526" i="77"/>
  <c r="AF523" i="77"/>
  <c r="AF471" i="77"/>
  <c r="AF468" i="77"/>
  <c r="AF465" i="77"/>
  <c r="AF462" i="77"/>
  <c r="AF459" i="77"/>
  <c r="AF371" i="77"/>
  <c r="AF368" i="77"/>
  <c r="AF365" i="77"/>
  <c r="AF362" i="77"/>
  <c r="AF359" i="77"/>
  <c r="AF613" i="77"/>
  <c r="AF606" i="77"/>
  <c r="AF593" i="77"/>
  <c r="AF577" i="77"/>
  <c r="AF561" i="77"/>
  <c r="AF529" i="77"/>
  <c r="AF520" i="77"/>
  <c r="AF517" i="77"/>
  <c r="AF514" i="77"/>
  <c r="AF511" i="77"/>
  <c r="AF392" i="77"/>
  <c r="AF292" i="77"/>
  <c r="AF596" i="77"/>
  <c r="AF580" i="77"/>
  <c r="AF535" i="77"/>
  <c r="AF532" i="77"/>
  <c r="AF492" i="77"/>
  <c r="AF404" i="77"/>
  <c r="AF401" i="77"/>
  <c r="AF395" i="77"/>
  <c r="AF304" i="77"/>
  <c r="AF301" i="77"/>
  <c r="AF295" i="77"/>
  <c r="AF250" i="77"/>
  <c r="AF212" i="77"/>
  <c r="AF564" i="77"/>
  <c r="AF407" i="77"/>
  <c r="AF398" i="77"/>
  <c r="AF307" i="77"/>
  <c r="AF298" i="77"/>
  <c r="AF247" i="77"/>
  <c r="AF244" i="77"/>
  <c r="AF241" i="77"/>
  <c r="AF569" i="77"/>
  <c r="AF540" i="77"/>
  <c r="AF453" i="77"/>
  <c r="AF419" i="77"/>
  <c r="AF412" i="77"/>
  <c r="AF364" i="77"/>
  <c r="AF357" i="77"/>
  <c r="AF340" i="77"/>
  <c r="AF324" i="77"/>
  <c r="AF314" i="77"/>
  <c r="AF284" i="77"/>
  <c r="AF271" i="77"/>
  <c r="AF221" i="77"/>
  <c r="AF218" i="77"/>
  <c r="AF183" i="77"/>
  <c r="AF163" i="77"/>
  <c r="AF143" i="77"/>
  <c r="AF123" i="77"/>
  <c r="AF103" i="77"/>
  <c r="AF83" i="77"/>
  <c r="AF612" i="77"/>
  <c r="AF558" i="77"/>
  <c r="AF554" i="77"/>
  <c r="AF547" i="77"/>
  <c r="AF522" i="77"/>
  <c r="AF505" i="77"/>
  <c r="AF481" i="77"/>
  <c r="AF467" i="77"/>
  <c r="AF429" i="77"/>
  <c r="AF405" i="77"/>
  <c r="AF388" i="77"/>
  <c r="AF378" i="77"/>
  <c r="AF350" i="77"/>
  <c r="AF327" i="77"/>
  <c r="AF294" i="77"/>
  <c r="AF274" i="77"/>
  <c r="AF264" i="77"/>
  <c r="AF242" i="77"/>
  <c r="AF239" i="77"/>
  <c r="AF236" i="77"/>
  <c r="AF233" i="77"/>
  <c r="AF224" i="77"/>
  <c r="AF215" i="77"/>
  <c r="AF209" i="77"/>
  <c r="AF180" i="77"/>
  <c r="AF160" i="77"/>
  <c r="AF140" i="77"/>
  <c r="AF120" i="77"/>
  <c r="AF100" i="77"/>
  <c r="AF80" i="77"/>
  <c r="AF60" i="77"/>
  <c r="AF590" i="77"/>
  <c r="AF586" i="77"/>
  <c r="AF579" i="77"/>
  <c r="AF536" i="77"/>
  <c r="AF512" i="77"/>
  <c r="AF474" i="77"/>
  <c r="AF460" i="77"/>
  <c r="AF432" i="77"/>
  <c r="AF422" i="77"/>
  <c r="AF353" i="77"/>
  <c r="AF343" i="77"/>
  <c r="AF330" i="77"/>
  <c r="AF245" i="77"/>
  <c r="AF230" i="77"/>
  <c r="AF227" i="77"/>
  <c r="AF206" i="77"/>
  <c r="AF203" i="77"/>
  <c r="AF200" i="77"/>
  <c r="AF177" i="77"/>
  <c r="AF157" i="77"/>
  <c r="AF137" i="77"/>
  <c r="AF117" i="77"/>
  <c r="AF97" i="77"/>
  <c r="AF77" i="77"/>
  <c r="AF57" i="77"/>
  <c r="AF597" i="77"/>
  <c r="AF572" i="77"/>
  <c r="AF491" i="77"/>
  <c r="AF484" i="77"/>
  <c r="AF602" i="77"/>
  <c r="AF584" i="77"/>
  <c r="AF563" i="77"/>
  <c r="AF552" i="77"/>
  <c r="AF541" i="77"/>
  <c r="AF506" i="77"/>
  <c r="AF538" i="77"/>
  <c r="AF502" i="77"/>
  <c r="AF452" i="77"/>
  <c r="AF587" i="77"/>
  <c r="AF575" i="77"/>
  <c r="AF518" i="77"/>
  <c r="AF494" i="77"/>
  <c r="AF475" i="77"/>
  <c r="AF456" i="77"/>
  <c r="AF441" i="77"/>
  <c r="AF437" i="77"/>
  <c r="AF430" i="77"/>
  <c r="AF420" i="77"/>
  <c r="AF397" i="77"/>
  <c r="AF379" i="77"/>
  <c r="AF342" i="77"/>
  <c r="AF321" i="77"/>
  <c r="AF281" i="77"/>
  <c r="AF270" i="77"/>
  <c r="AF263" i="77"/>
  <c r="AF256" i="77"/>
  <c r="AF249" i="77"/>
  <c r="AF226" i="77"/>
  <c r="AF216" i="77"/>
  <c r="AF194" i="77"/>
  <c r="AF166" i="77"/>
  <c r="AF144" i="77"/>
  <c r="AF122" i="77"/>
  <c r="AF94" i="77"/>
  <c r="AF28" i="77"/>
  <c r="AF23" i="77"/>
  <c r="AF591" i="77"/>
  <c r="AF550" i="77"/>
  <c r="AF546" i="77"/>
  <c r="AF534" i="77"/>
  <c r="AF408" i="77"/>
  <c r="AF331" i="77"/>
  <c r="AF317" i="77"/>
  <c r="AF288" i="77"/>
  <c r="AF229" i="77"/>
  <c r="AF219" i="77"/>
  <c r="AF197" i="77"/>
  <c r="AF169" i="77"/>
  <c r="AF147" i="77"/>
  <c r="AF125" i="77"/>
  <c r="AF54" i="77"/>
  <c r="AF51" i="77"/>
  <c r="AF48" i="77"/>
  <c r="AF39" i="77"/>
  <c r="AF42" i="77"/>
  <c r="AF45" i="77"/>
  <c r="AC61" i="77"/>
  <c r="AC64" i="77"/>
  <c r="AC67" i="77"/>
  <c r="AF73" i="77"/>
  <c r="AF102" i="77"/>
  <c r="AF109" i="77"/>
  <c r="AC119" i="77"/>
  <c r="AF132" i="77"/>
  <c r="AC142" i="77"/>
  <c r="AF145" i="77"/>
  <c r="AF158" i="77"/>
  <c r="AF168" i="77"/>
  <c r="AC175" i="77"/>
  <c r="AC178" i="77"/>
  <c r="AF184" i="77"/>
  <c r="AF214" i="77"/>
  <c r="AC232" i="77"/>
  <c r="AC246" i="77"/>
  <c r="AF260" i="77"/>
  <c r="AF272" i="77"/>
  <c r="AC276" i="77"/>
  <c r="AF279" i="77"/>
  <c r="AC306" i="77"/>
  <c r="AC366" i="77"/>
  <c r="AC412" i="77"/>
  <c r="AF427" i="77"/>
  <c r="AF451" i="77"/>
  <c r="AF455" i="77"/>
  <c r="AC476" i="77"/>
  <c r="AF480" i="77"/>
  <c r="AC484" i="77"/>
  <c r="AF488" i="77"/>
  <c r="AF500" i="77"/>
  <c r="AC518" i="77"/>
  <c r="F19" i="35"/>
  <c r="F19" i="47" s="1"/>
  <c r="C63" i="47"/>
  <c r="T17" i="47"/>
  <c r="F28" i="58"/>
  <c r="AC22" i="77"/>
  <c r="AC58" i="77"/>
  <c r="AC93" i="77"/>
  <c r="AC116" i="77"/>
  <c r="AC195" i="77"/>
  <c r="AC208" i="77"/>
  <c r="AC218" i="77"/>
  <c r="AF235" i="77"/>
  <c r="AC239" i="77"/>
  <c r="AF253" i="77"/>
  <c r="AC257" i="77"/>
  <c r="AC329" i="77"/>
  <c r="AF332" i="77"/>
  <c r="AC393" i="77"/>
  <c r="AF396" i="77"/>
  <c r="AC424" i="77"/>
  <c r="AF443" i="77"/>
  <c r="AC510" i="77"/>
  <c r="AC514" i="77"/>
  <c r="AC535" i="77"/>
  <c r="AF539" i="77"/>
  <c r="AF556" i="77"/>
  <c r="AF570" i="77"/>
  <c r="AC579" i="77"/>
  <c r="AC596" i="77"/>
  <c r="AF609" i="77"/>
  <c r="F26" i="25"/>
  <c r="AD23" i="36"/>
  <c r="Z25" i="36"/>
  <c r="Z10" i="36"/>
  <c r="AE23" i="36"/>
  <c r="F27" i="25"/>
  <c r="E26" i="58"/>
  <c r="W23" i="36"/>
  <c r="F19" i="25"/>
  <c r="F20" i="25"/>
  <c r="X23" i="36"/>
  <c r="T25" i="36"/>
  <c r="T10" i="36"/>
  <c r="E38" i="58"/>
  <c r="E28" i="58"/>
  <c r="E18" i="58"/>
  <c r="E19" i="58"/>
  <c r="E23" i="58"/>
  <c r="E35" i="58"/>
  <c r="E39" i="58"/>
  <c r="B18" i="47"/>
  <c r="S8" i="47" s="1"/>
  <c r="K18" i="35"/>
  <c r="G18" i="35"/>
  <c r="G18" i="47" s="1"/>
  <c r="G19" i="25"/>
  <c r="I19" i="25" s="1"/>
  <c r="J19" i="25" s="1"/>
  <c r="F23" i="58"/>
  <c r="F39" i="58"/>
  <c r="F29" i="58"/>
  <c r="F19" i="58"/>
  <c r="F22" i="58"/>
  <c r="F35" i="58"/>
  <c r="F25" i="58"/>
  <c r="F21" i="58"/>
  <c r="F24" i="58"/>
  <c r="F37" i="58"/>
  <c r="F27" i="58"/>
  <c r="F40" i="58"/>
  <c r="F30" i="58"/>
  <c r="F20" i="58"/>
  <c r="F36" i="58"/>
  <c r="F26" i="58"/>
  <c r="F18" i="37"/>
  <c r="F36" i="47" s="1"/>
  <c r="B54" i="47"/>
  <c r="B36" i="47"/>
  <c r="K18" i="37"/>
  <c r="H18" i="37"/>
  <c r="H36" i="47" s="1"/>
  <c r="G18" i="37"/>
  <c r="G36" i="47" s="1"/>
  <c r="S8" i="37"/>
  <c r="E56" i="47"/>
  <c r="K27" i="35"/>
  <c r="H27" i="35"/>
  <c r="H27" i="47" s="1"/>
  <c r="G27" i="35"/>
  <c r="G27" i="47" s="1"/>
  <c r="B27" i="47"/>
  <c r="S17" i="47" s="1"/>
  <c r="F27" i="35"/>
  <c r="F27" i="47" s="1"/>
  <c r="D59" i="47"/>
  <c r="B40" i="47"/>
  <c r="B58" i="47"/>
  <c r="K22" i="37"/>
  <c r="F22" i="37"/>
  <c r="F40" i="47" s="1"/>
  <c r="C64" i="47"/>
  <c r="Y18" i="37"/>
  <c r="Y17" i="37"/>
  <c r="Y16" i="37"/>
  <c r="Y15" i="37"/>
  <c r="Y14" i="37"/>
  <c r="Y12" i="37"/>
  <c r="G18" i="25"/>
  <c r="I18" i="25" s="1"/>
  <c r="J18" i="25" s="1"/>
  <c r="O38" i="27"/>
  <c r="P38" i="27" s="1"/>
  <c r="P48" i="27" s="1"/>
  <c r="O50" i="27" s="1"/>
  <c r="B22" i="47"/>
  <c r="S12" i="47" s="1"/>
  <c r="G22" i="35"/>
  <c r="G22" i="47" s="1"/>
  <c r="F22" i="35"/>
  <c r="F22" i="47" s="1"/>
  <c r="S17" i="37"/>
  <c r="B45" i="47"/>
  <c r="K27" i="37"/>
  <c r="B63" i="47"/>
  <c r="H27" i="37"/>
  <c r="H45" i="47" s="1"/>
  <c r="F27" i="37"/>
  <c r="F45" i="47" s="1"/>
  <c r="V13" i="80"/>
  <c r="G27" i="37"/>
  <c r="G45" i="47" s="1"/>
  <c r="O12" i="80"/>
  <c r="F17" i="35"/>
  <c r="F17" i="47" s="1"/>
  <c r="B17" i="47"/>
  <c r="S7" i="47" s="1"/>
  <c r="H17" i="35"/>
  <c r="H17" i="47" s="1"/>
  <c r="G17" i="35"/>
  <c r="G17" i="47" s="1"/>
  <c r="C53" i="47"/>
  <c r="V7" i="47" a="1"/>
  <c r="V7" i="47" s="1"/>
  <c r="E58" i="47"/>
  <c r="I16" i="25"/>
  <c r="J16" i="25" s="1"/>
  <c r="F25" i="35"/>
  <c r="F25" i="47" s="1"/>
  <c r="B25" i="47"/>
  <c r="S15" i="47" s="1"/>
  <c r="F21" i="25"/>
  <c r="Y23" i="36"/>
  <c r="X7" i="47" a="1"/>
  <c r="X7" i="47" s="1"/>
  <c r="G20" i="25"/>
  <c r="I20" i="25" s="1"/>
  <c r="J20" i="25" s="1"/>
  <c r="X12" i="80"/>
  <c r="Z10" i="34"/>
  <c r="G25" i="35"/>
  <c r="G25" i="47" s="1"/>
  <c r="Z23" i="36"/>
  <c r="F22" i="25"/>
  <c r="B62" i="47"/>
  <c r="G21" i="25"/>
  <c r="I21" i="25" s="1"/>
  <c r="J21" i="25" s="1"/>
  <c r="E36" i="58"/>
  <c r="F33" i="58"/>
  <c r="B55" i="47"/>
  <c r="B37" i="47"/>
  <c r="S9" i="37"/>
  <c r="K19" i="37"/>
  <c r="H19" i="37"/>
  <c r="H37" i="47" s="1"/>
  <c r="F19" i="37"/>
  <c r="F37" i="47" s="1"/>
  <c r="G23" i="25"/>
  <c r="I23" i="25" s="1"/>
  <c r="J23" i="25" s="1"/>
  <c r="O13" i="80"/>
  <c r="Q23" i="27"/>
  <c r="Y25" i="36"/>
  <c r="Y10" i="36"/>
  <c r="U10" i="36"/>
  <c r="D58" i="47"/>
  <c r="B44" i="47"/>
  <c r="E24" i="25"/>
  <c r="G24" i="25" s="1"/>
  <c r="I24" i="25" s="1"/>
  <c r="J24" i="25" s="1"/>
  <c r="U13" i="80"/>
  <c r="R23" i="27"/>
  <c r="O47" i="27"/>
  <c r="P47" i="27" s="1"/>
  <c r="E20" i="58"/>
  <c r="E30" i="58"/>
  <c r="E40" i="58"/>
  <c r="L84" i="66"/>
  <c r="F20" i="27"/>
  <c r="O37" i="27"/>
  <c r="L31" i="66"/>
  <c r="L62" i="66"/>
  <c r="W18" i="37"/>
  <c r="E27" i="58"/>
  <c r="E37" i="58"/>
  <c r="L85" i="66"/>
  <c r="U7" i="37"/>
  <c r="E24" i="58"/>
  <c r="E34" i="58"/>
  <c r="F34" i="58"/>
  <c r="F13" i="27"/>
  <c r="F18" i="27"/>
  <c r="F23" i="27"/>
  <c r="L47" i="66"/>
  <c r="L72" i="66"/>
  <c r="U8" i="37"/>
  <c r="X9" i="37"/>
  <c r="B42" i="47"/>
  <c r="E21" i="58"/>
  <c r="E31" i="58"/>
  <c r="L86" i="66"/>
  <c r="U9" i="37"/>
  <c r="X10" i="37"/>
  <c r="F20" i="37"/>
  <c r="F38" i="47" s="1"/>
  <c r="F24" i="37"/>
  <c r="F42" i="47" s="1"/>
  <c r="F31" i="58"/>
  <c r="U10" i="37"/>
  <c r="F16" i="27"/>
  <c r="L87" i="66"/>
  <c r="O44" i="27"/>
  <c r="U13" i="37"/>
  <c r="M12" i="80"/>
  <c r="L81" i="66"/>
  <c r="U14" i="37"/>
  <c r="W8" i="37"/>
  <c r="X15" i="37"/>
  <c r="F21" i="37"/>
  <c r="F39" i="47" s="1"/>
  <c r="F25" i="37"/>
  <c r="F43" i="47" s="1"/>
  <c r="E22" i="58"/>
  <c r="E32" i="58"/>
  <c r="L88" i="66"/>
  <c r="U15" i="37"/>
  <c r="W9" i="37"/>
  <c r="X16" i="37"/>
  <c r="G21" i="37"/>
  <c r="G39" i="47" s="1"/>
  <c r="G25" i="37"/>
  <c r="G43" i="47" s="1"/>
  <c r="B43" i="47"/>
  <c r="F32" i="58"/>
  <c r="S11" i="37"/>
  <c r="L91" i="66"/>
  <c r="L83" i="66"/>
  <c r="L92" i="66"/>
  <c r="Q24" i="27" l="1"/>
  <c r="F21" i="27" s="1"/>
  <c r="D21" i="27"/>
  <c r="G28" i="25"/>
  <c r="I28" i="25" s="1"/>
  <c r="J28" i="25" s="1"/>
  <c r="E27" i="27"/>
  <c r="R24" i="27"/>
  <c r="F24" i="27" s="1"/>
  <c r="D24" i="27"/>
  <c r="E30" i="27" l="1"/>
  <c r="E29" i="2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<sst xmlns="http://schemas.openxmlformats.org/spreadsheetml/2006/main" count="1691" uniqueCount="638">
  <si>
    <t>SWATPlus-IAHRIS</t>
  </si>
  <si>
    <t>NATURAL FLOW CODE (Abbreviation):</t>
  </si>
  <si>
    <t>ALTERED FLOW CODE (Abbreviation):</t>
  </si>
  <si>
    <t>DATE:</t>
  </si>
  <si>
    <t>18/05/2026</t>
  </si>
  <si>
    <t>(Point and Alteration identification inlcudes both thee code and description declared by the user).</t>
  </si>
  <si>
    <t>REPORTS :</t>
  </si>
  <si>
    <t>FIRST MONTH HYDROLOGIC YEAR:</t>
  </si>
  <si>
    <t>January</t>
  </si>
  <si>
    <t>REPORT 1: Nat_F: interannual variability</t>
  </si>
  <si>
    <t xml:space="preserve">REPORT 6a: Alt_F: anual flow rates duration curves </t>
  </si>
  <si>
    <t>REPORT 1a: Alt_F: interannual variability</t>
  </si>
  <si>
    <t xml:space="preserve">REPORT 6b: Nat_F and Alt_F: anual flow rates duration curves </t>
  </si>
  <si>
    <t>REPORT 1b: Nat_F and Alt_F: interannual variability</t>
  </si>
  <si>
    <t>REPORT 6c: Nat_F: monthly flow rates duration curves</t>
  </si>
  <si>
    <t>REPORT 2: Nat_F: intra-annual variability (statistics)</t>
  </si>
  <si>
    <t xml:space="preserve">REPORT 6d: Alt_F: monthly flow rates duration curves </t>
  </si>
  <si>
    <t>REPORT 2a: Nat_F: intra-annual variability (medians)</t>
  </si>
  <si>
    <t xml:space="preserve">REPORT 6e: Nat_F and Alt_F: monthly flow rates duration curves </t>
  </si>
  <si>
    <t>REPORT 3: Alt_F: intra-annual variability (statistics)</t>
  </si>
  <si>
    <t>REPORT 7c: IAH: habitual values with no-coetaneous data</t>
  </si>
  <si>
    <t>REPORT 3a: Alt_F: intra-annual variability (medians)</t>
  </si>
  <si>
    <t>REPORT 7d: IAH: floods and droughts</t>
  </si>
  <si>
    <t>REPORT 3b: Nat_F and Alt_F: intra-annual variability (medians)</t>
  </si>
  <si>
    <t>REPORT 8: Highly altered water bodies (P10-90)</t>
  </si>
  <si>
    <t>REPORT 3c: Nat_F and Alt_F: intra-annual variability (P10 - P90)</t>
  </si>
  <si>
    <t>REPORT 8b: Highly altered water bodies (IAH): no-coetaneous daily data</t>
  </si>
  <si>
    <t>REPORT 4: Nat_F: characterization with daily data</t>
  </si>
  <si>
    <t>REPORT 10c: Environmental sig. IAH: no-coetaneous daily data</t>
  </si>
  <si>
    <t>REPORT 5: Alt_F: characterization with daily data</t>
  </si>
  <si>
    <t xml:space="preserve">REPORT 6: Nat_F: anual flow rates duration curves </t>
  </si>
  <si>
    <t>DATA AVAILABLE AND DATA USED IN THE REPORTS:</t>
  </si>
  <si>
    <t>YEAR</t>
  </si>
  <si>
    <t>MONTHLY DATA</t>
  </si>
  <si>
    <t xml:space="preserve">DAILY DATA </t>
  </si>
  <si>
    <t>Contemporary</t>
  </si>
  <si>
    <t>Available</t>
  </si>
  <si>
    <t>Used</t>
  </si>
  <si>
    <t>1990-91</t>
  </si>
  <si>
    <t>X</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</si>
  <si>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</si>
  <si>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</si>
  <si>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</si>
  <si>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</si>
  <si>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</si>
  <si>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</si>
  <si>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</si>
  <si>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</si>
  <si>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</si>
  <si>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</si>
  <si>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</si>
  <si>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</si>
  <si>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</si>
  <si>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</si>
  <si>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</si>
  <si>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</si>
  <si>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</si>
  <si>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</si>
  <si>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</si>
  <si>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</si>
  <si>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</si>
  <si>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</si>
  <si>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</si>
  <si>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</si>
  <si>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</si>
  <si>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</si>
  <si>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</si>
  <si>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</si>
  <si>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</si>
  <si>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</si>
  <si>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</si>
  <si>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</si>
  <si>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</si>
  <si>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</si>
  <si>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2025-26</t>
  </si>
  <si>
    <t>2026-27</t>
  </si>
  <si>
    <t>2027-28</t>
  </si>
  <si>
    <t>2028-29</t>
  </si>
  <si>
    <t>2029-30</t>
  </si>
  <si>
    <t>2030-31</t>
  </si>
  <si>
    <t>2031-32</t>
  </si>
  <si>
    <t>2032-33</t>
  </si>
  <si>
    <t>2033-34</t>
  </si>
  <si>
    <t>2034-35</t>
  </si>
  <si>
    <t>2035-36</t>
  </si>
  <si>
    <t>2036-37</t>
  </si>
  <si>
    <t>2037-38</t>
  </si>
  <si>
    <t>2038-39</t>
  </si>
  <si>
    <t>2039-40</t>
  </si>
  <si>
    <t>2040-41</t>
  </si>
  <si>
    <t>2041-42</t>
  </si>
  <si>
    <t>2042-43</t>
  </si>
  <si>
    <t>2043-44</t>
  </si>
  <si>
    <t>2044-45</t>
  </si>
  <si>
    <t>2045-46</t>
  </si>
  <si>
    <t>2046-47</t>
  </si>
  <si>
    <t>2047-48</t>
  </si>
  <si>
    <t>2048-49</t>
  </si>
  <si>
    <t>2049-50</t>
  </si>
  <si>
    <t>2050-51</t>
  </si>
  <si>
    <t>2051-52</t>
  </si>
  <si>
    <t>2052-53</t>
  </si>
  <si>
    <t>2053-54</t>
  </si>
  <si>
    <t>2054-55</t>
  </si>
  <si>
    <t>2055-56</t>
  </si>
  <si>
    <t>2056-57</t>
  </si>
  <si>
    <t>2057-58</t>
  </si>
  <si>
    <t>2058-59</t>
  </si>
  <si>
    <t>2059-60</t>
  </si>
  <si>
    <t>2060-61</t>
  </si>
  <si>
    <t>2061-62</t>
  </si>
  <si>
    <t>2062-63</t>
  </si>
  <si>
    <t>2063-64</t>
  </si>
  <si>
    <t>2064-65</t>
  </si>
  <si>
    <t>2065-66</t>
  </si>
  <si>
    <t>2066-67</t>
  </si>
  <si>
    <t>2067-68</t>
  </si>
  <si>
    <t>2068-69</t>
  </si>
  <si>
    <t>2069-70</t>
  </si>
  <si>
    <t>2070-71</t>
  </si>
  <si>
    <t>2071-72</t>
  </si>
  <si>
    <t>2072-73</t>
  </si>
  <si>
    <t>2073-74</t>
  </si>
  <si>
    <t>2074-75</t>
  </si>
  <si>
    <t>2075-76</t>
  </si>
  <si>
    <t>2076-77</t>
  </si>
  <si>
    <t>2077-78</t>
  </si>
  <si>
    <t>2078-79</t>
  </si>
  <si>
    <t>2079-80</t>
  </si>
  <si>
    <t>2080-81</t>
  </si>
  <si>
    <t>2081-82</t>
  </si>
  <si>
    <t>2082-83</t>
  </si>
  <si>
    <t>2083-84</t>
  </si>
  <si>
    <t>2084-85</t>
  </si>
  <si>
    <t>2085-86</t>
  </si>
  <si>
    <t>2086-87</t>
  </si>
  <si>
    <t>2087-88</t>
  </si>
  <si>
    <t>2088-89</t>
  </si>
  <si>
    <t>2089-90</t>
  </si>
  <si>
    <t>2090-91</t>
  </si>
  <si>
    <t>2091-92</t>
  </si>
  <si>
    <t>2092-93</t>
  </si>
  <si>
    <t>2093-94</t>
  </si>
  <si>
    <t>2094-95</t>
  </si>
  <si>
    <t>2095-96</t>
  </si>
  <si>
    <t>2096-97</t>
  </si>
  <si>
    <t>2097-98</t>
  </si>
  <si>
    <t>2098-99</t>
  </si>
  <si>
    <t>2099-00</t>
  </si>
  <si>
    <t>2100-01</t>
  </si>
  <si>
    <t>Total</t>
  </si>
  <si>
    <t>21</t>
  </si>
  <si>
    <t>0</t>
  </si>
  <si>
    <t>REPORT Nº 1</t>
  </si>
  <si>
    <t>CHARACTERIZATION OF THE INTERANNUAL VARIABILITY</t>
  </si>
  <si>
    <t>DATA</t>
  </si>
  <si>
    <t>RESULTS</t>
  </si>
  <si>
    <t>CONTRIBUTION</t>
  </si>
  <si>
    <r>
      <t>hm</t>
    </r>
    <r>
      <rPr>
        <b/>
        <vertAlign val="superscript"/>
        <sz val="10"/>
        <color theme="3"/>
        <rFont val="Arial"/>
        <family val="2"/>
      </rPr>
      <t>3</t>
    </r>
  </si>
  <si>
    <r>
      <rPr>
        <b/>
        <sz val="10"/>
        <color theme="3"/>
        <rFont val="Arial"/>
        <family val="2"/>
      </rPr>
      <t>CHARACTERIZATION OF INTERANNUAL VARIABILITY</t>
    </r>
    <r>
      <rPr>
        <b/>
        <sz val="8"/>
        <rFont val="Arial"/>
        <family val="2"/>
      </rPr>
      <t xml:space="preserve">
Wet years: Contributions are greater than or equal to the third quartile.
Dry years: Contributions are less than or equal to the first quartile.
Average years: Contributions fall between the first and third quartiles.</t>
    </r>
  </si>
  <si>
    <t>TYPE OF YEAR</t>
  </si>
  <si>
    <t>AÑO</t>
  </si>
  <si>
    <t>WET</t>
  </si>
  <si>
    <t>AVERAGE</t>
  </si>
  <si>
    <t>DRY</t>
  </si>
  <si>
    <t>VOLUME</t>
  </si>
  <si>
    <t>DESCRIPTIVE STATISTICS</t>
  </si>
  <si>
    <t>MINIMUM</t>
  </si>
  <si>
    <r>
      <t>hm</t>
    </r>
    <r>
      <rPr>
        <vertAlign val="superscript"/>
        <sz val="10"/>
        <rFont val="Arial"/>
        <family val="2"/>
      </rPr>
      <t>3</t>
    </r>
  </si>
  <si>
    <t>75th percentile exceedance (P75)</t>
  </si>
  <si>
    <t>50th percentile exceedance (P50)</t>
  </si>
  <si>
    <r>
      <t>hm</t>
    </r>
    <r>
      <rPr>
        <vertAlign val="superscript"/>
        <sz val="10"/>
        <rFont val="Arial"/>
        <family val="2"/>
      </rPr>
      <t>3</t>
    </r>
    <r>
      <rPr>
        <sz val="11"/>
        <color theme="1"/>
        <rFont val="Calibri"/>
        <family val="2"/>
      </rPr>
      <t/>
    </r>
  </si>
  <si>
    <t>MEAN</t>
  </si>
  <si>
    <t>25th percentile exceedance (P25)</t>
  </si>
  <si>
    <t>MAXIMUM</t>
  </si>
  <si>
    <t>INTERQUARTILE RANGE</t>
  </si>
  <si>
    <t>Coefficient of variation</t>
  </si>
  <si>
    <t>Coefficient of skewness</t>
  </si>
  <si>
    <t>REPORT Nº 1a</t>
  </si>
  <si>
    <t>REPORT Nº 1b</t>
  </si>
  <si>
    <t xml:space="preserve"> </t>
  </si>
  <si>
    <t>CONTRIBUTION DATA</t>
  </si>
  <si>
    <r>
      <t>hm</t>
    </r>
    <r>
      <rPr>
        <vertAlign val="superscript"/>
        <sz val="10"/>
        <color theme="3"/>
        <rFont val="Arial"/>
        <family val="2"/>
      </rPr>
      <t>3</t>
    </r>
  </si>
  <si>
    <r>
      <rPr>
        <b/>
        <sz val="10"/>
        <color theme="3"/>
        <rFont val="Arial"/>
        <family val="2"/>
      </rPr>
      <t xml:space="preserve">CHARACTERIZATION OF INTERANNUAL VARIABILITY
</t>
    </r>
    <r>
      <rPr>
        <b/>
        <sz val="8"/>
        <color theme="1"/>
        <rFont val="Arial"/>
        <family val="2"/>
      </rPr>
      <t>Wet years: Contributions are greater than or equal to the third quartile.
Dry years: Contributions are less than or equal to the first quartile.
Average years: Contributions fall between the first and third quartiles.</t>
    </r>
  </si>
  <si>
    <r>
      <t>Thresholds for Year Types (hm</t>
    </r>
    <r>
      <rPr>
        <b/>
        <vertAlign val="superscript"/>
        <sz val="10"/>
        <color theme="3"/>
        <rFont val="Arial"/>
        <family val="2"/>
      </rPr>
      <t>3</t>
    </r>
    <r>
      <rPr>
        <b/>
        <sz val="10"/>
        <color theme="3"/>
        <rFont val="Arial"/>
        <family val="2"/>
      </rPr>
      <t>)</t>
    </r>
  </si>
  <si>
    <t>WET YEAR</t>
  </si>
  <si>
    <t>DRY YEAR</t>
  </si>
  <si>
    <t>REPORT Nº 2</t>
  </si>
  <si>
    <r>
      <t>MONTHLY CONTRIBUTIONS (hm</t>
    </r>
    <r>
      <rPr>
        <b/>
        <vertAlign val="superscript"/>
        <sz val="10"/>
        <rFont val="Arial"/>
        <family val="2"/>
      </rPr>
      <t>3</t>
    </r>
    <r>
      <rPr>
        <b/>
        <sz val="10"/>
        <rFont val="Arial"/>
        <family val="2"/>
      </rPr>
      <t>)</t>
    </r>
  </si>
  <si>
    <t>CHARACTERIZATION OF THE INTRA-ANNUAL VARIABILITY (STATISTICS)</t>
  </si>
  <si>
    <t>STATISTICS</t>
  </si>
  <si>
    <r>
      <t>MONTHLY CONTRIBUTION (hm</t>
    </r>
    <r>
      <rPr>
        <b/>
        <vertAlign val="superscript"/>
        <sz val="11"/>
        <rFont val="Arial"/>
        <family val="2"/>
      </rPr>
      <t>3</t>
    </r>
    <r>
      <rPr>
        <b/>
        <sz val="11"/>
        <rFont val="Arial"/>
        <family val="2"/>
      </rPr>
      <t>)</t>
    </r>
  </si>
  <si>
    <t>Extreme variability</t>
  </si>
  <si>
    <t>Jan</t>
  </si>
  <si>
    <t>Feb</t>
  </si>
  <si>
    <t>Mar</t>
  </si>
  <si>
    <t>Apr</t>
  </si>
  <si>
    <t>May</t>
  </si>
  <si>
    <t>Jun</t>
  </si>
  <si>
    <t>Jul</t>
  </si>
  <si>
    <t>Aug</t>
  </si>
  <si>
    <t>Sep</t>
  </si>
  <si>
    <t>Oct</t>
  </si>
  <si>
    <t>Nov</t>
  </si>
  <si>
    <t>Dec</t>
  </si>
  <si>
    <t>1990</t>
  </si>
  <si>
    <t>RELATIVE FREQUENCIES</t>
  </si>
  <si>
    <t>1991</t>
  </si>
  <si>
    <t>1992</t>
  </si>
  <si>
    <t>Maximum monthly contribution</t>
  </si>
  <si>
    <t>1993</t>
  </si>
  <si>
    <t>Minimum monthly contribution</t>
  </si>
  <si>
    <t>1994</t>
  </si>
  <si>
    <t>1995</t>
  </si>
  <si>
    <t>1996</t>
  </si>
  <si>
    <t>1997</t>
  </si>
  <si>
    <t>1998</t>
  </si>
  <si>
    <t>1999</t>
  </si>
  <si>
    <t>2000</t>
  </si>
  <si>
    <t>2001</t>
  </si>
  <si>
    <t>2002</t>
  </si>
  <si>
    <t>2003</t>
  </si>
  <si>
    <t>2004</t>
  </si>
  <si>
    <t>2005</t>
  </si>
  <si>
    <t>2006</t>
  </si>
  <si>
    <t>2007</t>
  </si>
  <si>
    <t>2008</t>
  </si>
  <si>
    <t>2009</t>
  </si>
  <si>
    <t>2010</t>
  </si>
  <si>
    <t>REPORT Nº 2a</t>
  </si>
  <si>
    <t>CHARACTERIZATION OF THE INTRA-ANNUAL VARIABILITY (MEDIANS)</t>
  </si>
  <si>
    <t>MONTHLY</t>
  </si>
  <si>
    <r>
      <t xml:space="preserve">MEDIANS CONTRIBUTIONS </t>
    </r>
    <r>
      <rPr>
        <b/>
        <sz val="8"/>
        <color theme="3"/>
        <rFont val="Tahoma"/>
        <family val="2"/>
      </rPr>
      <t>(hm</t>
    </r>
    <r>
      <rPr>
        <b/>
        <vertAlign val="superscript"/>
        <sz val="8"/>
        <color theme="3"/>
        <rFont val="Tahoma"/>
        <family val="2"/>
      </rPr>
      <t>3</t>
    </r>
    <r>
      <rPr>
        <b/>
        <sz val="8"/>
        <color theme="3"/>
        <rFont val="Tahoma"/>
        <family val="2"/>
      </rPr>
      <t>)</t>
    </r>
  </si>
  <si>
    <r>
      <t xml:space="preserve">DAILY MEDIAN FLOW RATE </t>
    </r>
    <r>
      <rPr>
        <b/>
        <sz val="8"/>
        <color theme="3"/>
        <rFont val="Tahoma"/>
        <family val="2"/>
      </rPr>
      <t>(m</t>
    </r>
    <r>
      <rPr>
        <b/>
        <vertAlign val="superscript"/>
        <sz val="8"/>
        <color theme="3"/>
        <rFont val="Tahoma"/>
        <family val="2"/>
      </rPr>
      <t>3</t>
    </r>
    <r>
      <rPr>
        <b/>
        <sz val="8"/>
        <color theme="3"/>
        <rFont val="Tahoma"/>
        <family val="2"/>
      </rPr>
      <t>/s)</t>
    </r>
  </si>
  <si>
    <t>WEIGHTED YEAR</t>
  </si>
  <si>
    <t>Atypical distribution (*)</t>
  </si>
  <si>
    <t>MEDIANS CONTRIBUTIONS (hm3)</t>
  </si>
  <si>
    <t>DAILY MEDIAN FLOW RATE (m3/s)</t>
  </si>
  <si>
    <r>
      <t xml:space="preserve"> </t>
    </r>
    <r>
      <rPr>
        <sz val="10"/>
        <color rgb="FF1F497D"/>
        <rFont val="Arial"/>
        <family val="2"/>
      </rPr>
      <t xml:space="preserve">   </t>
    </r>
  </si>
  <si>
    <t>NOTE:
For each month, for example October, the median contributions of wet, average and dry octubres are presented.
Wet Octobers: Contributions are greater than or equal to the third quartile of the series of contributions in October.
Dry Octobers: Contributions are less than or equal to the first quartile of the series of contributions in October.
Average Octobers: Contributions fall between the first and third quartiles of the series of contributions in October.
The values of the quartiles for each month can be consulted in report no.2</t>
  </si>
  <si>
    <r>
      <rPr>
        <b/>
        <sz val="8"/>
        <rFont val="Arial"/>
        <family val="2"/>
      </rPr>
      <t>* Atypical Distribution of Monthly Typology:</t>
    </r>
    <r>
      <rPr>
        <sz val="8"/>
        <rFont val="Arial"/>
        <family val="2"/>
      </rPr>
      <t xml:space="preserve">
This occurs if the proportion of wet, average and dry months does not correspond to the normal patterns (25%, 50% and 25% respectively).
In this case, the values A/B/C are used, where:
A= no. of years in the series in which the month is wet.
B= no. of years of the series in which the month is average.
C= no. of years of the series in which the month is dry.</t>
    </r>
  </si>
  <si>
    <t xml:space="preserve">  # Cannot calculate</t>
  </si>
  <si>
    <t>REPORT Nº 3</t>
  </si>
  <si>
    <t>2080</t>
  </si>
  <si>
    <t>2081</t>
  </si>
  <si>
    <t>2082</t>
  </si>
  <si>
    <t>2083</t>
  </si>
  <si>
    <t>2084</t>
  </si>
  <si>
    <t>2085</t>
  </si>
  <si>
    <t>2086</t>
  </si>
  <si>
    <t>2087</t>
  </si>
  <si>
    <t>Q1 (P25%)</t>
  </si>
  <si>
    <t>2088</t>
  </si>
  <si>
    <t>MEDIAN</t>
  </si>
  <si>
    <t>2089</t>
  </si>
  <si>
    <t>2090</t>
  </si>
  <si>
    <t>Q3 (P75%)</t>
  </si>
  <si>
    <t>2091</t>
  </si>
  <si>
    <t>2092</t>
  </si>
  <si>
    <t>2093</t>
  </si>
  <si>
    <t>2094</t>
  </si>
  <si>
    <t>2095</t>
  </si>
  <si>
    <t>2096</t>
  </si>
  <si>
    <t>2097</t>
  </si>
  <si>
    <t>2098</t>
  </si>
  <si>
    <t>2099</t>
  </si>
  <si>
    <t>2100</t>
  </si>
  <si>
    <t>REPORT Nº 3a</t>
  </si>
  <si>
    <t>HUMEDO</t>
  </si>
  <si>
    <t>MEDIO</t>
  </si>
  <si>
    <t>SECO</t>
  </si>
  <si>
    <t>ALTERADO</t>
  </si>
  <si>
    <r>
      <rPr>
        <b/>
        <sz val="8"/>
        <rFont val="Arial"/>
        <family val="2"/>
      </rPr>
      <t>NOTE:</t>
    </r>
    <r>
      <rPr>
        <sz val="8"/>
        <rFont val="Arial"/>
        <family val="2"/>
      </rPr>
      <t xml:space="preserve">
For each month, for example October, the median contributions of wet, average and dry octubres are presented.
Wet Octobers: Contributions are greater than or equal to the third quartile of the series of contributions in October.
Dry Octobers: Contributions are less than or equal to the first quartile of the series of contributions in October.
Average Octobers: Contributions fall between the first and third quartiles of the series of contributions in October.
The values of the quartiles for each month can be consulted in report no.3</t>
    </r>
  </si>
  <si>
    <t>* Atypical Distribution of Monthly Typology:
This occurs if the proportion of wet, average and dry months does not correspond to the normal patterns (25%, 50% and 25% respectively).
In this case, the values A/B/C are used, where:
A= no. of years in the series in which the month is wet.
B= no. of years of the series in which the month is average.
C= no. of years of the series in which the month is dry.</t>
  </si>
  <si>
    <t>REPORT</t>
  </si>
  <si>
    <t>Nº 3b</t>
  </si>
  <si>
    <t>Nº 3c</t>
  </si>
  <si>
    <t>CHARACTERIZATION OF THE INTRA-ANNUAL VARIABILITY RANGE (P10-P90)</t>
  </si>
  <si>
    <t>FLOW</t>
  </si>
  <si>
    <r>
      <t xml:space="preserve">P10 </t>
    </r>
    <r>
      <rPr>
        <b/>
        <i/>
        <vertAlign val="superscript"/>
        <sz val="10"/>
        <color theme="1"/>
        <rFont val="Tahoma"/>
        <family val="2"/>
      </rPr>
      <t>nat</t>
    </r>
  </si>
  <si>
    <r>
      <t xml:space="preserve">P90 </t>
    </r>
    <r>
      <rPr>
        <b/>
        <i/>
        <vertAlign val="superscript"/>
        <sz val="10"/>
        <color theme="1"/>
        <rFont val="Tahoma"/>
        <family val="2"/>
      </rPr>
      <t>nat</t>
    </r>
  </si>
  <si>
    <r>
      <t xml:space="preserve">P10 </t>
    </r>
    <r>
      <rPr>
        <b/>
        <i/>
        <vertAlign val="superscript"/>
        <sz val="10"/>
        <color theme="1"/>
        <rFont val="Tahoma"/>
        <family val="2"/>
      </rPr>
      <t>alt</t>
    </r>
  </si>
  <si>
    <r>
      <t xml:space="preserve">P90 </t>
    </r>
    <r>
      <rPr>
        <b/>
        <i/>
        <vertAlign val="superscript"/>
        <sz val="10"/>
        <color theme="1"/>
        <rFont val="Tahoma"/>
        <family val="2"/>
      </rPr>
      <t>alt</t>
    </r>
  </si>
  <si>
    <t>RELATIVE CHANGE (%) OF THE INTRA-ANNUAL VARIABILITY RANGE (P10-P90)</t>
  </si>
  <si>
    <t>Exceedance Percentiles</t>
  </si>
  <si>
    <t>INDICATOR</t>
  </si>
  <si>
    <t xml:space="preserve"> P10</t>
  </si>
  <si>
    <t xml:space="preserve"> P90</t>
  </si>
  <si>
    <t>Nº 4</t>
  </si>
  <si>
    <t>PARAMETERS FOR CHARACTERIZATION WITH DAILY DATA</t>
  </si>
  <si>
    <t>COMPONENTS OF THE NATURAL REGIME</t>
  </si>
  <si>
    <t>ASPECT</t>
  </si>
  <si>
    <t>PARAMETER</t>
  </si>
  <si>
    <t>DESCRIPTION</t>
  </si>
  <si>
    <r>
      <t>VALUE (hm³ or m</t>
    </r>
    <r>
      <rPr>
        <b/>
        <vertAlign val="superscript"/>
        <sz val="10"/>
        <color rgb="FF1F497D"/>
        <rFont val="Tahoma"/>
        <family val="2"/>
      </rPr>
      <t>3</t>
    </r>
    <r>
      <rPr>
        <b/>
        <sz val="10"/>
        <color rgb="FF1F497D"/>
        <rFont val="Tahoma"/>
        <family val="2"/>
      </rPr>
      <t>/s)</t>
    </r>
  </si>
  <si>
    <t>HABITUAL DATA</t>
  </si>
  <si>
    <t>Monthly or annual contributions</t>
  </si>
  <si>
    <t>Magnitude</t>
  </si>
  <si>
    <t>Average annual contributions</t>
  </si>
  <si>
    <t>Wet year</t>
  </si>
  <si>
    <t>Normal year</t>
  </si>
  <si>
    <t>Dry year</t>
  </si>
  <si>
    <t>Weighted year</t>
  </si>
  <si>
    <t>Variability</t>
  </si>
  <si>
    <t>Difference between maximum and minimum monthly contribution during the year</t>
  </si>
  <si>
    <t>Seasonality</t>
  </si>
  <si>
    <t>Month of maximum and minimum contribution</t>
  </si>
  <si>
    <t>DEC-AUG</t>
  </si>
  <si>
    <t>JAN-AUG</t>
  </si>
  <si>
    <t>JAN-SEP</t>
  </si>
  <si>
    <t>Daily flow rate</t>
  </si>
  <si>
    <t>Difference between daily average discharge rates corresponding to the 10% and 90% exceedance percentiles</t>
  </si>
  <si>
    <t>EXTREME DATA</t>
  </si>
  <si>
    <t>MAXIMUM VALUES of the daily flows (FLOODS)</t>
  </si>
  <si>
    <t>Magnitude and frequency</t>
  </si>
  <si>
    <t>Average of the maximum annual daily discharge</t>
  </si>
  <si>
    <t>Qc</t>
  </si>
  <si>
    <t>Effective discharge;Return period</t>
  </si>
  <si>
    <t>QGL; T</t>
  </si>
  <si>
    <t>Connectivity discharge; Return period</t>
  </si>
  <si>
    <t>QCONEC;T</t>
  </si>
  <si>
    <t>Flushing  flood (5% exceedance percentiles)</t>
  </si>
  <si>
    <t>Coefficient of variation of the maximun daily discharge along the year</t>
  </si>
  <si>
    <r>
      <t>CV(Q</t>
    </r>
    <r>
      <rPr>
        <vertAlign val="subscript"/>
        <sz val="8"/>
        <rFont val="Tahoma"/>
        <family val="2"/>
      </rPr>
      <t>c</t>
    </r>
    <r>
      <rPr>
        <sz val="8"/>
        <rFont val="Tahoma"/>
        <family val="2"/>
      </rPr>
      <t>)</t>
    </r>
  </si>
  <si>
    <t>Coefficient of variation of the flushing flood series</t>
  </si>
  <si>
    <t>Average number of days in the month with q ≥ Q 5%nat</t>
  </si>
  <si>
    <t>See table and graph below</t>
  </si>
  <si>
    <t>Duration</t>
  </si>
  <si>
    <t>Maximum  number of consecutive days in the year with q≥ Q 5%nat</t>
  </si>
  <si>
    <t>MINIMUM VALUES of the daily flows (DROUGHTS)</t>
  </si>
  <si>
    <t>Average of the minimum daily discharge along the year</t>
  </si>
  <si>
    <t>Qs</t>
  </si>
  <si>
    <t>Ordinary drought discharge</t>
  </si>
  <si>
    <t>Coefficient of variation of the minimun daily discharge along the year</t>
  </si>
  <si>
    <t>CV(Qs)</t>
  </si>
  <si>
    <t>Coefficient of variation of the ordinary droughts series</t>
  </si>
  <si>
    <t>Average number of days in the month with q ≤ Q 95%nat</t>
  </si>
  <si>
    <t>Maximum  number of consecutive days in the year with q≤ Q 95%nat</t>
  </si>
  <si>
    <t>Average no. days in the month with a daily discharge equal to zero</t>
  </si>
  <si>
    <t>** This parameter could not be calculated</t>
  </si>
  <si>
    <t>SEASONALITY</t>
  </si>
  <si>
    <t>AVERAGE Nº OF DAYS WITH  Q ZERO</t>
  </si>
  <si>
    <t>Nº 5</t>
  </si>
  <si>
    <t xml:space="preserve">COMPONENTS OF THE REGIMEN </t>
  </si>
  <si>
    <t>VALUE (hm³ o m³/s)</t>
  </si>
  <si>
    <t>FEB-SEP</t>
  </si>
  <si>
    <t>QGL</t>
  </si>
  <si>
    <t>QCONEC</t>
  </si>
  <si>
    <r>
      <t>Average number of days in the month with q ≥ Q 5%</t>
    </r>
    <r>
      <rPr>
        <sz val="10"/>
        <color rgb="FFFF0000"/>
        <rFont val="Tahoma"/>
        <family val="2"/>
      </rPr>
      <t>R_nat</t>
    </r>
  </si>
  <si>
    <r>
      <t>Maximum  number of consecutive days in the year with q≥ Q 5%</t>
    </r>
    <r>
      <rPr>
        <sz val="10"/>
        <color rgb="FFFF0000"/>
        <rFont val="Tahoma"/>
        <family val="2"/>
      </rPr>
      <t>R_nat</t>
    </r>
  </si>
  <si>
    <r>
      <t>Average number of days in the month with q ≤ Q 95%</t>
    </r>
    <r>
      <rPr>
        <sz val="10"/>
        <color rgb="FFFF0000"/>
        <rFont val="Tahoma"/>
        <family val="2"/>
      </rPr>
      <t>R_nat</t>
    </r>
  </si>
  <si>
    <r>
      <t>Maximum  number of consecutive days in the year with q≤ Q 95%</t>
    </r>
    <r>
      <rPr>
        <sz val="10"/>
        <color rgb="FFFF0000"/>
        <rFont val="Tahoma"/>
        <family val="2"/>
      </rPr>
      <t>R_nat</t>
    </r>
  </si>
  <si>
    <t>Average no. of days in the month with a daily discharge equal to zero</t>
  </si>
  <si>
    <t>Nº 6</t>
  </si>
  <si>
    <t>AVERAGE VALUES OF ANNUAL FLOW RATES DURATION CURVES</t>
  </si>
  <si>
    <t>AVERAGE VALUES OF ANNUAL CURVES</t>
  </si>
  <si>
    <t>STANDARD PERCENTILES</t>
  </si>
  <si>
    <t>OF CLASSIFIED FLOW RATES (AVERAGE CURVE)</t>
  </si>
  <si>
    <t>NO. OF DAYS WHEN</t>
  </si>
  <si>
    <t>EXCEEDANCE</t>
  </si>
  <si>
    <r>
      <t>FLOW RATE (m</t>
    </r>
    <r>
      <rPr>
        <b/>
        <vertAlign val="superscript"/>
        <sz val="8"/>
        <color rgb="FF1F497D"/>
        <rFont val="Tahoma"/>
        <family val="2"/>
      </rPr>
      <t>3</t>
    </r>
    <r>
      <rPr>
        <b/>
        <sz val="8"/>
        <color rgb="FF1F497D"/>
        <rFont val="Tahoma"/>
        <family val="2"/>
      </rPr>
      <t>/s)</t>
    </r>
  </si>
  <si>
    <t>Order no.</t>
  </si>
  <si>
    <t>FLOW RATE IS EXCEEDED</t>
  </si>
  <si>
    <t>PERCENTILES (Weibull)</t>
  </si>
  <si>
    <t>Nº 6a</t>
  </si>
  <si>
    <t>Nº 6b</t>
  </si>
  <si>
    <t>FLOW RATE (m3/s)</t>
  </si>
  <si>
    <t>Nº 6c</t>
  </si>
  <si>
    <t>AVERAGE VALUES OF MONTHLY FLOW RATES DURATION CURVES</t>
  </si>
  <si>
    <r>
      <t>FLOW RATE (m</t>
    </r>
    <r>
      <rPr>
        <b/>
        <vertAlign val="superscript"/>
        <sz val="10"/>
        <rFont val="Arial"/>
        <family val="2"/>
      </rPr>
      <t>3</t>
    </r>
    <r>
      <rPr>
        <b/>
        <sz val="10"/>
        <rFont val="Arial"/>
        <family val="2"/>
      </rPr>
      <t>/s)</t>
    </r>
  </si>
  <si>
    <t>OCTOBER</t>
  </si>
  <si>
    <t>NOVEMBER</t>
  </si>
  <si>
    <t>DECEMBER</t>
  </si>
  <si>
    <t>JANUARY</t>
  </si>
  <si>
    <t>FEBRUARY</t>
  </si>
  <si>
    <t>MARCH</t>
  </si>
  <si>
    <t>APRIL</t>
  </si>
  <si>
    <t>MAY</t>
  </si>
  <si>
    <t>JUNE</t>
  </si>
  <si>
    <t>JULY</t>
  </si>
  <si>
    <t>AUGUST</t>
  </si>
  <si>
    <t>SEPTEMBER</t>
  </si>
  <si>
    <r>
      <rPr>
        <b/>
        <sz val="9"/>
        <color rgb="FF595959"/>
        <rFont val="Tahoma"/>
        <family val="2"/>
      </rPr>
      <t>PERCENTILES</t>
    </r>
    <r>
      <rPr>
        <b/>
        <sz val="8"/>
        <color rgb="FF595959"/>
        <rFont val="Tahoma"/>
        <family val="2"/>
      </rPr>
      <t xml:space="preserve"> (Weibull)</t>
    </r>
  </si>
  <si>
    <t>Nº de orden</t>
  </si>
  <si>
    <t>OCTUBRE</t>
  </si>
  <si>
    <t>NOVIEMBRE</t>
  </si>
  <si>
    <t>DICIEMBRE</t>
  </si>
  <si>
    <t>ENERO</t>
  </si>
  <si>
    <t>FEBRERO</t>
  </si>
  <si>
    <t>MARZO</t>
  </si>
  <si>
    <t>ABRIL</t>
  </si>
  <si>
    <t>MAYO</t>
  </si>
  <si>
    <t>JUNIO</t>
  </si>
  <si>
    <t>JULIO</t>
  </si>
  <si>
    <t>AGOSTO</t>
  </si>
  <si>
    <t>SEPTIEMBRE</t>
  </si>
  <si>
    <t>Variabilidad
 extrema</t>
  </si>
  <si>
    <t>INFORME</t>
  </si>
  <si>
    <t>Nº 6d</t>
  </si>
  <si>
    <t>Nº 6e</t>
  </si>
  <si>
    <r>
      <t>FLOW RATE (m</t>
    </r>
    <r>
      <rPr>
        <b/>
        <vertAlign val="superscript"/>
        <sz val="10"/>
        <color rgb="FF1F497D"/>
        <rFont val="Tahoma"/>
        <family val="2"/>
      </rPr>
      <t>3</t>
    </r>
    <r>
      <rPr>
        <b/>
        <sz val="10"/>
        <color rgb="FF1F497D"/>
        <rFont val="Tahoma"/>
        <family val="2"/>
      </rPr>
      <t>/s)</t>
    </r>
  </si>
  <si>
    <r>
      <t>PERCENTILES</t>
    </r>
    <r>
      <rPr>
        <b/>
        <sz val="7"/>
        <color rgb="FF1F497D"/>
        <rFont val="Tahoma"/>
        <family val="2"/>
      </rPr>
      <t xml:space="preserve"> (Weibull)</t>
    </r>
  </si>
  <si>
    <t>Nº 7c</t>
  </si>
  <si>
    <r>
      <t>INDICATOR OF HYDROLOGICAL ALTERATION: HABITUAL VALUES (</t>
    </r>
    <r>
      <rPr>
        <b/>
        <sz val="11"/>
        <color rgb="FFC00000"/>
        <rFont val="Arial"/>
        <family val="2"/>
      </rPr>
      <t xml:space="preserve">non contemporaneus </t>
    </r>
    <r>
      <rPr>
        <b/>
        <sz val="11"/>
        <color rgb="FF000080"/>
        <rFont val="Arial"/>
        <family val="2"/>
      </rPr>
      <t>data)</t>
    </r>
  </si>
  <si>
    <t>INDICATORS OF HYDROLOGIC ALTERATION (IAH)</t>
  </si>
  <si>
    <t>LEVEL I</t>
  </si>
  <si>
    <t>LEVEL II</t>
  </si>
  <si>
    <t>LEVEL III</t>
  </si>
  <si>
    <t>LEVEL IV</t>
  </si>
  <si>
    <t>LEVEL V</t>
  </si>
  <si>
    <t>VALUE</t>
  </si>
  <si>
    <t>CODE</t>
  </si>
  <si>
    <t>0,8&lt; I ≤1</t>
  </si>
  <si>
    <t>0,6&lt; I ≤0,8</t>
  </si>
  <si>
    <t>0,4&lt; I ≤0,6</t>
  </si>
  <si>
    <t>0,2&lt; I ≤0,4</t>
  </si>
  <si>
    <r>
      <t>0</t>
    </r>
    <r>
      <rPr>
        <b/>
        <sz val="7.5"/>
        <rFont val="Calibri"/>
        <family val="2"/>
      </rPr>
      <t>≤</t>
    </r>
    <r>
      <rPr>
        <b/>
        <sz val="7.5"/>
        <rFont val="Tahoma"/>
        <family val="2"/>
      </rPr>
      <t xml:space="preserve"> I ≤0,2</t>
    </r>
  </si>
  <si>
    <t>magnitude</t>
  </si>
  <si>
    <t/>
  </si>
  <si>
    <t>M1</t>
  </si>
  <si>
    <t>Magnitude of the annual volumes</t>
  </si>
  <si>
    <t>M2</t>
  </si>
  <si>
    <t>Magnitude of the monthly volumes</t>
  </si>
  <si>
    <t>variability</t>
  </si>
  <si>
    <t>V1</t>
  </si>
  <si>
    <t>Variability of the annual volumes</t>
  </si>
  <si>
    <t>*</t>
  </si>
  <si>
    <t>V2</t>
  </si>
  <si>
    <t>Variabilityof the monthly volumes</t>
  </si>
  <si>
    <t>V4</t>
  </si>
  <si>
    <t>seasonality</t>
  </si>
  <si>
    <t>S1</t>
  </si>
  <si>
    <t>Seasonality of maximum values</t>
  </si>
  <si>
    <t>S2</t>
  </si>
  <si>
    <t>Seasonality of minimum values</t>
  </si>
  <si>
    <t>* Inverse      ** Indeterminate      *** Inverse and Indeterminate      #  Cannot be calculated</t>
  </si>
  <si>
    <t>MONTH</t>
  </si>
  <si>
    <t>INDICATOR M3 MAGNITUDE OF THE MONTH CONTRIBUTION</t>
  </si>
  <si>
    <t>INDICATOR V3 VARIABILITY OF THE MONTH CONTRIBUTION</t>
  </si>
  <si>
    <r>
      <t xml:space="preserve">HABITUAL DATA
</t>
    </r>
    <r>
      <rPr>
        <sz val="8"/>
        <rFont val="Tahoma"/>
        <family val="2"/>
      </rPr>
      <t>magnitude and variability</t>
    </r>
  </si>
  <si>
    <t>INDICATORS OF GLOBAL ALTERATION (IAG)</t>
  </si>
  <si>
    <t>0,64&lt; I ≤1</t>
  </si>
  <si>
    <t>0,36&lt; I ≤0,64</t>
  </si>
  <si>
    <t>0,16&lt; I ≤0,36</t>
  </si>
  <si>
    <t>0,04&lt; I ≤0,16</t>
  </si>
  <si>
    <r>
      <t>0</t>
    </r>
    <r>
      <rPr>
        <b/>
        <sz val="6"/>
        <rFont val="Calibri"/>
        <family val="2"/>
      </rPr>
      <t>≤</t>
    </r>
    <r>
      <rPr>
        <b/>
        <sz val="6"/>
        <rFont val="Tahoma"/>
        <family val="2"/>
      </rPr>
      <t xml:space="preserve"> I ≤0,04</t>
    </r>
  </si>
  <si>
    <t>HABITUAL VALUES (M1, M2, V1, V2, V4, E1, E2)</t>
  </si>
  <si>
    <r>
      <t>IAG</t>
    </r>
    <r>
      <rPr>
        <b/>
        <vertAlign val="subscript"/>
        <sz val="10"/>
        <rFont val="Arial"/>
        <family val="2"/>
      </rPr>
      <t>H</t>
    </r>
  </si>
  <si>
    <t>Nº 7d</t>
  </si>
  <si>
    <t>INDICATORS OF HYDROLOGIC ALTERATION: FLOODS AND DROUGHTS</t>
  </si>
  <si>
    <t>FLOODS</t>
  </si>
  <si>
    <t>IAH7</t>
  </si>
  <si>
    <t>Magnitude of the maximun floods</t>
  </si>
  <si>
    <t>IAH8</t>
  </si>
  <si>
    <t>Magnitude of the effective discharge</t>
  </si>
  <si>
    <t>IAH9</t>
  </si>
  <si>
    <t>Frecuency of the connectivity discharge</t>
  </si>
  <si>
    <t>IAH10</t>
  </si>
  <si>
    <t>Magnitude of the flushing flood</t>
  </si>
  <si>
    <t>IAH11</t>
  </si>
  <si>
    <t>Variability of the maximum floods</t>
  </si>
  <si>
    <t>IAH12</t>
  </si>
  <si>
    <t>Variability of the flushing floods</t>
  </si>
  <si>
    <t>duration</t>
  </si>
  <si>
    <t>IAH13</t>
  </si>
  <si>
    <t xml:space="preserve">Floods duration </t>
  </si>
  <si>
    <t>IAH14</t>
  </si>
  <si>
    <t>Floods seasonality</t>
  </si>
  <si>
    <t>DROUGHTS</t>
  </si>
  <si>
    <t>IAH15</t>
  </si>
  <si>
    <t>Magnitude of the extreme droughts</t>
  </si>
  <si>
    <t>IAH16</t>
  </si>
  <si>
    <t>Magnitude of the habitual droughts</t>
  </si>
  <si>
    <t>IAH17</t>
  </si>
  <si>
    <t>Variability of the extreme droughts</t>
  </si>
  <si>
    <t>IAH18</t>
  </si>
  <si>
    <t>Variability of the habitual droughts</t>
  </si>
  <si>
    <t>IAH19</t>
  </si>
  <si>
    <t>Droughts duration</t>
  </si>
  <si>
    <t>IAH20</t>
  </si>
  <si>
    <t>Nº of days with null discharge</t>
  </si>
  <si>
    <t>IAH21</t>
  </si>
  <si>
    <t>Droughts seasonality</t>
  </si>
  <si>
    <t>INDICATOR OF MONTHLY ALTERATION</t>
  </si>
  <si>
    <t>FLOODS AND DROUGHTS (duration and seasonality)</t>
  </si>
  <si>
    <t>&amp;</t>
  </si>
  <si>
    <r>
      <t>IAG</t>
    </r>
    <r>
      <rPr>
        <b/>
        <vertAlign val="subscript"/>
        <sz val="10"/>
        <rFont val="Arial"/>
        <family val="2"/>
      </rPr>
      <t>A</t>
    </r>
  </si>
  <si>
    <r>
      <t>IAG</t>
    </r>
    <r>
      <rPr>
        <b/>
        <vertAlign val="subscript"/>
        <sz val="10"/>
        <rFont val="Arial"/>
        <family val="2"/>
      </rPr>
      <t>S</t>
    </r>
  </si>
  <si>
    <t>Nº 8</t>
  </si>
  <si>
    <t xml:space="preserve">CHARACTERIZATION OF THE HYDROLOGICAL ALTERATION ACCORDING TO IPH (Instrucción de Planificación Hidrológica in Spanish) 		</t>
  </si>
  <si>
    <r>
      <t>Monthly contribution (hm</t>
    </r>
    <r>
      <rPr>
        <b/>
        <vertAlign val="superscript"/>
        <sz val="10"/>
        <color rgb="FF1F497D"/>
        <rFont val="Tahoma"/>
        <family val="2"/>
      </rPr>
      <t>3</t>
    </r>
    <r>
      <rPr>
        <b/>
        <sz val="10"/>
        <color rgb="FF1F497D"/>
        <rFont val="Tahoma"/>
        <family val="2"/>
      </rPr>
      <t>)</t>
    </r>
  </si>
  <si>
    <r>
      <rPr>
        <b/>
        <sz val="9"/>
        <color rgb="FF1F497D"/>
        <rFont val="Tahoma"/>
        <family val="2"/>
      </rPr>
      <t xml:space="preserve">10% PERCENTIL </t>
    </r>
    <r>
      <rPr>
        <b/>
        <sz val="8"/>
        <color rgb="FF1F497D"/>
        <rFont val="Tahoma"/>
        <family val="2"/>
      </rPr>
      <t>(exceedance)</t>
    </r>
  </si>
  <si>
    <r>
      <rPr>
        <b/>
        <sz val="9"/>
        <color rgb="FF1F497D"/>
        <rFont val="Tahoma"/>
        <family val="2"/>
      </rPr>
      <t xml:space="preserve">90% PERCENTIL </t>
    </r>
    <r>
      <rPr>
        <b/>
        <sz val="8"/>
        <color rgb="FF1F497D"/>
        <rFont val="Tahoma"/>
        <family val="2"/>
      </rPr>
      <t>(exceedance)</t>
    </r>
  </si>
  <si>
    <t xml:space="preserve"> MEDIAN </t>
  </si>
  <si>
    <r>
      <t>No. MONTH WITH (P90%</t>
    </r>
    <r>
      <rPr>
        <b/>
        <sz val="8"/>
        <color rgb="FF1F497D"/>
        <rFont val="Calibri"/>
        <family val="2"/>
      </rPr>
      <t>≤AP</t>
    </r>
    <r>
      <rPr>
        <b/>
        <vertAlign val="subscript"/>
        <sz val="8"/>
        <color rgb="FF1F497D"/>
        <rFont val="Tahoma"/>
        <family val="2"/>
      </rPr>
      <t>MON</t>
    </r>
    <r>
      <rPr>
        <b/>
        <sz val="8"/>
        <color rgb="FF1F497D"/>
        <rFont val="Calibri"/>
        <family val="2"/>
      </rPr>
      <t>≤</t>
    </r>
    <r>
      <rPr>
        <b/>
        <sz val="8"/>
        <color rgb="FF1F497D"/>
        <rFont val="Tahoma"/>
        <family val="2"/>
      </rPr>
      <t>P10%)</t>
    </r>
  </si>
  <si>
    <t>Total no. of months</t>
  </si>
  <si>
    <t>% Months</t>
  </si>
  <si>
    <t>CLASSIFICATION*</t>
  </si>
  <si>
    <t>February</t>
  </si>
  <si>
    <t>March</t>
  </si>
  <si>
    <t>April</t>
  </si>
  <si>
    <t>June</t>
  </si>
  <si>
    <t>July</t>
  </si>
  <si>
    <t>August</t>
  </si>
  <si>
    <t>September</t>
  </si>
  <si>
    <t>October</t>
  </si>
  <si>
    <t>November</t>
  </si>
  <si>
    <t>December</t>
  </si>
  <si>
    <t>TOTAL</t>
  </si>
  <si>
    <r>
      <t>Annual contribution (hm</t>
    </r>
    <r>
      <rPr>
        <b/>
        <vertAlign val="superscript"/>
        <sz val="10"/>
        <color rgb="FF1F497D"/>
        <rFont val="Tahoma"/>
        <family val="2"/>
      </rPr>
      <t>3</t>
    </r>
    <r>
      <rPr>
        <b/>
        <sz val="10"/>
        <color rgb="FF1F497D"/>
        <rFont val="Tahoma"/>
        <family val="2"/>
      </rPr>
      <t>)</t>
    </r>
  </si>
  <si>
    <t>Median contribution (hm³/year)</t>
  </si>
  <si>
    <r>
      <t>No. Years with (P90%≤AP</t>
    </r>
    <r>
      <rPr>
        <b/>
        <vertAlign val="subscript"/>
        <sz val="10"/>
        <color rgb="FF1F497D"/>
        <rFont val="Tahoma"/>
        <family val="2"/>
      </rPr>
      <t>YEAR</t>
    </r>
    <r>
      <rPr>
        <b/>
        <sz val="10"/>
        <color rgb="FF1F497D"/>
        <rFont val="Tahoma"/>
        <family val="2"/>
      </rPr>
      <t>≤P10%)</t>
    </r>
  </si>
  <si>
    <t>Total no. of years</t>
  </si>
  <si>
    <t>% CUMPLE</t>
  </si>
  <si>
    <t>CLASsIFICATION*</t>
  </si>
  <si>
    <t>Used data (nº years)</t>
  </si>
  <si>
    <t>Contemporaneus years</t>
  </si>
  <si>
    <t>Nº 8b</t>
  </si>
  <si>
    <t>PARA ESTIMAR IAH14 e IAH21 MENSUAL</t>
  </si>
  <si>
    <t>PARA ESTIMAR M3 MENSUAL</t>
  </si>
  <si>
    <t>VALORES MENSUALES</t>
  </si>
  <si>
    <r>
      <t xml:space="preserve">Alteración </t>
    </r>
    <r>
      <rPr>
        <sz val="10"/>
        <color indexed="9"/>
        <rFont val="Calibri"/>
        <family val="2"/>
      </rPr>
      <t>≥50%</t>
    </r>
  </si>
  <si>
    <t>VALOR</t>
  </si>
  <si>
    <t>DEFINITION</t>
  </si>
  <si>
    <t>Value</t>
  </si>
  <si>
    <r>
      <t xml:space="preserve">Alteration </t>
    </r>
    <r>
      <rPr>
        <b/>
        <sz val="10"/>
        <color indexed="9"/>
        <rFont val="Calibri"/>
        <family val="2"/>
      </rPr>
      <t>≥</t>
    </r>
    <r>
      <rPr>
        <b/>
        <sz val="10"/>
        <color indexed="9"/>
        <rFont val="Arial"/>
        <family val="2"/>
      </rPr>
      <t xml:space="preserve"> 50%</t>
    </r>
  </si>
  <si>
    <t>Magnitude of the annual contribution</t>
  </si>
  <si>
    <r>
      <t>M3</t>
    </r>
    <r>
      <rPr>
        <sz val="6"/>
        <rFont val="Arial"/>
        <family val="2"/>
      </rPr>
      <t>(Monthly eval.)</t>
    </r>
  </si>
  <si>
    <t>Magnitude of the monthly contribution</t>
  </si>
  <si>
    <t>months(*)</t>
  </si>
  <si>
    <t>(**)</t>
  </si>
  <si>
    <t>E1</t>
  </si>
  <si>
    <t>E2</t>
  </si>
  <si>
    <r>
      <t>IAH14</t>
    </r>
    <r>
      <rPr>
        <sz val="6"/>
        <rFont val="Arial"/>
        <family val="2"/>
      </rPr>
      <t xml:space="preserve"> (Monthly eval.)</t>
    </r>
  </si>
  <si>
    <t>Floods seasonality (monthly eval.)</t>
  </si>
  <si>
    <r>
      <t xml:space="preserve">Nº alt </t>
    </r>
    <r>
      <rPr>
        <sz val="10"/>
        <color indexed="9"/>
        <rFont val="Calibri"/>
        <family val="2"/>
      </rPr>
      <t>≥</t>
    </r>
    <r>
      <rPr>
        <sz val="7"/>
        <color indexed="9"/>
        <rFont val="Arial"/>
        <family val="2"/>
      </rPr>
      <t xml:space="preserve"> 50%</t>
    </r>
  </si>
  <si>
    <r>
      <t>IAH21</t>
    </r>
    <r>
      <rPr>
        <sz val="6"/>
        <rFont val="Arial"/>
        <family val="2"/>
      </rPr>
      <t xml:space="preserve"> (Monthly eval.)</t>
    </r>
  </si>
  <si>
    <t>Droughts seasonality (monthly eval.)</t>
  </si>
  <si>
    <t>CLASIFICACIÓN</t>
  </si>
  <si>
    <r>
      <t xml:space="preserve">(*) Number of months per year with monthly IAH </t>
    </r>
    <r>
      <rPr>
        <sz val="9"/>
        <rFont val="Calibri"/>
        <family val="2"/>
      </rPr>
      <t>≤0,5</t>
    </r>
  </si>
  <si>
    <r>
      <t xml:space="preserve">(**) altered IAH if no. of months </t>
    </r>
    <r>
      <rPr>
        <sz val="9"/>
        <rFont val="Calibri"/>
        <family val="2"/>
      </rPr>
      <t>≥</t>
    </r>
    <r>
      <rPr>
        <sz val="9"/>
        <rFont val="Arial"/>
        <family val="2"/>
      </rPr>
      <t>3</t>
    </r>
  </si>
  <si>
    <t>PARA APLICAR EL CRITERIO C1a</t>
  </si>
  <si>
    <r>
      <t xml:space="preserve">No. of indicators with alteration </t>
    </r>
    <r>
      <rPr>
        <b/>
        <sz val="10"/>
        <rFont val="Calibri"/>
        <family val="2"/>
      </rPr>
      <t>≥</t>
    </r>
    <r>
      <rPr>
        <b/>
        <sz val="10"/>
        <rFont val="Arial"/>
        <family val="2"/>
      </rPr>
      <t>50%:</t>
    </r>
  </si>
  <si>
    <t>Classification criterion applied:</t>
  </si>
  <si>
    <t>CLASSIFICATION***:</t>
  </si>
  <si>
    <t>PRUEBA CRITERIO C1a</t>
  </si>
  <si>
    <t>Magnitud</t>
  </si>
  <si>
    <t>MEDIA</t>
  </si>
  <si>
    <t>Dur. Y Var.</t>
  </si>
  <si>
    <t>Estacionalidad</t>
  </si>
  <si>
    <t>Criterio C1a</t>
  </si>
  <si>
    <t>ENVIRONMENTAL SIGNIFICANCE OF INDICATORS OF HYDROLOGIC ALTERATION</t>
  </si>
  <si>
    <t>Nº 10c</t>
  </si>
  <si>
    <t>HABITUAL DATA, FLOODS AND DROUGHTS (Non-contemporaneous daily data)</t>
  </si>
  <si>
    <t>ECOSYSTEM COMPONENT: MORPHOLOGY</t>
  </si>
  <si>
    <t>COMPONENTS AND ASPECTS OF THE FLOW REGIME MORE DIRECTLY INVOLVED</t>
  </si>
  <si>
    <t>INDICATORS OF HYDROLOGICAL ALTERATION evaluating them</t>
  </si>
  <si>
    <t>significant alteration?</t>
  </si>
  <si>
    <t>ENVIRONMENTAL SIGNIFICANCE</t>
  </si>
  <si>
    <t>INDICATORS</t>
  </si>
  <si>
    <r>
      <t>IAH</t>
    </r>
    <r>
      <rPr>
        <b/>
        <sz val="10"/>
        <rFont val="Calibri"/>
        <family val="2"/>
      </rPr>
      <t>≤</t>
    </r>
    <r>
      <rPr>
        <b/>
        <sz val="10"/>
        <rFont val="Arial"/>
        <family val="2"/>
      </rPr>
      <t>0.4</t>
    </r>
  </si>
  <si>
    <t>IAH 8</t>
  </si>
  <si>
    <t>Effective discharge magnitude Ind.</t>
  </si>
  <si>
    <t>The effective discharge represents the flow that, over the long term, performs the greatest work in mobilizing and transporting materials, shaping the channel's geomorphology both in cross-section and planform.</t>
  </si>
  <si>
    <t>IAH 11</t>
  </si>
  <si>
    <t>Variability Ind. of maximum floods</t>
  </si>
  <si>
    <t>Implications for channel formation and stability; grain size of transported materials; maintenance of water levels; bed scouring; synchronization with tributaries.</t>
  </si>
  <si>
    <t>IAH 13</t>
  </si>
  <si>
    <t>Floods duration Ind.</t>
  </si>
  <si>
    <t>ECOSYSTEM COMPONENT: HABITAT</t>
  </si>
  <si>
    <t>Habitual magnitude</t>
  </si>
  <si>
    <t>IAH 10</t>
  </si>
  <si>
    <t xml:space="preserve">Magnitude Ind. of usual floods		</t>
  </si>
  <si>
    <t>Essential for substrate cleaning and revitalization processes, maintenance of hydrohabitat diversity, riffle-pool sequences, preservation of grain size diversity, and suitable conditions in the hyporheic zone.</t>
  </si>
  <si>
    <t>Habitual variability</t>
  </si>
  <si>
    <t>IAH 12</t>
  </si>
  <si>
    <t>Variability Ind. of the usual floods</t>
  </si>
  <si>
    <t>IAH 14</t>
  </si>
  <si>
    <t xml:space="preserve">Flood Seasonality Ind.	</t>
  </si>
  <si>
    <t>Flood Duration Ind.</t>
  </si>
  <si>
    <t>IAH 16</t>
  </si>
  <si>
    <t>Magnitude Ind. of usual droughts</t>
  </si>
  <si>
    <t>Key factors in the alteration of the potential of the hyporheic zone, changes in hydraulic conditions, water quality degradation, habitat desiccation and fragmentation, and disruption of connectivity with the groundwater.</t>
  </si>
  <si>
    <t>IAH 18</t>
  </si>
  <si>
    <t>Variability Ind. of usual droughts</t>
  </si>
  <si>
    <t>Magnitude Ind. of annual contributions</t>
  </si>
  <si>
    <t>Factors influencing habitat variability and heterogeneity, bed material size, hydraulic characteristics, and the features and clogging of the hyporheic zone.</t>
  </si>
  <si>
    <t>Variability Ind. of annual contributions</t>
  </si>
  <si>
    <t xml:space="preserve">Extreme Variability Ind.		</t>
  </si>
  <si>
    <t>ECOSYSTEM COMPONENT: RIPARIAN VEGETATION</t>
  </si>
  <si>
    <t xml:space="preserve">Connectivity frequency	</t>
  </si>
  <si>
    <t>IAH 9</t>
  </si>
  <si>
    <t>Discharge Connectivity Frequency Ind.</t>
  </si>
  <si>
    <t>The connectivity discharge is responsible for the periodic flooding of the floodplain, ensuring lateral connectivity, the rejuvenation of the riparian zone, succession processes, and the appropriate environmental conditions for the development of numerous species, especially in their early stages, and sometimes acting as a stimulus for germination.</t>
  </si>
  <si>
    <t>Flood Seasonality Ind.</t>
  </si>
  <si>
    <t>Extreme magnitude</t>
  </si>
  <si>
    <t>IAH 15</t>
  </si>
  <si>
    <t>Magnitude Ind. of extreme droughts</t>
  </si>
  <si>
    <t>They define the most environmentally critical situations, especially if the tolerance capacity of different species is exceeded, affecting plant dynamics, processes of competitive exclusion, and loss of biodiversity.</t>
  </si>
  <si>
    <t xml:space="preserve">Extreme variability	</t>
  </si>
  <si>
    <t>IAH 17</t>
  </si>
  <si>
    <t>Extreme Drought Variability Ind.</t>
  </si>
  <si>
    <t>IAH 21</t>
  </si>
  <si>
    <t xml:space="preserve">Drought Seasonality Ind.	</t>
  </si>
  <si>
    <t>IAH 19</t>
  </si>
  <si>
    <t>Drought Duration Ind.</t>
  </si>
  <si>
    <t>Enhances habitat quality and heterogeneity, regulating the intrusion and expansion of exotic species.</t>
  </si>
  <si>
    <t>ECOSYSTEM COMPONENT: ICTHYOFAUNA</t>
  </si>
  <si>
    <t>IAH≤0.4</t>
  </si>
  <si>
    <t>IAH 7</t>
  </si>
  <si>
    <t>Magnitude Ind. of maximum floods</t>
  </si>
  <si>
    <t>Maximum floods act as a trigger for the migratory movements of many species and ensure their access to breeding and nursery areas; they regulate populations, favoring native species adapted to the environment over exotic ones.</t>
  </si>
  <si>
    <t>Influence the trophic behavior and tolerance of species: the most extreme situations (duration of minimum or zero flows) are critical in relation to the resilience capacity of the species.
Droughts affect habitat availability, passability, hydrohabitat characteristics (depths and velocities), and water quality.</t>
  </si>
  <si>
    <t>Variability Ind. of extreme droughts</t>
  </si>
  <si>
    <t>Drought Seasonality Ind.</t>
  </si>
  <si>
    <t>Duraction</t>
  </si>
  <si>
    <t>Null discharge</t>
  </si>
  <si>
    <t>IAH 20</t>
  </si>
  <si>
    <t>Ind. of the No. of days with zero flow rates</t>
  </si>
  <si>
    <t>Monthly contribution</t>
  </si>
  <si>
    <t>Magnitude Ind. of monthly contributions</t>
  </si>
  <si>
    <t>Determinants in the overall habitat availability for fish fauna. Their seasonality sets the pace for many vital processes and must be synchronized with the phenology of the species present.</t>
  </si>
  <si>
    <t>Seasonality of maximums</t>
  </si>
  <si>
    <t>Seasonality Ind. of maximums</t>
  </si>
  <si>
    <t xml:space="preserve">Seasonality of minimums	</t>
  </si>
  <si>
    <t>Seasonality Ind. of minimums</t>
  </si>
  <si>
    <t>ECOSYSTEM COMPONENT: MACROINVERTEBRATES</t>
  </si>
  <si>
    <t>The flood regime influences the abundance and composition of the benthos, with substrate alteration and drift being the main causes of impact on this community. Although it is difficult to predict their effects, in general, an increase in the magnitude and frequency of floods leads to a decrease in taxonomic richness.</t>
  </si>
  <si>
    <t xml:space="preserve">Variability Ind. of maximum floods	</t>
  </si>
  <si>
    <t>Droughts create the most critical conditions for the benthos, favoring species with the ability to find refuge in the more favorable conditions of the hyporheic zone, and are highly influenced by the duration and magnitude of these events.</t>
  </si>
  <si>
    <t xml:space="preserve">Determinants of a set of environmental variables such as water quality, substrate stability, clogging of the hyporheic zone, and water temperature, which ultimately affect the abundance and distribution of the benthos.  </t>
  </si>
  <si>
    <t>Monthly variability</t>
  </si>
  <si>
    <t>Variability Ind. of monthly contributions</t>
  </si>
  <si>
    <t>Seasonal Ind. of maximums</t>
  </si>
  <si>
    <t>Nat_F</t>
  </si>
  <si>
    <t>Alt_F</t>
  </si>
  <si>
    <t>Natural Flow</t>
  </si>
  <si>
    <t>Altered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</si>
</sst>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32">
    <font>
      <sz val="10"/>
      <name val="Arial"/>
    </font>
    <font>
      <sz val="10"/>
      <name val="Arial"/>
      <family val="2"/>
    </font>
    <font>
      <sz val="8"/>
      <name val="Tahoma"/>
      <family val="2"/>
    </font>
    <font>
      <sz val="10"/>
      <name val="Arial"/>
      <family val="2"/>
    </font>
    <font>
      <b/>
      <sz val="14"/>
      <color indexed="9"/>
      <name val="Arial"/>
      <family val="2"/>
    </font>
    <font>
      <b/>
      <sz val="14"/>
      <color indexed="18"/>
      <name val="Arial"/>
      <family val="2"/>
    </font>
    <font>
      <b/>
      <sz val="12"/>
      <name val="Arial"/>
      <family val="2"/>
    </font>
    <font>
      <b/>
      <sz val="10"/>
      <name val="Arial"/>
      <family val="2"/>
    </font>
    <font>
      <b/>
      <sz val="14"/>
      <color indexed="43"/>
      <name val="Arial"/>
      <family val="2"/>
    </font>
    <font>
      <sz val="10"/>
      <color indexed="9"/>
      <name val="Tahoma"/>
      <family val="2"/>
    </font>
    <font>
      <b/>
      <sz val="10"/>
      <color indexed="47"/>
      <name val="Tahoma"/>
      <family val="2"/>
    </font>
    <font>
      <sz val="7"/>
      <name val="Arial"/>
      <family val="2"/>
    </font>
    <font>
      <b/>
      <sz val="6"/>
      <color indexed="9"/>
      <name val="Tahoma"/>
      <family val="2"/>
    </font>
    <font>
      <b/>
      <sz val="7.5"/>
      <name val="Tahoma"/>
      <family val="2"/>
    </font>
    <font>
      <b/>
      <sz val="8"/>
      <name val="Tahoma"/>
      <family val="2"/>
    </font>
    <font>
      <b/>
      <sz val="8"/>
      <name val="Arial"/>
      <family val="2"/>
    </font>
    <font>
      <sz val="9"/>
      <name val="Tahoma"/>
      <family val="2"/>
    </font>
    <font>
      <sz val="7"/>
      <color indexed="9"/>
      <name val="Arial"/>
      <family val="2"/>
    </font>
    <font>
      <sz val="8"/>
      <name val="Arial"/>
      <family val="2"/>
    </font>
    <font>
      <sz val="10"/>
      <name val="T"/>
    </font>
    <font>
      <b/>
      <sz val="6"/>
      <name val="Tahoma"/>
      <family val="2"/>
    </font>
    <font>
      <b/>
      <sz val="14"/>
      <name val="Arial"/>
      <family val="2"/>
    </font>
    <font>
      <b/>
      <sz val="12"/>
      <color indexed="9"/>
      <name val="Arial"/>
      <family val="2"/>
    </font>
    <font>
      <b/>
      <sz val="10"/>
      <color indexed="9"/>
      <name val="Arial"/>
      <family val="2"/>
    </font>
    <font>
      <sz val="10"/>
      <name val="Tahoma"/>
      <family val="2"/>
    </font>
    <font>
      <b/>
      <sz val="10"/>
      <name val="Tahoma"/>
      <family val="2"/>
    </font>
    <font>
      <b/>
      <sz val="12"/>
      <color indexed="18"/>
      <name val="Arial"/>
      <family val="2"/>
    </font>
    <font>
      <b/>
      <sz val="11"/>
      <name val="Arial"/>
      <family val="2"/>
    </font>
    <font>
      <b/>
      <sz val="11"/>
      <color indexed="18"/>
      <name val="Arial"/>
      <family val="2"/>
    </font>
    <font>
      <sz val="9"/>
      <name val="Arial"/>
      <family val="2"/>
    </font>
    <font>
      <sz val="10"/>
      <color indexed="9"/>
      <name val="Arial"/>
      <family val="2"/>
    </font>
    <font>
      <sz val="12"/>
      <name val="Arial"/>
      <family val="2"/>
    </font>
    <font>
      <b/>
      <sz val="10"/>
      <color indexed="9"/>
      <name val="Arial"/>
      <family val="2"/>
    </font>
    <font>
      <sz val="8"/>
      <color indexed="53"/>
      <name val="Arial"/>
      <family val="2"/>
    </font>
    <font>
      <sz val="10"/>
      <color indexed="53"/>
      <name val="Arial"/>
      <family val="2"/>
    </font>
    <font>
      <sz val="10"/>
      <color indexed="53"/>
      <name val="Arial"/>
      <family val="2"/>
    </font>
    <font>
      <sz val="10"/>
      <color indexed="9"/>
      <name val="Arial"/>
      <family val="2"/>
    </font>
    <font>
      <b/>
      <sz val="14"/>
      <color theme="3"/>
      <name val="Arial"/>
      <family val="2"/>
    </font>
    <font>
      <b/>
      <sz val="12"/>
      <color theme="3"/>
      <name val="Arial"/>
      <family val="2"/>
    </font>
    <font>
      <b/>
      <sz val="14"/>
      <color rgb="FFFFFFCC"/>
      <name val="Arial"/>
      <family val="2"/>
    </font>
    <font>
      <b/>
      <sz val="10"/>
      <color theme="3"/>
      <name val="Arial"/>
      <family val="2"/>
    </font>
    <font>
      <b/>
      <sz val="9"/>
      <color rgb="FF002060"/>
      <name val="Arial"/>
      <family val="2"/>
    </font>
    <font>
      <b/>
      <sz val="11"/>
      <color theme="1"/>
      <name val="Calibri"/>
      <family val="2"/>
    </font>
    <font>
      <sz val="10"/>
      <color theme="0"/>
      <name val="Arial"/>
      <family val="2"/>
    </font>
    <font>
      <b/>
      <sz val="10"/>
      <color theme="1"/>
      <name val="Calibri"/>
      <family val="2"/>
    </font>
    <font>
      <sz val="10"/>
      <color theme="3"/>
      <name val="Arial"/>
      <family val="2"/>
    </font>
    <font>
      <b/>
      <sz val="11"/>
      <color theme="3"/>
      <name val="Calibri"/>
      <family val="2"/>
    </font>
    <font>
      <b/>
      <sz val="9"/>
      <color theme="3"/>
      <name val="Arial"/>
      <family val="2"/>
    </font>
    <font>
      <b/>
      <sz val="10"/>
      <color theme="3"/>
      <name val="Tahoma"/>
      <family val="2"/>
    </font>
    <font>
      <sz val="10"/>
      <color theme="0" tint="-0.499984740745262"/>
      <name val="Arial"/>
      <family val="2"/>
    </font>
    <font>
      <b/>
      <sz val="14"/>
      <color rgb="FFFFFFFF"/>
      <name val="Arial"/>
      <family val="2"/>
    </font>
    <font>
      <b/>
      <sz val="14"/>
      <color rgb="FF000080"/>
      <name val="Arial"/>
      <family val="2"/>
    </font>
    <font>
      <b/>
      <sz val="14"/>
      <color rgb="FFFFFF99"/>
      <name val="Arial"/>
      <family val="2"/>
    </font>
    <font>
      <b/>
      <sz val="10"/>
      <color rgb="FF1F497D"/>
      <name val="Tahoma"/>
      <family val="2"/>
    </font>
    <font>
      <b/>
      <sz val="12"/>
      <color rgb="FF1F497D"/>
      <name val="Tahoma"/>
      <family val="2"/>
    </font>
    <font>
      <b/>
      <sz val="12"/>
      <color rgb="FF1F497D"/>
      <name val="Arial"/>
      <family val="2"/>
    </font>
    <font>
      <b/>
      <sz val="10"/>
      <color rgb="FF1F497D"/>
      <name val="Arial"/>
      <family val="2"/>
    </font>
    <font>
      <sz val="10"/>
      <color rgb="FF99CCFF"/>
      <name val="Arial"/>
      <family val="2"/>
    </font>
    <font>
      <sz val="10"/>
      <color rgb="FFFFCC99"/>
      <name val="Arial"/>
      <family val="2"/>
    </font>
    <font>
      <b/>
      <sz val="10"/>
      <color theme="0" tint="-0.499984740745262"/>
      <name val="Arial"/>
      <family val="2"/>
    </font>
    <font>
      <sz val="10"/>
      <color theme="0" tint="-0.499984740745262"/>
      <name val="Tahoma"/>
      <family val="2"/>
    </font>
    <font>
      <b/>
      <sz val="8"/>
      <color rgb="FFFFFFFF"/>
      <name val="Tahoma"/>
      <family val="2"/>
    </font>
    <font>
      <b/>
      <sz val="10"/>
      <color rgb="FFFFFFFF"/>
      <name val="Tahoma"/>
      <family val="2"/>
    </font>
    <font>
      <b/>
      <sz val="11"/>
      <color rgb="FF1F497D"/>
      <name val="Arial"/>
      <family val="2"/>
    </font>
    <font>
      <b/>
      <sz val="8"/>
      <color rgb="FF1F497D"/>
      <name val="Tahoma"/>
      <family val="2"/>
    </font>
    <font>
      <b/>
      <sz val="10"/>
      <color rgb="FF595959"/>
      <name val="Tahoma"/>
      <family val="2"/>
    </font>
    <font>
      <b/>
      <sz val="10"/>
      <color rgb="FF000000"/>
      <name val="Arial"/>
      <family val="2"/>
    </font>
    <font>
      <b/>
      <sz val="11"/>
      <color rgb="FF1F497D"/>
      <name val="Calibri"/>
      <family val="2"/>
    </font>
    <font>
      <b/>
      <sz val="10"/>
      <color theme="0"/>
      <name val="Arial"/>
      <family val="2"/>
    </font>
    <font>
      <sz val="8"/>
      <color theme="4"/>
      <name val="Tahoma"/>
      <family val="2"/>
    </font>
    <font>
      <b/>
      <sz val="9"/>
      <color rgb="FF1F497D"/>
      <name val="Tahoma"/>
      <family val="2"/>
    </font>
    <font>
      <sz val="9"/>
      <color rgb="FF1F497D"/>
      <name val="Tahoma"/>
      <family val="2"/>
    </font>
    <font>
      <b/>
      <sz val="10"/>
      <color theme="1"/>
      <name val="Tahoma"/>
      <family val="2"/>
    </font>
    <font>
      <b/>
      <sz val="14"/>
      <color rgb="FF1F497D"/>
      <name val="Tahoma"/>
      <family val="2"/>
    </font>
    <font>
      <b/>
      <sz val="16"/>
      <color rgb="FF1F497D"/>
      <name val="Tahoma"/>
      <family val="2"/>
    </font>
    <font>
      <b/>
      <sz val="11"/>
      <color theme="0"/>
      <name val="Arial"/>
      <family val="2"/>
    </font>
    <font>
      <b/>
      <sz val="12"/>
      <color theme="0"/>
      <name val="Arial"/>
      <family val="2"/>
    </font>
    <font>
      <b/>
      <sz val="8"/>
      <color theme="0"/>
      <name val="Tahoma"/>
      <family val="2"/>
    </font>
    <font>
      <b/>
      <sz val="10"/>
      <color theme="0"/>
      <name val="Tahoma"/>
      <family val="2"/>
    </font>
    <font>
      <b/>
      <sz val="11"/>
      <color theme="0"/>
      <name val="Calibri"/>
      <family val="2"/>
    </font>
    <font>
      <sz val="8"/>
      <color rgb="FF4F81BD"/>
      <name val="Tahoma"/>
      <family val="2"/>
    </font>
    <font>
      <b/>
      <sz val="8"/>
      <color theme="4"/>
      <name val="Arial"/>
      <family val="2"/>
    </font>
    <font>
      <b/>
      <sz val="11"/>
      <color rgb="FF000080"/>
      <name val="Arial"/>
      <family val="2"/>
    </font>
    <font>
      <b/>
      <sz val="10"/>
      <color rgb="FF4F81BD"/>
      <name val="Arial"/>
      <family val="2"/>
    </font>
    <font>
      <i/>
      <sz val="10"/>
      <name val="Arial"/>
      <family val="2"/>
    </font>
    <font>
      <i/>
      <sz val="8"/>
      <name val="Tahoma"/>
      <family val="2"/>
    </font>
    <font>
      <sz val="11"/>
      <name val="Arial"/>
      <family val="2"/>
    </font>
    <font>
      <i/>
      <sz val="8"/>
      <name val="Arial"/>
      <family val="2"/>
    </font>
    <font>
      <sz val="1"/>
      <name val="Tahoma"/>
      <family val="2"/>
    </font>
    <font>
      <sz val="10"/>
      <color theme="0"/>
      <name val="Tahoma"/>
      <family val="2"/>
    </font>
    <font>
      <b/>
      <i/>
      <sz val="10"/>
      <color theme="1"/>
      <name val="Tahoma"/>
      <family val="2"/>
    </font>
    <font>
      <u/>
      <sz val="10"/>
      <name val="Arial"/>
      <family val="2"/>
    </font>
    <font>
      <sz val="8"/>
      <color theme="0"/>
      <name val="Tahoma"/>
      <family val="2"/>
    </font>
    <font>
      <b/>
      <u/>
      <sz val="11"/>
      <name val="Arial"/>
      <family val="2"/>
    </font>
    <font>
      <sz val="14"/>
      <color theme="0"/>
      <name val="Arial"/>
      <family val="2"/>
    </font>
    <font>
      <sz val="12"/>
      <color theme="0"/>
      <name val="Arial"/>
      <family val="2"/>
    </font>
    <font>
      <sz val="16"/>
      <color rgb="FFFF0000"/>
      <name val="Arial"/>
      <family val="2"/>
    </font>
    <font>
      <b/>
      <sz val="9.5"/>
      <name val="Arial"/>
      <family val="2"/>
    </font>
    <font>
      <sz val="9.5"/>
      <name val="Tahoma"/>
      <family val="2"/>
    </font>
    <font>
      <sz val="9.5"/>
      <name val="Arial"/>
      <family val="2"/>
    </font>
    <font>
      <b/>
      <sz val="9"/>
      <color rgb="FF595959"/>
      <name val="Tahoma"/>
      <family val="2"/>
    </font>
    <font>
      <b/>
      <sz val="8"/>
      <color rgb="FF595959"/>
      <name val="Tahoma"/>
      <family val="2"/>
    </font>
    <font>
      <b/>
      <sz val="28"/>
      <name val="Arial"/>
      <family val="2"/>
    </font>
    <font>
      <b/>
      <sz val="8"/>
      <color rgb="FFFF0000"/>
      <name val="Tahoma"/>
      <family val="2"/>
    </font>
    <font>
      <b/>
      <vertAlign val="superscript"/>
      <sz val="10"/>
      <color theme="3"/>
      <name val="Arial"/>
      <family val="2"/>
    </font>
    <font>
      <vertAlign val="superscript"/>
      <sz val="10"/>
      <name val="Arial"/>
      <family val="2"/>
    </font>
    <font>
      <sz val="11"/>
      <color theme="1"/>
      <name val="Calibri"/>
      <family val="2"/>
    </font>
    <font>
      <vertAlign val="superscript"/>
      <sz val="10"/>
      <color theme="3"/>
      <name val="Arial"/>
      <family val="2"/>
    </font>
    <font>
      <b/>
      <sz val="8"/>
      <color theme="1"/>
      <name val="Arial"/>
      <family val="2"/>
    </font>
    <font>
      <b/>
      <vertAlign val="superscript"/>
      <sz val="10"/>
      <name val="Arial"/>
      <family val="2"/>
    </font>
    <font>
      <b/>
      <vertAlign val="superscript"/>
      <sz val="11"/>
      <name val="Arial"/>
      <family val="2"/>
    </font>
    <font>
      <b/>
      <sz val="8"/>
      <color theme="3"/>
      <name val="Tahoma"/>
      <family val="2"/>
    </font>
    <font>
      <b/>
      <vertAlign val="superscript"/>
      <sz val="8"/>
      <color theme="3"/>
      <name val="Tahoma"/>
      <family val="2"/>
    </font>
    <font>
      <sz val="10"/>
      <color rgb="FF1F497D"/>
      <name val="Arial"/>
      <family val="2"/>
    </font>
    <font>
      <b/>
      <i/>
      <vertAlign val="superscript"/>
      <sz val="10"/>
      <color theme="1"/>
      <name val="Tahoma"/>
      <family val="2"/>
    </font>
    <font>
      <b/>
      <vertAlign val="superscript"/>
      <sz val="10"/>
      <color rgb="FF1F497D"/>
      <name val="Tahoma"/>
      <family val="2"/>
    </font>
    <font>
      <vertAlign val="subscript"/>
      <sz val="8"/>
      <name val="Tahoma"/>
      <family val="2"/>
    </font>
    <font>
      <sz val="10"/>
      <color rgb="FFFF0000"/>
      <name val="Tahoma"/>
      <family val="2"/>
    </font>
    <font>
      <b/>
      <vertAlign val="superscript"/>
      <sz val="8"/>
      <color rgb="FF1F497D"/>
      <name val="Tahoma"/>
      <family val="2"/>
    </font>
    <font>
      <b/>
      <sz val="7"/>
      <color rgb="FF1F497D"/>
      <name val="Tahoma"/>
      <family val="2"/>
    </font>
    <font>
      <b/>
      <sz val="11"/>
      <color rgb="FFC00000"/>
      <name val="Arial"/>
      <family val="2"/>
    </font>
    <font>
      <b/>
      <sz val="7.5"/>
      <name val="Calibri"/>
      <family val="2"/>
    </font>
    <font>
      <b/>
      <sz val="6"/>
      <name val="Calibri"/>
      <family val="2"/>
    </font>
    <font>
      <b/>
      <vertAlign val="subscript"/>
      <sz val="10"/>
      <name val="Arial"/>
      <family val="2"/>
    </font>
    <font>
      <b/>
      <sz val="8"/>
      <color rgb="FF1F497D"/>
      <name val="Calibri"/>
      <family val="2"/>
    </font>
    <font>
      <b/>
      <vertAlign val="subscript"/>
      <sz val="8"/>
      <color rgb="FF1F497D"/>
      <name val="Tahoma"/>
      <family val="2"/>
    </font>
    <font>
      <b/>
      <vertAlign val="subscript"/>
      <sz val="10"/>
      <color rgb="FF1F497D"/>
      <name val="Tahoma"/>
      <family val="2"/>
    </font>
    <font>
      <sz val="10"/>
      <color indexed="9"/>
      <name val="Calibri"/>
      <family val="2"/>
    </font>
    <font>
      <b/>
      <sz val="10"/>
      <color indexed="9"/>
      <name val="Calibri"/>
      <family val="2"/>
    </font>
    <font>
      <sz val="6"/>
      <name val="Arial"/>
      <family val="2"/>
    </font>
    <font>
      <sz val="9"/>
      <name val="Calibri"/>
      <family val="2"/>
    </font>
    <font>
      <b/>
      <sz val="10"/>
      <name val="Calibri"/>
      <family val="2"/>
    </font>
  </fonts>
  <fills count="37">
    <fill>
      <patternFill patternType="none"/>
    </fill>
    <fill>
      <patternFill patternType="gray125"/>
    </fill>
    <fill>
      <patternFill patternType="solid">
        <fgColor indexed="49"/>
        <bgColor indexed="64"/>
      </patternFill>
    </fill>
    <fill>
      <patternFill patternType="solid">
        <fgColor indexed="48"/>
        <bgColor indexed="64"/>
      </patternFill>
    </fill>
    <fill>
      <patternFill patternType="solid">
        <fgColor indexed="11"/>
        <bgColor indexed="50"/>
      </patternFill>
    </fill>
    <fill>
      <patternFill patternType="solid">
        <fgColor indexed="13"/>
        <bgColor indexed="64"/>
      </patternFill>
    </fill>
    <fill>
      <patternFill patternType="solid">
        <fgColor indexed="52"/>
        <bgColor indexed="64"/>
      </patternFill>
    </fill>
    <fill>
      <patternFill patternType="solid">
        <fgColor indexed="10"/>
        <bgColor indexed="64"/>
      </patternFill>
    </fill>
    <fill>
      <patternFill patternType="solid">
        <fgColor indexed="11"/>
        <bgColor indexed="64"/>
      </patternFill>
    </fill>
    <fill>
      <patternFill patternType="solid">
        <fgColor indexed="9"/>
        <bgColor indexed="64"/>
      </patternFill>
    </fill>
    <fill>
      <patternFill patternType="solid">
        <fgColor indexed="30"/>
        <bgColor indexed="64"/>
      </patternFill>
    </fill>
    <fill>
      <patternFill patternType="solid">
        <fgColor indexed="34"/>
        <bgColor indexed="64"/>
      </patternFill>
    </fill>
    <fill>
      <patternFill patternType="solid">
        <fgColor indexed="22"/>
        <bgColor indexed="64"/>
      </patternFill>
    </fill>
    <fill>
      <patternFill patternType="solid">
        <fgColor theme="0" tint="-0.14999847407452621"/>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0"/>
        <bgColor indexed="64"/>
      </patternFill>
    </fill>
    <fill>
      <patternFill patternType="solid">
        <fgColor rgb="FF33CCCC"/>
        <bgColor rgb="FF000000"/>
      </patternFill>
    </fill>
    <fill>
      <patternFill patternType="solid">
        <fgColor rgb="FFC0C0C0"/>
        <bgColor rgb="FF000000"/>
      </patternFill>
    </fill>
    <fill>
      <patternFill patternType="solid">
        <fgColor rgb="FFFFFF00"/>
        <bgColor rgb="FF000000"/>
      </patternFill>
    </fill>
    <fill>
      <patternFill patternType="solid">
        <fgColor rgb="FF538DD5"/>
        <bgColor rgb="FF000000"/>
      </patternFill>
    </fill>
    <fill>
      <patternFill patternType="solid">
        <fgColor rgb="FFBFBFBF"/>
        <bgColor rgb="FF000000"/>
      </patternFill>
    </fill>
    <fill>
      <patternFill patternType="solid">
        <fgColor rgb="FFD9D9D9"/>
        <bgColor rgb="FF000000"/>
      </patternFill>
    </fill>
    <fill>
      <patternFill patternType="solid">
        <fgColor rgb="FFDAEEF3"/>
        <bgColor rgb="FF000000"/>
      </patternFill>
    </fill>
    <fill>
      <patternFill patternType="solid">
        <fgColor rgb="FFFFFFFF"/>
        <bgColor rgb="FF000000"/>
      </patternFill>
    </fill>
    <fill>
      <patternFill patternType="solid">
        <fgColor rgb="FFFDE9D9"/>
        <bgColor rgb="FF000000"/>
      </patternFill>
    </fill>
    <fill>
      <patternFill patternType="solid">
        <fgColor rgb="FF538DD5"/>
        <bgColor indexed="64"/>
      </patternFill>
    </fill>
    <fill>
      <patternFill patternType="solid">
        <fgColor rgb="FFC0C0C0"/>
        <bgColor indexed="64"/>
      </patternFill>
    </fill>
    <fill>
      <patternFill patternType="solid">
        <fgColor rgb="FF0066CC"/>
        <bgColor indexed="64"/>
      </patternFill>
    </fill>
    <fill>
      <patternFill patternType="solid">
        <fgColor theme="0"/>
        <bgColor rgb="FF000000"/>
      </patternFill>
    </fill>
    <fill>
      <patternFill patternType="solid">
        <fgColor rgb="FFD9D9D9"/>
        <bgColor indexed="64"/>
      </patternFill>
    </fill>
    <fill>
      <patternFill patternType="solid">
        <fgColor theme="3" tint="0.59999389629810485"/>
        <bgColor indexed="64"/>
      </patternFill>
    </fill>
    <fill>
      <patternFill patternType="solid">
        <fgColor rgb="FFBFBFBF"/>
        <bgColor indexed="64"/>
      </patternFill>
    </fill>
    <fill>
      <patternFill patternType="solid">
        <fgColor rgb="FFDCE6F1"/>
      </patternFill>
    </fill>
  </fills>
  <borders count="257">
    <border>
      <left/>
      <right/>
      <top/>
      <bottom/>
      <diagonal/>
    </border>
    <border>
      <left style="thin">
        <color rgb="FF002060"/>
      </left>
      <right style="thin">
        <color rgb="FF002060"/>
      </right>
      <top style="medium">
        <color rgb="FF002060"/>
      </top>
      <bottom style="thin">
        <color rgb="FF002060"/>
      </bottom>
      <diagonal/>
    </border>
    <border>
      <left/>
      <right/>
      <top style="thin">
        <color rgb="FF002060"/>
      </top>
      <bottom style="thin">
        <color rgb="FF002060"/>
      </bottom>
      <diagonal/>
    </border>
    <border>
      <left style="medium">
        <color rgb="FF002060"/>
      </left>
      <right/>
      <top/>
      <bottom style="medium">
        <color rgb="FF002060"/>
      </bottom>
      <diagonal/>
    </border>
    <border>
      <left/>
      <right style="thin">
        <color rgb="FF002060"/>
      </right>
      <top/>
      <bottom style="medium">
        <color rgb="FF002060"/>
      </bottom>
      <diagonal/>
    </border>
    <border>
      <left style="thin">
        <color rgb="FF002060"/>
      </left>
      <right/>
      <top/>
      <bottom style="medium">
        <color rgb="FF002060"/>
      </bottom>
      <diagonal/>
    </border>
    <border>
      <left/>
      <right style="medium">
        <color rgb="FF002060"/>
      </right>
      <top/>
      <bottom style="medium">
        <color rgb="FF002060"/>
      </bottom>
      <diagonal/>
    </border>
    <border>
      <left style="medium">
        <color rgb="FF002060"/>
      </left>
      <right/>
      <top style="medium">
        <color rgb="FF002060"/>
      </top>
      <bottom/>
      <diagonal/>
    </border>
    <border>
      <left/>
      <right/>
      <top style="medium">
        <color rgb="FF002060"/>
      </top>
      <bottom/>
      <diagonal/>
    </border>
    <border>
      <left/>
      <right style="medium">
        <color rgb="FF002060"/>
      </right>
      <top style="medium">
        <color rgb="FF002060"/>
      </top>
      <bottom/>
      <diagonal/>
    </border>
    <border>
      <left/>
      <right/>
      <top/>
      <bottom style="medium">
        <color rgb="FF002060"/>
      </bottom>
      <diagonal/>
    </border>
    <border>
      <left/>
      <right style="medium">
        <color rgb="FF002060"/>
      </right>
      <top/>
      <bottom/>
      <diagonal/>
    </border>
    <border>
      <left style="medium">
        <color rgb="FF002060"/>
      </left>
      <right/>
      <top/>
      <bottom/>
      <diagonal/>
    </border>
    <border>
      <left/>
      <right/>
      <top style="thin">
        <color rgb="FF002060"/>
      </top>
      <bottom style="medium">
        <color rgb="FF002060"/>
      </bottom>
      <diagonal/>
    </border>
    <border>
      <left/>
      <right style="medium">
        <color auto="1"/>
      </right>
      <top style="thin">
        <color theme="4"/>
      </top>
      <bottom style="medium">
        <color auto="1"/>
      </bottom>
      <diagonal/>
    </border>
    <border>
      <left/>
      <right/>
      <top style="thin">
        <color theme="4"/>
      </top>
      <bottom style="medium">
        <color auto="1"/>
      </bottom>
      <diagonal/>
    </border>
    <border>
      <left style="medium">
        <color auto="1"/>
      </left>
      <right/>
      <top style="thin">
        <color theme="4"/>
      </top>
      <bottom style="medium">
        <color auto="1"/>
      </bottom>
      <diagonal/>
    </border>
    <border>
      <left/>
      <right style="medium">
        <color auto="1"/>
      </right>
      <top style="thin">
        <color theme="4"/>
      </top>
      <bottom style="thin">
        <color theme="4"/>
      </bottom>
      <diagonal/>
    </border>
    <border>
      <left/>
      <right/>
      <top style="thin">
        <color theme="4"/>
      </top>
      <bottom style="thin">
        <color theme="4"/>
      </bottom>
      <diagonal/>
    </border>
    <border>
      <left style="medium">
        <color auto="1"/>
      </left>
      <right/>
      <top style="thin">
        <color theme="4"/>
      </top>
      <bottom style="thin">
        <color theme="4"/>
      </bottom>
      <diagonal/>
    </border>
    <border>
      <left/>
      <right style="medium">
        <color auto="1"/>
      </right>
      <top/>
      <bottom style="medium">
        <color auto="1"/>
      </bottom>
      <diagonal/>
    </border>
    <border>
      <left style="medium">
        <color auto="1"/>
      </left>
      <right/>
      <top/>
      <bottom style="medium">
        <color auto="1"/>
      </bottom>
      <diagonal/>
    </border>
    <border>
      <left/>
      <right style="medium">
        <color auto="1"/>
      </right>
      <top style="medium">
        <color auto="1"/>
      </top>
      <bottom style="thin">
        <color theme="4"/>
      </bottom>
      <diagonal/>
    </border>
    <border>
      <left/>
      <right/>
      <top style="medium">
        <color auto="1"/>
      </top>
      <bottom style="thin">
        <color theme="4"/>
      </bottom>
      <diagonal/>
    </border>
    <border>
      <left style="medium">
        <color auto="1"/>
      </left>
      <right/>
      <top style="medium">
        <color auto="1"/>
      </top>
      <bottom style="thin">
        <color theme="4"/>
      </bottom>
      <diagonal/>
    </border>
    <border>
      <left/>
      <right/>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diagonal/>
    </border>
    <border>
      <left/>
      <right/>
      <top style="medium">
        <color auto="1"/>
      </top>
      <bottom/>
      <diagonal/>
    </border>
    <border>
      <left style="medium">
        <color auto="1"/>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style="medium">
        <color auto="1"/>
      </left>
      <right/>
      <top style="medium">
        <color auto="1"/>
      </top>
      <bottom style="thin">
        <color rgb="FF002060"/>
      </bottom>
      <diagonal/>
    </border>
    <border>
      <left/>
      <right/>
      <top style="medium">
        <color auto="1"/>
      </top>
      <bottom style="thin">
        <color rgb="FF002060"/>
      </bottom>
      <diagonal/>
    </border>
    <border>
      <left/>
      <right style="thick">
        <color indexed="64"/>
      </right>
      <top style="medium">
        <color auto="1"/>
      </top>
      <bottom style="thin">
        <color rgb="FF002060"/>
      </bottom>
      <diagonal/>
    </border>
    <border>
      <left/>
      <right style="thick">
        <color indexed="64"/>
      </right>
      <top/>
      <bottom style="medium">
        <color auto="1"/>
      </bottom>
      <diagonal/>
    </border>
    <border>
      <left/>
      <right style="medium">
        <color auto="1"/>
      </right>
      <top style="thin">
        <color indexed="24"/>
      </top>
      <bottom style="medium">
        <color auto="1"/>
      </bottom>
      <diagonal/>
    </border>
    <border>
      <left/>
      <right/>
      <top style="thin">
        <color indexed="24"/>
      </top>
      <bottom style="medium">
        <color auto="1"/>
      </bottom>
      <diagonal/>
    </border>
    <border>
      <left style="medium">
        <color auto="1"/>
      </left>
      <right/>
      <top style="thin">
        <color indexed="24"/>
      </top>
      <bottom style="medium">
        <color auto="1"/>
      </bottom>
      <diagonal/>
    </border>
    <border>
      <left style="medium">
        <color auto="1"/>
      </left>
      <right style="medium">
        <color auto="1"/>
      </right>
      <top style="thin">
        <color indexed="24"/>
      </top>
      <bottom style="medium">
        <color auto="1"/>
      </bottom>
      <diagonal/>
    </border>
    <border>
      <left/>
      <right style="medium">
        <color auto="1"/>
      </right>
      <top/>
      <bottom style="thin">
        <color indexed="24"/>
      </bottom>
      <diagonal/>
    </border>
    <border>
      <left/>
      <right/>
      <top/>
      <bottom style="thin">
        <color indexed="24"/>
      </bottom>
      <diagonal/>
    </border>
    <border>
      <left style="medium">
        <color auto="1"/>
      </left>
      <right/>
      <top/>
      <bottom style="thin">
        <color indexed="24"/>
      </bottom>
      <diagonal/>
    </border>
    <border>
      <left/>
      <right style="medium">
        <color auto="1"/>
      </right>
      <top style="thin">
        <color indexed="24"/>
      </top>
      <bottom style="thin">
        <color indexed="24"/>
      </bottom>
      <diagonal/>
    </border>
    <border>
      <left/>
      <right/>
      <top style="thin">
        <color indexed="24"/>
      </top>
      <bottom style="thin">
        <color indexed="24"/>
      </bottom>
      <diagonal/>
    </border>
    <border>
      <left style="medium">
        <color auto="1"/>
      </left>
      <right/>
      <top style="thin">
        <color indexed="24"/>
      </top>
      <bottom style="thin">
        <color indexed="24"/>
      </bottom>
      <diagonal/>
    </border>
    <border>
      <left style="medium">
        <color auto="1"/>
      </left>
      <right style="medium">
        <color auto="1"/>
      </right>
      <top style="thin">
        <color indexed="24"/>
      </top>
      <bottom style="thin">
        <color indexed="24"/>
      </bottom>
      <diagonal/>
    </border>
    <border>
      <left/>
      <right style="medium">
        <color auto="1"/>
      </right>
      <top style="thin">
        <color auto="1"/>
      </top>
      <bottom style="thin">
        <color indexed="24"/>
      </bottom>
      <diagonal/>
    </border>
    <border>
      <left/>
      <right/>
      <top style="thin">
        <color auto="1"/>
      </top>
      <bottom style="thin">
        <color indexed="24"/>
      </bottom>
      <diagonal/>
    </border>
    <border>
      <left style="medium">
        <color auto="1"/>
      </left>
      <right/>
      <top style="thin">
        <color auto="1"/>
      </top>
      <bottom style="thin">
        <color indexed="24"/>
      </bottom>
      <diagonal/>
    </border>
    <border>
      <left style="medium">
        <color auto="1"/>
      </left>
      <right style="medium">
        <color auto="1"/>
      </right>
      <top/>
      <bottom style="thin">
        <color indexed="24"/>
      </bottom>
      <diagonal/>
    </border>
    <border>
      <left/>
      <right style="medium">
        <color auto="1"/>
      </right>
      <top style="medium">
        <color indexed="40"/>
      </top>
      <bottom style="thin">
        <color auto="1"/>
      </bottom>
      <diagonal/>
    </border>
    <border>
      <left/>
      <right/>
      <top style="medium">
        <color indexed="40"/>
      </top>
      <bottom style="thin">
        <color auto="1"/>
      </bottom>
      <diagonal/>
    </border>
    <border>
      <left style="medium">
        <color auto="1"/>
      </left>
      <right/>
      <top style="medium">
        <color indexed="40"/>
      </top>
      <bottom style="thin">
        <color auto="1"/>
      </bottom>
      <diagonal/>
    </border>
    <border>
      <left style="medium">
        <color auto="1"/>
      </left>
      <right style="medium">
        <color auto="1"/>
      </right>
      <top/>
      <bottom style="thin">
        <color auto="1"/>
      </bottom>
      <diagonal/>
    </border>
    <border>
      <left/>
      <right style="medium">
        <color auto="1"/>
      </right>
      <top style="thin">
        <color auto="1"/>
      </top>
      <bottom style="medium">
        <color indexed="40"/>
      </bottom>
      <diagonal/>
    </border>
    <border>
      <left/>
      <right/>
      <top style="thin">
        <color auto="1"/>
      </top>
      <bottom style="medium">
        <color indexed="40"/>
      </bottom>
      <diagonal/>
    </border>
    <border>
      <left style="medium">
        <color auto="1"/>
      </left>
      <right/>
      <top style="thin">
        <color auto="1"/>
      </top>
      <bottom style="medium">
        <color indexed="40"/>
      </bottom>
      <diagonal/>
    </border>
    <border>
      <left style="medium">
        <color auto="1"/>
      </left>
      <right style="medium">
        <color auto="1"/>
      </right>
      <top/>
      <bottom/>
      <diagonal/>
    </border>
    <border>
      <left style="medium">
        <color indexed="40"/>
      </left>
      <right style="medium">
        <color auto="1"/>
      </right>
      <top style="medium">
        <color auto="1"/>
      </top>
      <bottom/>
      <diagonal/>
    </border>
    <border>
      <left style="medium">
        <color indexed="40"/>
      </left>
      <right style="medium">
        <color indexed="40"/>
      </right>
      <top style="medium">
        <color auto="1"/>
      </top>
      <bottom/>
      <diagonal/>
    </border>
    <border>
      <left/>
      <right style="medium">
        <color indexed="40"/>
      </right>
      <top style="medium">
        <color auto="1"/>
      </top>
      <bottom/>
      <diagonal/>
    </border>
    <border>
      <left style="medium">
        <color indexed="40"/>
      </left>
      <right style="medium">
        <color auto="1"/>
      </right>
      <top style="medium">
        <color auto="1"/>
      </top>
      <bottom style="thin">
        <color auto="1"/>
      </bottom>
      <diagonal/>
    </border>
    <border>
      <left style="medium">
        <color indexed="40"/>
      </left>
      <right style="medium">
        <color indexed="40"/>
      </right>
      <top style="medium">
        <color auto="1"/>
      </top>
      <bottom style="thin">
        <color auto="1"/>
      </bottom>
      <diagonal/>
    </border>
    <border>
      <left style="medium">
        <color auto="1"/>
      </left>
      <right style="medium">
        <color indexed="40"/>
      </right>
      <top style="medium">
        <color auto="1"/>
      </top>
      <bottom style="thin">
        <color auto="1"/>
      </bottom>
      <diagonal/>
    </border>
    <border>
      <left/>
      <right/>
      <top/>
      <bottom style="medium">
        <color indexed="64"/>
      </bottom>
      <diagonal/>
    </border>
    <border>
      <left/>
      <right style="medium">
        <color auto="1"/>
      </right>
      <top style="thin">
        <color indexed="24"/>
      </top>
      <bottom style="thin">
        <color indexed="24"/>
      </bottom>
      <diagonal/>
    </border>
    <border>
      <left/>
      <right style="medium">
        <color auto="1"/>
      </right>
      <top style="thin">
        <color indexed="24"/>
      </top>
      <bottom style="medium">
        <color auto="1"/>
      </bottom>
      <diagonal/>
    </border>
    <border>
      <left style="medium">
        <color auto="1"/>
      </left>
      <right/>
      <top style="thin">
        <color auto="1"/>
      </top>
      <bottom style="thin">
        <color theme="4"/>
      </bottom>
      <diagonal/>
    </border>
    <border>
      <left/>
      <right/>
      <top style="thin">
        <color auto="1"/>
      </top>
      <bottom style="thin">
        <color theme="4"/>
      </bottom>
      <diagonal/>
    </border>
    <border>
      <left/>
      <right style="medium">
        <color indexed="64"/>
      </right>
      <top style="thin">
        <color auto="1"/>
      </top>
      <bottom style="thin">
        <color theme="4"/>
      </bottom>
      <diagonal/>
    </border>
    <border>
      <left/>
      <right/>
      <top style="medium">
        <color rgb="FF002060"/>
      </top>
      <bottom style="medium">
        <color rgb="FF002060"/>
      </bottom>
      <diagonal/>
    </border>
    <border>
      <left/>
      <right/>
      <top style="medium">
        <color rgb="FF002060"/>
      </top>
      <bottom style="thin">
        <color rgb="FF002060"/>
      </bottom>
      <diagonal/>
    </border>
    <border>
      <left style="medium">
        <color auto="1"/>
      </left>
      <right style="medium">
        <color auto="1"/>
      </right>
      <top style="thin">
        <color indexed="24"/>
      </top>
      <bottom style="medium">
        <color auto="1"/>
      </bottom>
      <diagonal/>
    </border>
    <border>
      <left/>
      <right/>
      <top/>
      <bottom style="thin">
        <color auto="1"/>
      </bottom>
      <diagonal/>
    </border>
    <border>
      <left/>
      <right/>
      <top style="thin">
        <color auto="1"/>
      </top>
      <bottom/>
      <diagonal/>
    </border>
    <border>
      <left/>
      <right/>
      <top style="thin">
        <color auto="1"/>
      </top>
      <bottom style="thin">
        <color indexed="64"/>
      </bottom>
      <diagonal/>
    </border>
    <border>
      <left/>
      <right/>
      <top/>
      <bottom style="thin">
        <color rgb="FF1F497D"/>
      </bottom>
      <diagonal/>
    </border>
    <border>
      <left/>
      <right/>
      <top style="thin">
        <color rgb="FF1F497D"/>
      </top>
      <bottom style="thin">
        <color rgb="FF1F497D"/>
      </bottom>
      <diagonal/>
    </border>
    <border>
      <left/>
      <right/>
      <top style="thin">
        <color rgb="FF1F497D"/>
      </top>
      <bottom style="medium">
        <color auto="1"/>
      </bottom>
      <diagonal/>
    </border>
    <border>
      <left style="medium">
        <color rgb="FF002060"/>
      </left>
      <right/>
      <top style="medium">
        <color rgb="FF002060"/>
      </top>
      <bottom style="thin">
        <color indexed="64"/>
      </bottom>
      <diagonal/>
    </border>
    <border>
      <left style="medium">
        <color rgb="FF002060"/>
      </left>
      <right/>
      <top style="thin">
        <color auto="1"/>
      </top>
      <bottom style="medium">
        <color rgb="FF002060"/>
      </bottom>
      <diagonal/>
    </border>
    <border>
      <left style="medium">
        <color rgb="FF002060"/>
      </left>
      <right/>
      <top/>
      <bottom style="thin">
        <color indexed="64"/>
      </bottom>
      <diagonal/>
    </border>
    <border>
      <left/>
      <right style="medium">
        <color rgb="FF002060"/>
      </right>
      <top/>
      <bottom style="thin">
        <color indexed="64"/>
      </bottom>
      <diagonal/>
    </border>
    <border>
      <left style="medium">
        <color rgb="FF002060"/>
      </left>
      <right/>
      <top style="thin">
        <color auto="1"/>
      </top>
      <bottom style="thin">
        <color indexed="64"/>
      </bottom>
      <diagonal/>
    </border>
    <border>
      <left/>
      <right style="medium">
        <color rgb="FF002060"/>
      </right>
      <top style="thin">
        <color auto="1"/>
      </top>
      <bottom style="thin">
        <color indexed="64"/>
      </bottom>
      <diagonal/>
    </border>
    <border>
      <left/>
      <right/>
      <top style="thin">
        <color auto="1"/>
      </top>
      <bottom style="medium">
        <color rgb="FF002060"/>
      </bottom>
      <diagonal/>
    </border>
    <border>
      <left/>
      <right style="medium">
        <color rgb="FF002060"/>
      </right>
      <top style="thin">
        <color auto="1"/>
      </top>
      <bottom style="medium">
        <color rgb="FF002060"/>
      </bottom>
      <diagonal/>
    </border>
    <border>
      <left style="medium">
        <color rgb="FF002060"/>
      </left>
      <right style="medium">
        <color rgb="FF002060"/>
      </right>
      <top style="medium">
        <color rgb="FF002060"/>
      </top>
      <bottom/>
      <diagonal/>
    </border>
    <border>
      <left/>
      <right/>
      <top style="medium">
        <color rgb="FF002060"/>
      </top>
      <bottom style="thin">
        <color indexed="64"/>
      </bottom>
      <diagonal/>
    </border>
    <border>
      <left/>
      <right style="medium">
        <color rgb="FF002060"/>
      </right>
      <top style="medium">
        <color rgb="FF002060"/>
      </top>
      <bottom style="thin">
        <color indexed="64"/>
      </bottom>
      <diagonal/>
    </border>
    <border>
      <left style="medium">
        <color rgb="FF002060"/>
      </left>
      <right style="medium">
        <color rgb="FF002060"/>
      </right>
      <top/>
      <bottom style="medium">
        <color rgb="FF002060"/>
      </bottom>
      <diagonal/>
    </border>
    <border>
      <left style="medium">
        <color rgb="FF002060"/>
      </left>
      <right style="medium">
        <color rgb="FF002060"/>
      </right>
      <top style="medium">
        <color rgb="FF002060"/>
      </top>
      <bottom style="thin">
        <color indexed="64"/>
      </bottom>
      <diagonal/>
    </border>
    <border>
      <left style="medium">
        <color rgb="FF002060"/>
      </left>
      <right style="medium">
        <color rgb="FF002060"/>
      </right>
      <top style="thin">
        <color indexed="64"/>
      </top>
      <bottom style="thin">
        <color indexed="64"/>
      </bottom>
      <diagonal/>
    </border>
    <border>
      <left style="medium">
        <color rgb="FF002060"/>
      </left>
      <right style="medium">
        <color rgb="FF002060"/>
      </right>
      <top style="thin">
        <color indexed="64"/>
      </top>
      <bottom style="medium">
        <color rgb="FF002060"/>
      </bottom>
      <diagonal/>
    </border>
    <border>
      <left style="medium">
        <color rgb="FF002060"/>
      </left>
      <right style="medium">
        <color rgb="FF002060"/>
      </right>
      <top style="medium">
        <color rgb="FF002060"/>
      </top>
      <bottom style="thin">
        <color rgb="FF000000"/>
      </bottom>
      <diagonal/>
    </border>
    <border>
      <left style="medium">
        <color rgb="FF002060"/>
      </left>
      <right/>
      <top style="medium">
        <color rgb="FF002060"/>
      </top>
      <bottom style="thin">
        <color rgb="FF000000"/>
      </bottom>
      <diagonal/>
    </border>
    <border>
      <left/>
      <right/>
      <top style="medium">
        <color rgb="FF002060"/>
      </top>
      <bottom style="thin">
        <color rgb="FF000000"/>
      </bottom>
      <diagonal/>
    </border>
    <border>
      <left/>
      <right style="medium">
        <color rgb="FF002060"/>
      </right>
      <top style="medium">
        <color rgb="FF002060"/>
      </top>
      <bottom style="thin">
        <color rgb="FF000000"/>
      </bottom>
      <diagonal/>
    </border>
    <border>
      <left style="medium">
        <color rgb="FF002060"/>
      </left>
      <right style="medium">
        <color rgb="FF002060"/>
      </right>
      <top style="thin">
        <color rgb="FF000000"/>
      </top>
      <bottom style="thin">
        <color rgb="FF000000"/>
      </bottom>
      <diagonal/>
    </border>
    <border>
      <left style="medium">
        <color rgb="FF002060"/>
      </left>
      <right/>
      <top style="thin">
        <color rgb="FF000000"/>
      </top>
      <bottom style="thin">
        <color rgb="FF000000"/>
      </bottom>
      <diagonal/>
    </border>
    <border>
      <left/>
      <right/>
      <top style="thin">
        <color rgb="FF000000"/>
      </top>
      <bottom style="thin">
        <color rgb="FF000000"/>
      </bottom>
      <diagonal/>
    </border>
    <border>
      <left/>
      <right style="medium">
        <color rgb="FF002060"/>
      </right>
      <top style="thin">
        <color rgb="FF000000"/>
      </top>
      <bottom style="thin">
        <color rgb="FF000000"/>
      </bottom>
      <diagonal/>
    </border>
    <border>
      <left style="medium">
        <color rgb="FF002060"/>
      </left>
      <right style="medium">
        <color rgb="FF002060"/>
      </right>
      <top style="thin">
        <color rgb="FF000000"/>
      </top>
      <bottom style="medium">
        <color rgb="FF002060"/>
      </bottom>
      <diagonal/>
    </border>
    <border>
      <left style="medium">
        <color rgb="FF002060"/>
      </left>
      <right/>
      <top style="thin">
        <color rgb="FF000000"/>
      </top>
      <bottom style="medium">
        <color rgb="FF002060"/>
      </bottom>
      <diagonal/>
    </border>
    <border>
      <left/>
      <right/>
      <top style="thin">
        <color rgb="FF000000"/>
      </top>
      <bottom style="medium">
        <color rgb="FF002060"/>
      </bottom>
      <diagonal/>
    </border>
    <border>
      <left/>
      <right style="medium">
        <color rgb="FF002060"/>
      </right>
      <top style="thin">
        <color rgb="FF000000"/>
      </top>
      <bottom style="medium">
        <color rgb="FF002060"/>
      </bottom>
      <diagonal/>
    </border>
    <border>
      <left style="medium">
        <color auto="1"/>
      </left>
      <right style="medium">
        <color auto="1"/>
      </right>
      <top style="thin">
        <color indexed="24"/>
      </top>
      <bottom style="medium">
        <color auto="1"/>
      </bottom>
      <diagonal/>
    </border>
    <border>
      <left/>
      <right/>
      <top style="medium">
        <color indexed="18"/>
      </top>
      <bottom/>
      <diagonal/>
    </border>
    <border>
      <left/>
      <right/>
      <top/>
      <bottom style="medium">
        <color indexed="18"/>
      </bottom>
      <diagonal/>
    </border>
    <border>
      <left/>
      <right/>
      <top style="medium">
        <color indexed="18"/>
      </top>
      <bottom style="thin">
        <color indexed="64"/>
      </bottom>
      <diagonal/>
    </border>
    <border>
      <left/>
      <right/>
      <top style="thick">
        <color indexed="32"/>
      </top>
      <bottom style="thick">
        <color indexed="32"/>
      </bottom>
      <diagonal/>
    </border>
    <border>
      <left/>
      <right/>
      <top style="thin">
        <color indexed="32"/>
      </top>
      <bottom style="thin">
        <color indexed="32"/>
      </bottom>
      <diagonal/>
    </border>
    <border>
      <left/>
      <right/>
      <top style="thin">
        <color indexed="64"/>
      </top>
      <bottom style="thin">
        <color indexed="64"/>
      </bottom>
      <diagonal/>
    </border>
    <border>
      <left/>
      <right/>
      <top style="thin">
        <color indexed="32"/>
      </top>
      <bottom style="medium">
        <color indexed="18"/>
      </bottom>
      <diagonal/>
    </border>
    <border>
      <left/>
      <right/>
      <top/>
      <bottom style="thin">
        <color indexed="32"/>
      </bottom>
      <diagonal/>
    </border>
    <border>
      <left/>
      <right/>
      <top/>
      <bottom style="thin">
        <color rgb="FF002060"/>
      </bottom>
      <diagonal/>
    </border>
    <border>
      <left/>
      <right/>
      <top style="medium">
        <color theme="3"/>
      </top>
      <bottom/>
      <diagonal/>
    </border>
    <border>
      <left/>
      <right/>
      <top style="medium">
        <color indexed="32"/>
      </top>
      <bottom style="thin">
        <color indexed="64"/>
      </bottom>
      <diagonal/>
    </border>
    <border>
      <left/>
      <right/>
      <top style="thick">
        <color indexed="32"/>
      </top>
      <bottom style="medium">
        <color indexed="32"/>
      </bottom>
      <diagonal/>
    </border>
    <border>
      <left/>
      <right/>
      <top style="thin">
        <color indexed="32"/>
      </top>
      <bottom style="medium">
        <color indexed="32"/>
      </bottom>
      <diagonal/>
    </border>
    <border>
      <left/>
      <right/>
      <top style="thin">
        <color indexed="64"/>
      </top>
      <bottom style="medium">
        <color indexed="32"/>
      </bottom>
      <diagonal/>
    </border>
    <border>
      <left/>
      <right/>
      <top/>
      <bottom style="thin">
        <color indexed="64"/>
      </bottom>
      <diagonal/>
    </border>
    <border>
      <left/>
      <right/>
      <top style="thin">
        <color indexed="32"/>
      </top>
      <bottom/>
      <diagonal/>
    </border>
    <border>
      <left/>
      <right/>
      <top style="thin">
        <color indexed="64"/>
      </top>
      <bottom/>
      <diagonal/>
    </border>
    <border>
      <left/>
      <right/>
      <top style="medium">
        <color indexed="32"/>
      </top>
      <bottom style="thick">
        <color indexed="32"/>
      </bottom>
      <diagonal/>
    </border>
    <border>
      <left/>
      <right/>
      <top style="medium">
        <color indexed="32"/>
      </top>
      <bottom style="thin">
        <color indexed="32"/>
      </bottom>
      <diagonal/>
    </border>
    <border>
      <left/>
      <right/>
      <top/>
      <bottom style="medium">
        <color indexed="32"/>
      </bottom>
      <diagonal/>
    </border>
    <border>
      <left/>
      <right/>
      <top/>
      <bottom style="medium">
        <color theme="3"/>
      </bottom>
      <diagonal/>
    </border>
    <border>
      <left/>
      <right/>
      <top style="medium">
        <color indexed="62"/>
      </top>
      <bottom/>
      <diagonal/>
    </border>
    <border>
      <left/>
      <right/>
      <top/>
      <bottom style="medium">
        <color indexed="62"/>
      </bottom>
      <diagonal/>
    </border>
    <border>
      <left/>
      <right/>
      <top style="medium">
        <color indexed="62"/>
      </top>
      <bottom style="thin">
        <color indexed="62"/>
      </bottom>
      <diagonal/>
    </border>
    <border>
      <left/>
      <right/>
      <top style="thin">
        <color indexed="62"/>
      </top>
      <bottom style="thin">
        <color indexed="62"/>
      </bottom>
      <diagonal/>
    </border>
    <border>
      <left/>
      <right/>
      <top style="thin">
        <color indexed="62"/>
      </top>
      <bottom style="medium">
        <color indexed="62"/>
      </bottom>
      <diagonal/>
    </border>
    <border>
      <left/>
      <right/>
      <top style="medium">
        <color indexed="18"/>
      </top>
      <bottom style="medium">
        <color indexed="18"/>
      </bottom>
      <diagonal/>
    </border>
    <border>
      <left/>
      <right/>
      <top style="thin">
        <color indexed="18"/>
      </top>
      <bottom style="thin">
        <color indexed="18"/>
      </bottom>
      <diagonal/>
    </border>
    <border>
      <left/>
      <right/>
      <top style="thin">
        <color indexed="18"/>
      </top>
      <bottom style="medium">
        <color indexed="18"/>
      </bottom>
      <diagonal/>
    </border>
    <border>
      <left/>
      <right/>
      <top/>
      <bottom style="thin">
        <color indexed="18"/>
      </bottom>
      <diagonal/>
    </border>
    <border>
      <left/>
      <right/>
      <top style="thin">
        <color indexed="64"/>
      </top>
      <bottom style="medium">
        <color indexed="62"/>
      </bottom>
      <diagonal/>
    </border>
    <border>
      <left/>
      <right/>
      <top style="medium">
        <color rgb="FF1F497D"/>
      </top>
      <bottom style="medium">
        <color rgb="FF1F497D"/>
      </bottom>
      <diagonal/>
    </border>
    <border>
      <left/>
      <right/>
      <top style="medium">
        <color rgb="FF1F497D"/>
      </top>
      <bottom style="thin">
        <color indexed="64"/>
      </bottom>
      <diagonal/>
    </border>
    <border>
      <left/>
      <right/>
      <top/>
      <bottom style="medium">
        <color rgb="FF1F497D"/>
      </bottom>
      <diagonal/>
    </border>
    <border>
      <left/>
      <right/>
      <top style="thin">
        <color indexed="64"/>
      </top>
      <bottom style="medium">
        <color rgb="FF1F497D"/>
      </bottom>
      <diagonal/>
    </border>
    <border>
      <left/>
      <right style="thin">
        <color rgb="FF002060"/>
      </right>
      <top style="medium">
        <color rgb="FF002060"/>
      </top>
      <bottom style="thin">
        <color rgb="FF002060"/>
      </bottom>
      <diagonal/>
    </border>
    <border>
      <left style="thin">
        <color rgb="FF002060"/>
      </left>
      <right/>
      <top style="medium">
        <color rgb="FF002060"/>
      </top>
      <bottom style="thin">
        <color rgb="FF002060"/>
      </bottom>
      <diagonal/>
    </border>
    <border>
      <left/>
      <right/>
      <top style="medium">
        <color rgb="FF1F497D"/>
      </top>
      <bottom/>
      <diagonal/>
    </border>
    <border>
      <left style="medium">
        <color rgb="FF1F497D"/>
      </left>
      <right/>
      <top style="medium">
        <color rgb="FF1F497D"/>
      </top>
      <bottom/>
      <diagonal/>
    </border>
    <border>
      <left style="medium">
        <color rgb="FF1F497D"/>
      </left>
      <right/>
      <top/>
      <bottom style="medium">
        <color indexed="18"/>
      </bottom>
      <diagonal/>
    </border>
    <border>
      <left style="medium">
        <color rgb="FF1F497D"/>
      </left>
      <right/>
      <top style="medium">
        <color indexed="18"/>
      </top>
      <bottom/>
      <diagonal/>
    </border>
    <border>
      <left style="medium">
        <color rgb="FF1F497D"/>
      </left>
      <right/>
      <top/>
      <bottom style="thin">
        <color indexed="32"/>
      </bottom>
      <diagonal/>
    </border>
    <border>
      <left/>
      <right style="medium">
        <color rgb="FF1F497D"/>
      </right>
      <top style="medium">
        <color rgb="FF1F497D"/>
      </top>
      <bottom/>
      <diagonal/>
    </border>
    <border>
      <left/>
      <right style="medium">
        <color rgb="FF1F497D"/>
      </right>
      <top/>
      <bottom style="medium">
        <color indexed="18"/>
      </bottom>
      <diagonal/>
    </border>
    <border>
      <left/>
      <right style="medium">
        <color rgb="FF1F497D"/>
      </right>
      <top/>
      <bottom style="medium">
        <color rgb="FF1F497D"/>
      </bottom>
      <diagonal/>
    </border>
    <border>
      <left style="medium">
        <color rgb="FF1F497D"/>
      </left>
      <right/>
      <top/>
      <bottom style="thin">
        <color indexed="64"/>
      </bottom>
      <diagonal/>
    </border>
    <border>
      <left/>
      <right/>
      <top style="medium">
        <color rgb="FF1F497D"/>
      </top>
      <bottom style="thin">
        <color rgb="FF1F497D"/>
      </bottom>
      <diagonal/>
    </border>
    <border>
      <left/>
      <right/>
      <top/>
      <bottom style="thin">
        <color indexed="62"/>
      </bottom>
      <diagonal/>
    </border>
    <border>
      <left style="medium">
        <color auto="1"/>
      </left>
      <right/>
      <top style="thin">
        <color theme="4"/>
      </top>
      <bottom/>
      <diagonal/>
    </border>
    <border>
      <left/>
      <right/>
      <top style="thin">
        <color theme="4"/>
      </top>
      <bottom/>
      <diagonal/>
    </border>
    <border>
      <left/>
      <right style="medium">
        <color auto="1"/>
      </right>
      <top style="thin">
        <color theme="4"/>
      </top>
      <bottom/>
      <diagonal/>
    </border>
    <border>
      <left/>
      <right style="medium">
        <color auto="1"/>
      </right>
      <top style="thin">
        <color indexed="64"/>
      </top>
      <bottom/>
      <diagonal/>
    </border>
    <border>
      <left/>
      <right/>
      <top/>
      <bottom style="medium">
        <color auto="1"/>
      </bottom>
      <diagonal/>
    </border>
    <border>
      <left style="medium">
        <color auto="1"/>
      </left>
      <right/>
      <top style="medium">
        <color auto="1"/>
      </top>
      <bottom style="thin">
        <color indexed="64"/>
      </bottom>
      <diagonal/>
    </border>
    <border>
      <left/>
      <right style="medium">
        <color auto="1"/>
      </right>
      <top style="medium">
        <color auto="1"/>
      </top>
      <bottom style="thin">
        <color indexed="64"/>
      </bottom>
      <diagonal/>
    </border>
    <border>
      <left style="medium">
        <color auto="1"/>
      </left>
      <right style="thin">
        <color indexed="64"/>
      </right>
      <top style="thin">
        <color indexed="64"/>
      </top>
      <bottom/>
      <diagonal/>
    </border>
    <border>
      <left style="medium">
        <color auto="1"/>
      </left>
      <right style="thin">
        <color indexed="64"/>
      </right>
      <top/>
      <bottom style="thin">
        <color indexed="64"/>
      </bottom>
      <diagonal/>
    </border>
    <border>
      <left/>
      <right style="medium">
        <color auto="1"/>
      </right>
      <top/>
      <bottom style="thin">
        <color indexed="64"/>
      </bottom>
      <diagonal/>
    </border>
    <border>
      <left style="medium">
        <color auto="1"/>
      </left>
      <right style="thin">
        <color indexed="64"/>
      </right>
      <top style="thin">
        <color indexed="64"/>
      </top>
      <bottom style="thin">
        <color rgb="FF0066FF"/>
      </bottom>
      <diagonal/>
    </border>
    <border>
      <left style="medium">
        <color auto="1"/>
      </left>
      <right style="thin">
        <color indexed="64"/>
      </right>
      <top style="thin">
        <color rgb="FF0066FF"/>
      </top>
      <bottom style="thin">
        <color rgb="FF0066FF"/>
      </bottom>
      <diagonal/>
    </border>
    <border>
      <left style="medium">
        <color auto="1"/>
      </left>
      <right style="thin">
        <color indexed="64"/>
      </right>
      <top style="thin">
        <color rgb="FF0066FF"/>
      </top>
      <bottom style="medium">
        <color indexed="64"/>
      </bottom>
      <diagonal/>
    </border>
    <border>
      <left style="medium">
        <color indexed="64"/>
      </left>
      <right style="medium">
        <color indexed="64"/>
      </right>
      <top style="medium">
        <color indexed="64"/>
      </top>
      <bottom/>
      <diagonal/>
    </border>
    <border>
      <left style="medium">
        <color indexed="64"/>
      </left>
      <right style="medium">
        <color auto="1"/>
      </right>
      <top/>
      <bottom style="thin">
        <color indexed="64"/>
      </bottom>
      <diagonal/>
    </border>
    <border>
      <left style="medium">
        <color auto="1"/>
      </left>
      <right style="medium">
        <color auto="1"/>
      </right>
      <top style="thin">
        <color indexed="64"/>
      </top>
      <bottom style="thin">
        <color rgb="FF0066FF"/>
      </bottom>
      <diagonal/>
    </border>
    <border>
      <left style="medium">
        <color auto="1"/>
      </left>
      <right style="medium">
        <color auto="1"/>
      </right>
      <top style="thin">
        <color rgb="FF0066FF"/>
      </top>
      <bottom style="thin">
        <color rgb="FF0066FF"/>
      </bottom>
      <diagonal/>
    </border>
    <border>
      <left style="medium">
        <color auto="1"/>
      </left>
      <right style="medium">
        <color auto="1"/>
      </right>
      <top style="thin">
        <color rgb="FF0066FF"/>
      </top>
      <bottom style="medium">
        <color auto="1"/>
      </bottom>
      <diagonal/>
    </border>
    <border>
      <left/>
      <right/>
      <top style="thin">
        <color theme="3" tint="0.59996337778862885"/>
      </top>
      <bottom style="thin">
        <color theme="3" tint="0.59996337778862885"/>
      </bottom>
      <diagonal/>
    </border>
    <border>
      <left/>
      <right/>
      <top style="thin">
        <color theme="3" tint="0.59996337778862885"/>
      </top>
      <bottom style="medium">
        <color auto="1"/>
      </bottom>
      <diagonal/>
    </border>
    <border>
      <left style="medium">
        <color auto="1"/>
      </left>
      <right style="medium">
        <color auto="1"/>
      </right>
      <top style="thin">
        <color auto="1"/>
      </top>
      <bottom style="thin">
        <color rgb="FF538DD5"/>
      </bottom>
      <diagonal/>
    </border>
    <border>
      <left style="medium">
        <color auto="1"/>
      </left>
      <right style="medium">
        <color auto="1"/>
      </right>
      <top style="thin">
        <color rgb="FF538DD5"/>
      </top>
      <bottom style="thin">
        <color rgb="FF538DD5"/>
      </bottom>
      <diagonal/>
    </border>
    <border>
      <left style="medium">
        <color auto="1"/>
      </left>
      <right style="medium">
        <color auto="1"/>
      </right>
      <top style="thin">
        <color rgb="FF538DD5"/>
      </top>
      <bottom style="medium">
        <color auto="1"/>
      </bottom>
      <diagonal/>
    </border>
    <border>
      <left/>
      <right/>
      <top style="thin">
        <color indexed="64"/>
      </top>
      <bottom style="thin">
        <color theme="3" tint="0.59996337778862885"/>
      </bottom>
      <diagonal/>
    </border>
    <border>
      <left style="medium">
        <color auto="1"/>
      </left>
      <right/>
      <top style="thin">
        <color auto="1"/>
      </top>
      <bottom style="thin">
        <color rgb="FF538DD5"/>
      </bottom>
      <diagonal/>
    </border>
    <border>
      <left style="medium">
        <color auto="1"/>
      </left>
      <right/>
      <top style="thin">
        <color rgb="FF538DD5"/>
      </top>
      <bottom style="thin">
        <color rgb="FF538DD5"/>
      </bottom>
      <diagonal/>
    </border>
    <border>
      <left style="medium">
        <color auto="1"/>
      </left>
      <right/>
      <top style="thin">
        <color rgb="FF538DD5"/>
      </top>
      <bottom style="medium">
        <color auto="1"/>
      </bottom>
      <diagonal/>
    </border>
    <border>
      <left style="thin">
        <color auto="1"/>
      </left>
      <right style="medium">
        <color auto="1"/>
      </right>
      <top style="thin">
        <color auto="1"/>
      </top>
      <bottom style="thin">
        <color rgb="FF538DD5"/>
      </bottom>
      <diagonal/>
    </border>
    <border>
      <left style="thin">
        <color auto="1"/>
      </left>
      <right style="medium">
        <color auto="1"/>
      </right>
      <top style="thin">
        <color rgb="FF538DD5"/>
      </top>
      <bottom style="thin">
        <color rgb="FF538DD5"/>
      </bottom>
      <diagonal/>
    </border>
    <border>
      <left style="thin">
        <color auto="1"/>
      </left>
      <right style="medium">
        <color auto="1"/>
      </right>
      <top style="thin">
        <color rgb="FF538DD5"/>
      </top>
      <bottom style="medium">
        <color auto="1"/>
      </bottom>
      <diagonal/>
    </border>
    <border>
      <left/>
      <right/>
      <top style="medium">
        <color auto="1"/>
      </top>
      <bottom style="hair">
        <color auto="1"/>
      </bottom>
      <diagonal/>
    </border>
    <border>
      <left/>
      <right/>
      <top style="hair">
        <color auto="1"/>
      </top>
      <bottom style="hair">
        <color auto="1"/>
      </bottom>
      <diagonal/>
    </border>
    <border>
      <left/>
      <right/>
      <top style="hair">
        <color indexed="64"/>
      </top>
      <bottom style="medium">
        <color auto="1"/>
      </bottom>
      <diagonal/>
    </border>
    <border>
      <left/>
      <right/>
      <top style="hair">
        <color auto="1"/>
      </top>
      <bottom style="thin">
        <color indexed="64"/>
      </bottom>
      <diagonal/>
    </border>
    <border>
      <left/>
      <right/>
      <top style="thin">
        <color auto="1"/>
      </top>
      <bottom style="hair">
        <color auto="1"/>
      </bottom>
      <diagonal/>
    </border>
    <border>
      <left/>
      <right/>
      <top style="medium">
        <color auto="1"/>
      </top>
      <bottom style="thin">
        <color indexed="64"/>
      </bottom>
      <diagonal/>
    </border>
    <border>
      <left/>
      <right/>
      <top/>
      <bottom style="hair">
        <color indexed="64"/>
      </bottom>
      <diagonal/>
    </border>
    <border>
      <left/>
      <right/>
      <top style="medium">
        <color auto="1"/>
      </top>
      <bottom style="hair">
        <color auto="1"/>
      </bottom>
      <diagonal/>
    </border>
    <border>
      <left/>
      <right/>
      <top style="thin">
        <color indexed="62"/>
      </top>
      <bottom style="thin">
        <color indexed="62"/>
      </bottom>
      <diagonal/>
    </border>
    <border>
      <left/>
      <right/>
      <top style="thin">
        <color indexed="62"/>
      </top>
      <bottom style="medium">
        <color indexed="62"/>
      </bottom>
      <diagonal/>
    </border>
    <border>
      <left style="medium">
        <color auto="1"/>
      </left>
      <right/>
      <top/>
      <bottom/>
      <diagonal/>
    </border>
    <border>
      <left style="medium">
        <color auto="1"/>
      </left>
      <right/>
      <top/>
      <bottom style="medium">
        <color auto="1"/>
      </bottom>
      <diagonal/>
    </border>
    <border>
      <left/>
      <right/>
      <top style="medium">
        <color auto="1"/>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top/>
      <bottom style="thin">
        <color indexed="64"/>
      </bottom>
      <diagonal/>
    </border>
    <border>
      <left/>
      <right style="medium">
        <color auto="1"/>
      </right>
      <top/>
      <bottom style="medium">
        <color auto="1"/>
      </bottom>
      <diagonal/>
    </border>
    <border>
      <left/>
      <right style="medium">
        <color auto="1"/>
      </right>
      <top style="medium">
        <color auto="1"/>
      </top>
      <bottom/>
      <diagonal/>
    </border>
    <border>
      <left/>
      <right/>
      <top style="medium">
        <color indexed="18"/>
      </top>
      <bottom/>
      <diagonal/>
    </border>
    <border>
      <left/>
      <right/>
      <top style="medium">
        <color indexed="18"/>
      </top>
      <bottom style="medium">
        <color indexed="18"/>
      </bottom>
      <diagonal/>
    </border>
    <border>
      <left/>
      <right/>
      <top style="medium">
        <color indexed="18"/>
      </top>
      <bottom style="thin">
        <color indexed="64"/>
      </bottom>
      <diagonal/>
    </border>
    <border>
      <left/>
      <right/>
      <top/>
      <bottom style="thin">
        <color indexed="18"/>
      </bottom>
      <diagonal/>
    </border>
    <border>
      <left/>
      <right/>
      <top style="thin">
        <color indexed="18"/>
      </top>
      <bottom style="thin">
        <color indexed="18"/>
      </bottom>
      <diagonal/>
    </border>
    <border>
      <left/>
      <right/>
      <top style="thin">
        <color indexed="18"/>
      </top>
      <bottom style="medium">
        <color indexed="18"/>
      </bottom>
      <diagonal/>
    </border>
    <border>
      <left style="thin">
        <color indexed="64"/>
      </left>
      <right/>
      <top style="medium">
        <color indexed="18"/>
      </top>
      <bottom style="thin">
        <color indexed="64"/>
      </bottom>
      <diagonal/>
    </border>
    <border>
      <left style="thin">
        <color indexed="64"/>
      </left>
      <right/>
      <top/>
      <bottom style="thin">
        <color indexed="18"/>
      </bottom>
      <diagonal/>
    </border>
    <border>
      <left style="thin">
        <color indexed="64"/>
      </left>
      <right/>
      <top style="thin">
        <color indexed="18"/>
      </top>
      <bottom style="thin">
        <color indexed="18"/>
      </bottom>
      <diagonal/>
    </border>
    <border>
      <left style="thin">
        <color indexed="64"/>
      </left>
      <right/>
      <top style="thin">
        <color indexed="18"/>
      </top>
      <bottom style="medium">
        <color indexed="18"/>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thin">
        <color auto="1"/>
      </bottom>
      <diagonal/>
    </border>
    <border>
      <left/>
      <right style="thin">
        <color indexed="64"/>
      </right>
      <top style="thin">
        <color indexed="62"/>
      </top>
      <bottom style="medium">
        <color theme="3"/>
      </bottom>
      <diagonal/>
    </border>
    <border>
      <left/>
      <right/>
      <top style="thin">
        <color indexed="62"/>
      </top>
      <bottom style="medium">
        <color theme="3"/>
      </bottom>
      <diagonal/>
    </border>
    <border>
      <left style="medium">
        <color auto="1"/>
      </left>
      <right style="medium">
        <color auto="1"/>
      </right>
      <top style="thin">
        <color indexed="64"/>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style="thin">
        <color theme="4"/>
      </bottom>
      <diagonal/>
    </border>
    <border>
      <left style="medium">
        <color auto="1"/>
      </left>
      <right/>
      <top style="thin">
        <color auto="1"/>
      </top>
      <bottom style="medium">
        <color indexed="64"/>
      </bottom>
      <diagonal/>
    </border>
    <border>
      <left style="thick">
        <color indexed="32"/>
      </left>
      <right/>
      <top style="thick">
        <color indexed="32"/>
      </top>
      <bottom style="thin">
        <color indexed="64"/>
      </bottom>
      <diagonal/>
    </border>
    <border>
      <left/>
      <right style="thick">
        <color indexed="32"/>
      </right>
      <top style="thick">
        <color indexed="32"/>
      </top>
      <bottom style="thin">
        <color indexed="64"/>
      </bottom>
      <diagonal/>
    </border>
    <border>
      <left style="thick">
        <color indexed="32"/>
      </left>
      <right/>
      <top style="thin">
        <color indexed="64"/>
      </top>
      <bottom style="thin">
        <color indexed="64"/>
      </bottom>
      <diagonal/>
    </border>
    <border>
      <left/>
      <right style="thick">
        <color indexed="32"/>
      </right>
      <top style="thin">
        <color indexed="64"/>
      </top>
      <bottom style="thin">
        <color indexed="64"/>
      </bottom>
      <diagonal/>
    </border>
    <border>
      <left style="thick">
        <color indexed="32"/>
      </left>
      <right/>
      <top style="thin">
        <color indexed="64"/>
      </top>
      <bottom style="thick">
        <color indexed="32"/>
      </bottom>
      <diagonal/>
    </border>
    <border>
      <left/>
      <right style="thick">
        <color indexed="32"/>
      </right>
      <top style="thin">
        <color indexed="64"/>
      </top>
      <bottom style="thick">
        <color indexed="32"/>
      </bottom>
      <diagonal/>
    </border>
    <border>
      <left/>
      <right/>
      <top style="thin">
        <color indexed="64"/>
      </top>
      <bottom style="medium">
        <color indexed="18"/>
      </bottom>
      <diagonal/>
    </border>
    <border>
      <left/>
      <right/>
      <top style="thin">
        <color indexed="64"/>
      </top>
      <bottom style="medium">
        <color indexed="32"/>
      </bottom>
      <diagonal/>
    </border>
    <border>
      <left style="medium">
        <color indexed="44"/>
      </left>
      <right style="medium">
        <color indexed="44"/>
      </right>
      <top style="medium">
        <color indexed="44"/>
      </top>
      <bottom style="medium">
        <color indexed="44"/>
      </bottom>
      <diagonal/>
    </border>
    <border>
      <left/>
      <right/>
      <top style="thin">
        <color auto="1"/>
      </top>
      <bottom style="hair">
        <color auto="1"/>
      </bottom>
      <diagonal/>
    </border>
    <border>
      <left style="thin">
        <color indexed="64"/>
      </left>
      <right style="thin">
        <color indexed="64"/>
      </right>
      <top style="thin">
        <color auto="1"/>
      </top>
      <bottom style="thin">
        <color indexed="64"/>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rgb="FF002060"/>
      </top>
      <bottom style="thin">
        <color auto="1"/>
      </bottom>
      <diagonal/>
    </border>
    <border>
      <left style="thin">
        <color auto="1"/>
      </left>
      <right style="thin">
        <color auto="1"/>
      </right>
      <top style="thin">
        <color rgb="FF002060"/>
      </top>
      <bottom style="thin">
        <color auto="1"/>
      </bottom>
      <diagonal/>
    </border>
    <border>
      <left style="thin">
        <color auto="1"/>
      </left>
      <right style="thin">
        <color auto="1"/>
      </right>
      <top style="thin">
        <color rgb="FF002060"/>
      </top>
      <bottom style="thin">
        <color auto="1"/>
      </bottom>
      <diagonal/>
    </border>
    <border>
      <left/>
      <right/>
      <top/>
      <bottom style="thin">
        <color rgb="FF4F81BD"/>
      </bottom>
      <diagonal/>
    </border>
    <border>
      <left/>
      <right/>
      <top style="thick">
        <color auto="1"/>
      </top>
      <bottom style="thin">
        <color rgb="FF4F81BD"/>
      </bottom>
      <diagonal/>
    </border>
    <border>
      <left/>
      <right/>
      <top/>
      <bottom style="thick">
        <color rgb="FF4F81BD"/>
      </bottom>
      <diagonal/>
    </border>
    <border>
      <left/>
      <right style="thick">
        <color auto="1"/>
      </right>
      <top style="thick">
        <color auto="1"/>
      </top>
      <bottom style="thin">
        <color rgb="FF4F81BD"/>
      </bottom>
      <diagonal/>
    </border>
    <border>
      <left/>
      <right style="thick">
        <color auto="1"/>
      </right>
      <top/>
      <bottom style="thin">
        <color rgb="FF4F81BD"/>
      </bottom>
      <diagonal/>
    </border>
    <border>
      <left/>
      <right style="thick">
        <color auto="1"/>
      </right>
      <top/>
      <bottom style="thick">
        <color rgb="FF4F81BD"/>
      </bottom>
      <diagonal/>
    </border>
    <border>
      <left style="thick">
        <color auto="1"/>
      </left>
      <right style="thick">
        <color auto="1"/>
      </right>
      <top style="thick">
        <color auto="1"/>
      </top>
      <bottom style="thin">
        <color auto="1"/>
      </bottom>
      <diagonal/>
    </border>
    <border>
      <left style="thick">
        <color auto="1"/>
      </left>
      <right style="thick">
        <color auto="1"/>
      </right>
      <top/>
      <bottom style="thin">
        <color auto="1"/>
      </bottom>
      <diagonal/>
    </border>
    <border>
      <left style="thick">
        <color auto="1"/>
      </left>
      <right style="thick">
        <color auto="1"/>
      </right>
      <top/>
      <bottom style="thick">
        <color auto="1"/>
      </bottom>
      <diagonal/>
    </border>
    <border>
      <left style="thick">
        <color auto="1"/>
      </left>
      <right style="thick">
        <color auto="1"/>
      </right>
      <top style="thick">
        <color auto="1"/>
      </top>
      <bottom/>
      <diagonal/>
    </border>
    <border>
      <left style="thick">
        <color auto="1"/>
      </left>
      <right style="thick">
        <color auto="1"/>
      </right>
      <top/>
      <bottom/>
      <diagonal/>
    </border>
  </borders>
  <cellStyleXfs count="11">
    <xf numFmtId="0" fontId="0" fillId="0" borderId="0"/>
    <xf numFmtId="0" fontId="3" fillId="0" borderId="0"/>
    <xf numFmtId="0" fontId="1" fillId="0" borderId="0"/>
    <xf numFmtId="0" fontId="1" fillId="0" borderId="0" applyFill="0"/>
    <xf numFmtId="0" fontId="1" fillId="0" borderId="0"/>
    <xf numFmtId="0" fontId="3" fillId="0" borderId="0"/>
    <xf numFmtId="0" fontId="1" fillId="0" borderId="0" applyFill="0"/>
    <xf numFmtId="0" fontId="3" fillId="0" borderId="0"/>
    <xf numFmtId="0" fontId="1" fillId="0" borderId="0" applyFill="0"/>
    <xf numFmtId="0" fontId="3" fillId="0" borderId="0"/>
    <xf numFmtId="0" fontId="3" fillId="0" borderId="0"/>
  </cellStyleXfs>
  <cellXfs count="965">
    <xf numFmtId="0" fontId="0" fillId="0" borderId="0" xfId="0"/>
    <xf numFmtId="0" fontId="3" fillId="0" borderId="0" xfId="0" applyFont="1" applyAlignment="1">
      <alignment horizontal="center"/>
    </xf>
    <xf numFmtId="164" fontId="3" fillId="0" borderId="0" xfId="0" applyNumberFormat="1" applyFont="1"/>
    <xf numFmtId="0" fontId="3" fillId="0" borderId="0" xfId="0" applyFont="1"/>
    <xf numFmtId="0" fontId="9" fillId="0" borderId="0" xfId="0" applyFont="1"/>
    <xf numFmtId="0" fontId="10" fillId="0" borderId="0" xfId="0" applyFont="1" applyAlignment="1">
      <alignment horizontal="center" vertical="center"/>
    </xf>
    <xf numFmtId="0" fontId="11" fillId="0" borderId="0" xfId="0" applyFont="1"/>
    <xf numFmtId="1" fontId="17" fillId="0" borderId="0" xfId="0" applyNumberFormat="1" applyFont="1"/>
    <xf numFmtId="0" fontId="3" fillId="0" borderId="0" xfId="0" applyFont="1" applyAlignment="1">
      <alignment horizontal="left" vertical="center"/>
    </xf>
    <xf numFmtId="0" fontId="3" fillId="0" borderId="0" xfId="0" applyFont="1" applyAlignment="1">
      <alignment horizontal="center" vertical="center"/>
    </xf>
    <xf numFmtId="0" fontId="14" fillId="0" borderId="0" xfId="0" applyFont="1" applyAlignment="1">
      <alignment horizontal="left" vertical="center"/>
    </xf>
    <xf numFmtId="0" fontId="0" fillId="0" borderId="0" xfId="0" applyAlignment="1">
      <alignment horizontal="center"/>
    </xf>
    <xf numFmtId="0" fontId="27" fillId="0" borderId="0" xfId="0" applyFont="1" applyAlignment="1">
      <alignment horizontal="left"/>
    </xf>
    <xf numFmtId="0" fontId="27" fillId="0" borderId="0" xfId="0" applyFont="1"/>
    <xf numFmtId="0" fontId="7" fillId="0" borderId="0" xfId="0" applyFont="1" applyAlignment="1">
      <alignment horizontal="center"/>
    </xf>
    <xf numFmtId="0" fontId="7" fillId="0" borderId="0" xfId="0" applyFont="1"/>
    <xf numFmtId="0" fontId="15" fillId="0" borderId="0" xfId="0" applyFont="1"/>
    <xf numFmtId="0" fontId="6" fillId="0" borderId="0" xfId="0" applyFont="1"/>
    <xf numFmtId="0" fontId="5" fillId="0" borderId="0" xfId="0" applyFont="1" applyProtection="1">
      <protection locked="0"/>
    </xf>
    <xf numFmtId="0" fontId="5" fillId="0" borderId="0" xfId="0" applyFont="1"/>
    <xf numFmtId="164" fontId="8" fillId="0" borderId="0" xfId="0" applyNumberFormat="1" applyFont="1"/>
    <xf numFmtId="0" fontId="13" fillId="0" borderId="0" xfId="0" applyFont="1" applyAlignment="1">
      <alignment horizontal="center"/>
    </xf>
    <xf numFmtId="0" fontId="14" fillId="0" borderId="0" xfId="0" applyFont="1" applyAlignment="1">
      <alignment vertical="center"/>
    </xf>
    <xf numFmtId="164" fontId="3" fillId="9" borderId="0" xfId="0" applyNumberFormat="1" applyFont="1" applyFill="1"/>
    <xf numFmtId="164" fontId="8" fillId="9" borderId="0" xfId="0" applyNumberFormat="1" applyFont="1" applyFill="1"/>
    <xf numFmtId="0" fontId="12" fillId="9" borderId="0" xfId="0" applyFont="1" applyFill="1" applyAlignment="1">
      <alignment horizontal="center" vertical="center"/>
    </xf>
    <xf numFmtId="0" fontId="3" fillId="0" borderId="0" xfId="0" applyFont="1" applyAlignment="1">
      <alignment horizontal="right"/>
    </xf>
    <xf numFmtId="2" fontId="0" fillId="0" borderId="0" xfId="0" applyNumberFormat="1"/>
    <xf numFmtId="0" fontId="7" fillId="0" borderId="0" xfId="0" applyFont="1" applyAlignment="1">
      <alignment horizontal="right"/>
    </xf>
    <xf numFmtId="0" fontId="31" fillId="0" borderId="0" xfId="0" applyFont="1" applyAlignment="1">
      <alignment horizontal="right"/>
    </xf>
    <xf numFmtId="0" fontId="21" fillId="0" borderId="0" xfId="0" applyFont="1" applyAlignment="1">
      <alignment horizontal="right"/>
    </xf>
    <xf numFmtId="0" fontId="21" fillId="0" borderId="0" xfId="0" applyFont="1"/>
    <xf numFmtId="0" fontId="29" fillId="0" borderId="0" xfId="0" applyFont="1" applyAlignment="1">
      <alignment horizontal="left"/>
    </xf>
    <xf numFmtId="0" fontId="0" fillId="0" borderId="0" xfId="0" applyAlignment="1">
      <alignment horizontal="left"/>
    </xf>
    <xf numFmtId="0" fontId="36" fillId="0" borderId="0" xfId="0" applyFont="1"/>
    <xf numFmtId="0" fontId="30" fillId="0" borderId="0" xfId="0" applyFont="1"/>
    <xf numFmtId="2" fontId="36" fillId="0" borderId="0" xfId="0" applyNumberFormat="1" applyFont="1"/>
    <xf numFmtId="0" fontId="36" fillId="0" borderId="0" xfId="0" applyFont="1" applyAlignment="1">
      <alignment horizontal="center"/>
    </xf>
    <xf numFmtId="0" fontId="30" fillId="0" borderId="0" xfId="0" applyFont="1" applyAlignment="1">
      <alignment horizontal="right"/>
    </xf>
    <xf numFmtId="0" fontId="36" fillId="0" borderId="0" xfId="0" applyFont="1" applyAlignment="1">
      <alignment horizontal="left"/>
    </xf>
    <xf numFmtId="164" fontId="6" fillId="9" borderId="0" xfId="0" applyNumberFormat="1" applyFont="1" applyFill="1" applyAlignment="1">
      <alignment horizontal="center"/>
    </xf>
    <xf numFmtId="0" fontId="1" fillId="0" borderId="0" xfId="2"/>
    <xf numFmtId="0" fontId="5" fillId="0" borderId="0" xfId="2" applyFont="1"/>
    <xf numFmtId="164" fontId="0" fillId="0" borderId="0" xfId="0" applyNumberFormat="1"/>
    <xf numFmtId="0" fontId="41" fillId="15" borderId="4" xfId="2" applyFont="1" applyFill="1" applyBorder="1" applyAlignment="1">
      <alignment horizontal="center" vertical="center"/>
    </xf>
    <xf numFmtId="0" fontId="41" fillId="15" borderId="5" xfId="2" applyFont="1" applyFill="1" applyBorder="1" applyAlignment="1">
      <alignment horizontal="center" vertical="center"/>
    </xf>
    <xf numFmtId="164" fontId="0" fillId="0" borderId="0" xfId="0" applyNumberFormat="1" applyAlignment="1">
      <alignment horizontal="center" vertical="center"/>
    </xf>
    <xf numFmtId="164" fontId="7" fillId="0" borderId="0" xfId="0" applyNumberFormat="1" applyFont="1" applyAlignment="1">
      <alignment horizontal="center" vertical="center"/>
    </xf>
    <xf numFmtId="0" fontId="43" fillId="0" borderId="0" xfId="0" applyFont="1"/>
    <xf numFmtId="164" fontId="0" fillId="0" borderId="10" xfId="0" applyNumberFormat="1" applyBorder="1" applyAlignment="1">
      <alignment horizontal="center" vertical="center"/>
    </xf>
    <xf numFmtId="0" fontId="46" fillId="13" borderId="20" xfId="0" applyFont="1" applyFill="1" applyBorder="1" applyAlignment="1">
      <alignment horizontal="center"/>
    </xf>
    <xf numFmtId="0" fontId="46" fillId="13" borderId="25" xfId="0" applyFont="1" applyFill="1" applyBorder="1" applyAlignment="1">
      <alignment horizontal="center"/>
    </xf>
    <xf numFmtId="0" fontId="46" fillId="13" borderId="30" xfId="0" applyFont="1" applyFill="1" applyBorder="1" applyAlignment="1">
      <alignment horizontal="center"/>
    </xf>
    <xf numFmtId="0" fontId="1" fillId="0" borderId="0" xfId="4"/>
    <xf numFmtId="164" fontId="3" fillId="0" borderId="0" xfId="4" applyNumberFormat="1" applyFont="1"/>
    <xf numFmtId="0" fontId="3" fillId="0" borderId="0" xfId="4" applyFont="1"/>
    <xf numFmtId="0" fontId="40" fillId="13" borderId="30" xfId="0" applyFont="1" applyFill="1" applyBorder="1" applyAlignment="1">
      <alignment horizontal="center" vertical="center"/>
    </xf>
    <xf numFmtId="0" fontId="40" fillId="13" borderId="31" xfId="0" applyFont="1" applyFill="1" applyBorder="1" applyAlignment="1">
      <alignment horizontal="center" vertical="center"/>
    </xf>
    <xf numFmtId="2" fontId="24" fillId="0" borderId="34" xfId="6" applyNumberFormat="1" applyFont="1" applyFill="1" applyBorder="1" applyAlignment="1">
      <alignment horizontal="center" vertical="center"/>
    </xf>
    <xf numFmtId="2" fontId="24" fillId="0" borderId="35" xfId="6" applyNumberFormat="1" applyFont="1" applyFill="1" applyBorder="1" applyAlignment="1">
      <alignment horizontal="center" vertical="center"/>
    </xf>
    <xf numFmtId="2" fontId="24" fillId="0" borderId="36" xfId="6" applyNumberFormat="1" applyFont="1" applyFill="1" applyBorder="1" applyAlignment="1">
      <alignment horizontal="center" vertical="center"/>
    </xf>
    <xf numFmtId="2" fontId="24" fillId="0" borderId="21" xfId="6" applyNumberFormat="1" applyFont="1" applyFill="1" applyBorder="1" applyAlignment="1">
      <alignment horizontal="center" vertical="center"/>
    </xf>
    <xf numFmtId="2" fontId="24" fillId="0" borderId="25" xfId="6" applyNumberFormat="1" applyFont="1" applyFill="1" applyBorder="1" applyAlignment="1">
      <alignment horizontal="center" vertical="center"/>
    </xf>
    <xf numFmtId="2" fontId="24" fillId="0" borderId="37" xfId="6" applyNumberFormat="1" applyFont="1" applyFill="1" applyBorder="1" applyAlignment="1">
      <alignment horizontal="center" vertical="center"/>
    </xf>
    <xf numFmtId="0" fontId="46" fillId="13" borderId="31" xfId="0" applyFont="1" applyFill="1" applyBorder="1" applyAlignment="1">
      <alignment horizontal="center"/>
    </xf>
    <xf numFmtId="164" fontId="24" fillId="0" borderId="20" xfId="0" applyNumberFormat="1" applyFont="1" applyBorder="1" applyAlignment="1">
      <alignment horizontal="center"/>
    </xf>
    <xf numFmtId="164" fontId="24" fillId="0" borderId="25" xfId="0" applyNumberFormat="1" applyFont="1" applyBorder="1" applyAlignment="1">
      <alignment horizontal="center"/>
    </xf>
    <xf numFmtId="164" fontId="24" fillId="0" borderId="21" xfId="0" applyNumberFormat="1" applyFont="1" applyBorder="1" applyAlignment="1">
      <alignment horizontal="center"/>
    </xf>
    <xf numFmtId="164" fontId="24" fillId="9" borderId="38" xfId="5" applyNumberFormat="1" applyFont="1" applyFill="1" applyBorder="1" applyAlignment="1">
      <alignment horizontal="center"/>
    </xf>
    <xf numFmtId="164" fontId="24" fillId="9" borderId="39" xfId="5" applyNumberFormat="1" applyFont="1" applyFill="1" applyBorder="1" applyAlignment="1">
      <alignment horizontal="center"/>
    </xf>
    <xf numFmtId="164" fontId="24" fillId="9" borderId="40" xfId="5" applyNumberFormat="1" applyFont="1" applyFill="1" applyBorder="1" applyAlignment="1">
      <alignment horizontal="center"/>
    </xf>
    <xf numFmtId="0" fontId="48" fillId="16" borderId="41" xfId="5" applyFont="1" applyFill="1" applyBorder="1" applyAlignment="1">
      <alignment horizontal="center"/>
    </xf>
    <xf numFmtId="164" fontId="24" fillId="0" borderId="42" xfId="0" applyNumberFormat="1" applyFont="1" applyBorder="1" applyAlignment="1">
      <alignment horizontal="center"/>
    </xf>
    <xf numFmtId="164" fontId="24" fillId="0" borderId="43" xfId="0" applyNumberFormat="1" applyFont="1" applyBorder="1" applyAlignment="1">
      <alignment horizontal="center"/>
    </xf>
    <xf numFmtId="164" fontId="24" fillId="0" borderId="44" xfId="0" applyNumberFormat="1" applyFont="1" applyBorder="1" applyAlignment="1">
      <alignment horizontal="center"/>
    </xf>
    <xf numFmtId="164" fontId="24" fillId="9" borderId="45" xfId="5" applyNumberFormat="1" applyFont="1" applyFill="1" applyBorder="1" applyAlignment="1">
      <alignment horizontal="center"/>
    </xf>
    <xf numFmtId="164" fontId="24" fillId="9" borderId="46" xfId="5" applyNumberFormat="1" applyFont="1" applyFill="1" applyBorder="1" applyAlignment="1">
      <alignment horizontal="center"/>
    </xf>
    <xf numFmtId="164" fontId="24" fillId="9" borderId="47" xfId="5" applyNumberFormat="1" applyFont="1" applyFill="1" applyBorder="1" applyAlignment="1">
      <alignment horizontal="center"/>
    </xf>
    <xf numFmtId="0" fontId="48" fillId="16" borderId="48" xfId="5" applyFont="1" applyFill="1" applyBorder="1" applyAlignment="1">
      <alignment horizontal="center"/>
    </xf>
    <xf numFmtId="164" fontId="24" fillId="9" borderId="49" xfId="5" applyNumberFormat="1" applyFont="1" applyFill="1" applyBorder="1" applyAlignment="1">
      <alignment horizontal="center"/>
    </xf>
    <xf numFmtId="164" fontId="24" fillId="9" borderId="50" xfId="5" applyNumberFormat="1" applyFont="1" applyFill="1" applyBorder="1" applyAlignment="1">
      <alignment horizontal="center"/>
    </xf>
    <xf numFmtId="164" fontId="24" fillId="9" borderId="51" xfId="5" applyNumberFormat="1" applyFont="1" applyFill="1" applyBorder="1" applyAlignment="1">
      <alignment horizontal="center"/>
    </xf>
    <xf numFmtId="0" fontId="48" fillId="16" borderId="52" xfId="5" applyFont="1" applyFill="1" applyBorder="1" applyAlignment="1">
      <alignment horizontal="center"/>
    </xf>
    <xf numFmtId="164" fontId="3" fillId="0" borderId="0" xfId="5" applyNumberFormat="1"/>
    <xf numFmtId="0" fontId="3" fillId="0" borderId="0" xfId="5"/>
    <xf numFmtId="2" fontId="24" fillId="0" borderId="34" xfId="7" applyNumberFormat="1" applyFont="1" applyBorder="1" applyAlignment="1">
      <alignment horizontal="center" vertical="center"/>
    </xf>
    <xf numFmtId="2" fontId="24" fillId="0" borderId="35" xfId="7" applyNumberFormat="1" applyFont="1" applyBorder="1" applyAlignment="1">
      <alignment horizontal="center" vertical="center"/>
    </xf>
    <xf numFmtId="2" fontId="24" fillId="0" borderId="36" xfId="7" applyNumberFormat="1" applyFont="1" applyBorder="1" applyAlignment="1">
      <alignment horizontal="center" vertical="center"/>
    </xf>
    <xf numFmtId="2" fontId="24" fillId="0" borderId="21" xfId="7" applyNumberFormat="1" applyFont="1" applyBorder="1" applyAlignment="1">
      <alignment horizontal="center" vertical="center"/>
    </xf>
    <xf numFmtId="2" fontId="24" fillId="0" borderId="25" xfId="7" applyNumberFormat="1" applyFont="1" applyBorder="1" applyAlignment="1">
      <alignment horizontal="center" vertical="center"/>
    </xf>
    <xf numFmtId="2" fontId="24" fillId="0" borderId="37" xfId="7" applyNumberFormat="1" applyFont="1" applyBorder="1" applyAlignment="1">
      <alignment horizontal="center" vertical="center"/>
    </xf>
    <xf numFmtId="0" fontId="49" fillId="0" borderId="0" xfId="0" applyFont="1"/>
    <xf numFmtId="2" fontId="49" fillId="0" borderId="0" xfId="0" applyNumberFormat="1" applyFont="1"/>
    <xf numFmtId="0" fontId="27" fillId="0" borderId="0" xfId="0" applyFont="1" applyAlignment="1">
      <alignment horizontal="center"/>
    </xf>
    <xf numFmtId="0" fontId="6" fillId="0" borderId="0" xfId="0" applyFont="1" applyAlignment="1">
      <alignment horizontal="center"/>
    </xf>
    <xf numFmtId="0" fontId="3" fillId="0" borderId="0" xfId="0" applyFont="1" applyAlignment="1">
      <alignment horizontal="left"/>
    </xf>
    <xf numFmtId="164" fontId="24" fillId="9" borderId="68" xfId="5" applyNumberFormat="1" applyFont="1" applyFill="1" applyBorder="1" applyAlignment="1">
      <alignment horizontal="center"/>
    </xf>
    <xf numFmtId="164" fontId="24" fillId="9" borderId="69" xfId="5" applyNumberFormat="1" applyFont="1" applyFill="1" applyBorder="1" applyAlignment="1">
      <alignment horizontal="center"/>
    </xf>
    <xf numFmtId="164" fontId="24" fillId="0" borderId="71" xfId="0" applyNumberFormat="1" applyFont="1" applyBorder="1" applyAlignment="1">
      <alignment horizontal="center"/>
    </xf>
    <xf numFmtId="164" fontId="24" fillId="0" borderId="72" xfId="0" applyNumberFormat="1" applyFont="1" applyBorder="1" applyAlignment="1">
      <alignment horizontal="center"/>
    </xf>
    <xf numFmtId="164" fontId="24" fillId="0" borderId="19" xfId="0" applyNumberFormat="1" applyFont="1" applyBorder="1" applyAlignment="1">
      <alignment horizontal="center"/>
    </xf>
    <xf numFmtId="164" fontId="24" fillId="0" borderId="18" xfId="0" applyNumberFormat="1" applyFont="1" applyBorder="1" applyAlignment="1">
      <alignment horizontal="center"/>
    </xf>
    <xf numFmtId="164" fontId="24" fillId="0" borderId="17" xfId="0" applyNumberFormat="1" applyFont="1" applyBorder="1" applyAlignment="1">
      <alignment horizontal="center"/>
    </xf>
    <xf numFmtId="164" fontId="24" fillId="0" borderId="16" xfId="0" applyNumberFormat="1" applyFont="1" applyBorder="1" applyAlignment="1">
      <alignment horizontal="center"/>
    </xf>
    <xf numFmtId="164" fontId="24" fillId="0" borderId="15" xfId="0" applyNumberFormat="1" applyFont="1" applyBorder="1" applyAlignment="1">
      <alignment horizontal="center"/>
    </xf>
    <xf numFmtId="164" fontId="24" fillId="0" borderId="14" xfId="0" applyNumberFormat="1" applyFont="1" applyBorder="1" applyAlignment="1">
      <alignment horizontal="center"/>
    </xf>
    <xf numFmtId="0" fontId="7" fillId="0" borderId="8" xfId="0" applyFont="1" applyBorder="1" applyAlignment="1">
      <alignment horizontal="right"/>
    </xf>
    <xf numFmtId="0" fontId="42" fillId="0" borderId="8" xfId="0" applyFont="1" applyBorder="1" applyAlignment="1">
      <alignment horizontal="left"/>
    </xf>
    <xf numFmtId="164" fontId="7" fillId="0" borderId="8" xfId="0" applyNumberFormat="1" applyFont="1" applyBorder="1" applyAlignment="1">
      <alignment horizontal="center" vertical="center"/>
    </xf>
    <xf numFmtId="0" fontId="0" fillId="0" borderId="0" xfId="0" applyAlignment="1">
      <alignment horizontal="center" vertical="center"/>
    </xf>
    <xf numFmtId="164" fontId="0" fillId="0" borderId="0" xfId="0" applyNumberFormat="1" applyAlignment="1">
      <alignment horizontal="center"/>
    </xf>
    <xf numFmtId="0" fontId="48" fillId="16" borderId="26" xfId="5" applyFont="1" applyFill="1" applyBorder="1" applyAlignment="1">
      <alignment horizontal="center"/>
    </xf>
    <xf numFmtId="164" fontId="24" fillId="9" borderId="70" xfId="5" applyNumberFormat="1" applyFont="1" applyFill="1" applyBorder="1" applyAlignment="1">
      <alignment horizontal="center"/>
    </xf>
    <xf numFmtId="164" fontId="24" fillId="9" borderId="71" xfId="5" applyNumberFormat="1" applyFont="1" applyFill="1" applyBorder="1" applyAlignment="1">
      <alignment horizontal="center"/>
    </xf>
    <xf numFmtId="164" fontId="24" fillId="9" borderId="72" xfId="5" applyNumberFormat="1" applyFont="1" applyFill="1" applyBorder="1" applyAlignment="1">
      <alignment horizontal="center"/>
    </xf>
    <xf numFmtId="164" fontId="24" fillId="9" borderId="19" xfId="5" applyNumberFormat="1" applyFont="1" applyFill="1" applyBorder="1" applyAlignment="1">
      <alignment horizontal="center"/>
    </xf>
    <xf numFmtId="164" fontId="24" fillId="9" borderId="18" xfId="5" applyNumberFormat="1" applyFont="1" applyFill="1" applyBorder="1" applyAlignment="1">
      <alignment horizontal="center"/>
    </xf>
    <xf numFmtId="164" fontId="24" fillId="9" borderId="17" xfId="5" applyNumberFormat="1" applyFont="1" applyFill="1" applyBorder="1" applyAlignment="1">
      <alignment horizontal="center"/>
    </xf>
    <xf numFmtId="164" fontId="24" fillId="9" borderId="16" xfId="5" applyNumberFormat="1" applyFont="1" applyFill="1" applyBorder="1" applyAlignment="1">
      <alignment horizontal="center"/>
    </xf>
    <xf numFmtId="164" fontId="24" fillId="9" borderId="15" xfId="5" applyNumberFormat="1" applyFont="1" applyFill="1" applyBorder="1" applyAlignment="1">
      <alignment horizontal="center"/>
    </xf>
    <xf numFmtId="164" fontId="24" fillId="9" borderId="14" xfId="5" applyNumberFormat="1" applyFont="1" applyFill="1" applyBorder="1" applyAlignment="1">
      <alignment horizontal="center"/>
    </xf>
    <xf numFmtId="0" fontId="48" fillId="16" borderId="75" xfId="5" applyFont="1" applyFill="1" applyBorder="1" applyAlignment="1">
      <alignment horizontal="center"/>
    </xf>
    <xf numFmtId="165" fontId="2" fillId="0" borderId="0" xfId="7" applyNumberFormat="1" applyFont="1"/>
    <xf numFmtId="0" fontId="24" fillId="0" borderId="0" xfId="7" applyFont="1"/>
    <xf numFmtId="0" fontId="56" fillId="25" borderId="28" xfId="7" applyFont="1" applyFill="1" applyBorder="1" applyAlignment="1">
      <alignment horizontal="center" vertical="center"/>
    </xf>
    <xf numFmtId="165" fontId="24" fillId="0" borderId="79" xfId="7" applyNumberFormat="1" applyFont="1" applyBorder="1" applyAlignment="1">
      <alignment horizontal="center"/>
    </xf>
    <xf numFmtId="0" fontId="57" fillId="0" borderId="0" xfId="0" applyFont="1"/>
    <xf numFmtId="165" fontId="24" fillId="0" borderId="80" xfId="7" applyNumberFormat="1" applyFont="1" applyBorder="1" applyAlignment="1">
      <alignment horizontal="center"/>
    </xf>
    <xf numFmtId="0" fontId="58" fillId="0" borderId="0" xfId="0" applyFont="1"/>
    <xf numFmtId="165" fontId="24" fillId="0" borderId="81" xfId="7" applyNumberFormat="1" applyFont="1" applyBorder="1" applyAlignment="1">
      <alignment horizontal="center"/>
    </xf>
    <xf numFmtId="164" fontId="3" fillId="0" borderId="0" xfId="7" applyNumberFormat="1"/>
    <xf numFmtId="0" fontId="3" fillId="0" borderId="0" xfId="7"/>
    <xf numFmtId="0" fontId="59" fillId="0" borderId="0" xfId="7" applyFont="1" applyAlignment="1">
      <alignment horizontal="center" vertical="center"/>
    </xf>
    <xf numFmtId="165" fontId="60" fillId="0" borderId="0" xfId="7" applyNumberFormat="1" applyFont="1" applyAlignment="1">
      <alignment horizontal="center"/>
    </xf>
    <xf numFmtId="0" fontId="61" fillId="27" borderId="0" xfId="10" applyFont="1" applyFill="1" applyAlignment="1">
      <alignment horizontal="center" vertical="center"/>
    </xf>
    <xf numFmtId="0" fontId="62" fillId="27" borderId="0" xfId="10" applyFont="1" applyFill="1" applyAlignment="1">
      <alignment horizontal="center" vertical="center"/>
    </xf>
    <xf numFmtId="0" fontId="51" fillId="0" borderId="0" xfId="0" applyFont="1"/>
    <xf numFmtId="0" fontId="64" fillId="25" borderId="7" xfId="9" applyFont="1" applyFill="1" applyBorder="1" applyAlignment="1">
      <alignment horizontal="center" vertical="center"/>
    </xf>
    <xf numFmtId="0" fontId="64" fillId="25" borderId="8" xfId="9" applyFont="1" applyFill="1" applyBorder="1" applyAlignment="1">
      <alignment horizontal="center" vertical="center"/>
    </xf>
    <xf numFmtId="0" fontId="64" fillId="25" borderId="9" xfId="9" applyFont="1" applyFill="1" applyBorder="1" applyAlignment="1">
      <alignment horizontal="center" vertical="center"/>
    </xf>
    <xf numFmtId="0" fontId="62" fillId="0" borderId="0" xfId="9" applyFont="1" applyAlignment="1">
      <alignment horizontal="center" vertical="center"/>
    </xf>
    <xf numFmtId="0" fontId="64" fillId="25" borderId="3" xfId="9" applyFont="1" applyFill="1" applyBorder="1" applyAlignment="1">
      <alignment horizontal="center"/>
    </xf>
    <xf numFmtId="0" fontId="64" fillId="25" borderId="10" xfId="9" applyFont="1" applyFill="1" applyBorder="1" applyAlignment="1">
      <alignment horizontal="center" vertical="center"/>
    </xf>
    <xf numFmtId="0" fontId="64" fillId="25" borderId="6" xfId="9" applyFont="1" applyFill="1" applyBorder="1" applyAlignment="1">
      <alignment horizontal="center" vertical="center"/>
    </xf>
    <xf numFmtId="165" fontId="3" fillId="27" borderId="84" xfId="9" applyNumberFormat="1" applyFill="1" applyBorder="1" applyAlignment="1">
      <alignment horizontal="center"/>
    </xf>
    <xf numFmtId="165" fontId="3" fillId="27" borderId="76" xfId="9" applyNumberFormat="1" applyFill="1" applyBorder="1" applyAlignment="1">
      <alignment horizontal="center"/>
    </xf>
    <xf numFmtId="2" fontId="7" fillId="26" borderId="85" xfId="9" applyNumberFormat="1" applyFont="1" applyFill="1" applyBorder="1" applyAlignment="1">
      <alignment horizontal="center"/>
    </xf>
    <xf numFmtId="165" fontId="3" fillId="0" borderId="0" xfId="9" applyNumberFormat="1" applyAlignment="1">
      <alignment horizontal="center"/>
    </xf>
    <xf numFmtId="1" fontId="3" fillId="27" borderId="84" xfId="9" applyNumberFormat="1" applyFill="1" applyBorder="1" applyAlignment="1">
      <alignment horizontal="center"/>
    </xf>
    <xf numFmtId="2" fontId="3" fillId="27" borderId="76" xfId="9" applyNumberFormat="1" applyFill="1" applyBorder="1" applyAlignment="1">
      <alignment horizontal="center"/>
    </xf>
    <xf numFmtId="165" fontId="3" fillId="27" borderId="86" xfId="9" applyNumberFormat="1" applyFill="1" applyBorder="1" applyAlignment="1">
      <alignment horizontal="center"/>
    </xf>
    <xf numFmtId="1" fontId="3" fillId="27" borderId="78" xfId="9" applyNumberFormat="1" applyFill="1" applyBorder="1" applyAlignment="1">
      <alignment horizontal="center"/>
    </xf>
    <xf numFmtId="2" fontId="7" fillId="26" borderId="87" xfId="9" applyNumberFormat="1" applyFont="1" applyFill="1" applyBorder="1" applyAlignment="1">
      <alignment horizontal="center"/>
    </xf>
    <xf numFmtId="1" fontId="3" fillId="27" borderId="86" xfId="9" applyNumberFormat="1" applyFill="1" applyBorder="1" applyAlignment="1">
      <alignment horizontal="center"/>
    </xf>
    <xf numFmtId="2" fontId="3" fillId="27" borderId="78" xfId="9" applyNumberFormat="1" applyFill="1" applyBorder="1" applyAlignment="1">
      <alignment horizontal="center"/>
    </xf>
    <xf numFmtId="165" fontId="3" fillId="27" borderId="83" xfId="9" applyNumberFormat="1" applyFill="1" applyBorder="1" applyAlignment="1">
      <alignment horizontal="center"/>
    </xf>
    <xf numFmtId="165" fontId="3" fillId="27" borderId="88" xfId="9" applyNumberFormat="1" applyFill="1" applyBorder="1" applyAlignment="1">
      <alignment horizontal="center"/>
    </xf>
    <xf numFmtId="2" fontId="7" fillId="26" borderId="89" xfId="9" applyNumberFormat="1" applyFont="1" applyFill="1" applyBorder="1" applyAlignment="1">
      <alignment horizontal="center"/>
    </xf>
    <xf numFmtId="1" fontId="3" fillId="27" borderId="83" xfId="9" applyNumberFormat="1" applyFill="1" applyBorder="1" applyAlignment="1">
      <alignment horizontal="center"/>
    </xf>
    <xf numFmtId="2" fontId="3" fillId="27" borderId="88" xfId="9" applyNumberFormat="1" applyFill="1" applyBorder="1" applyAlignment="1">
      <alignment horizontal="center"/>
    </xf>
    <xf numFmtId="2" fontId="7" fillId="28" borderId="85" xfId="9" applyNumberFormat="1" applyFont="1" applyFill="1" applyBorder="1" applyAlignment="1">
      <alignment horizontal="center"/>
    </xf>
    <xf numFmtId="2" fontId="7" fillId="28" borderId="87" xfId="9" applyNumberFormat="1" applyFont="1" applyFill="1" applyBorder="1" applyAlignment="1">
      <alignment horizontal="center"/>
    </xf>
    <xf numFmtId="2" fontId="7" fillId="28" borderId="89" xfId="9" applyNumberFormat="1" applyFont="1" applyFill="1" applyBorder="1" applyAlignment="1">
      <alignment horizontal="center"/>
    </xf>
    <xf numFmtId="0" fontId="64" fillId="25" borderId="10" xfId="9" applyFont="1" applyFill="1" applyBorder="1" applyAlignment="1">
      <alignment horizontal="center"/>
    </xf>
    <xf numFmtId="2" fontId="7" fillId="26" borderId="76" xfId="9" applyNumberFormat="1" applyFont="1" applyFill="1" applyBorder="1" applyAlignment="1">
      <alignment horizontal="center"/>
    </xf>
    <xf numFmtId="2" fontId="7" fillId="26" borderId="78" xfId="9" applyNumberFormat="1" applyFont="1" applyFill="1" applyBorder="1" applyAlignment="1">
      <alignment horizontal="center"/>
    </xf>
    <xf numFmtId="2" fontId="7" fillId="26" borderId="88" xfId="9" applyNumberFormat="1" applyFont="1" applyFill="1" applyBorder="1" applyAlignment="1">
      <alignment horizontal="center"/>
    </xf>
    <xf numFmtId="164" fontId="52" fillId="27" borderId="0" xfId="5" applyNumberFormat="1" applyFont="1" applyFill="1"/>
    <xf numFmtId="1" fontId="66" fillId="27" borderId="94" xfId="9" applyNumberFormat="1" applyFont="1" applyFill="1" applyBorder="1" applyAlignment="1">
      <alignment horizontal="center"/>
    </xf>
    <xf numFmtId="2" fontId="3" fillId="27" borderId="82" xfId="9" applyNumberFormat="1" applyFill="1" applyBorder="1" applyAlignment="1">
      <alignment horizontal="center"/>
    </xf>
    <xf numFmtId="2" fontId="3" fillId="27" borderId="91" xfId="9" applyNumberFormat="1" applyFill="1" applyBorder="1" applyAlignment="1">
      <alignment horizontal="center"/>
    </xf>
    <xf numFmtId="2" fontId="3" fillId="27" borderId="92" xfId="9" applyNumberFormat="1" applyFill="1" applyBorder="1" applyAlignment="1">
      <alignment horizontal="center"/>
    </xf>
    <xf numFmtId="1" fontId="66" fillId="27" borderId="95" xfId="9" applyNumberFormat="1" applyFont="1" applyFill="1" applyBorder="1" applyAlignment="1">
      <alignment horizontal="center"/>
    </xf>
    <xf numFmtId="2" fontId="3" fillId="27" borderId="86" xfId="9" applyNumberFormat="1" applyFill="1" applyBorder="1" applyAlignment="1">
      <alignment horizontal="center"/>
    </xf>
    <xf numFmtId="2" fontId="3" fillId="27" borderId="87" xfId="9" applyNumberFormat="1" applyFill="1" applyBorder="1" applyAlignment="1">
      <alignment horizontal="center"/>
    </xf>
    <xf numFmtId="1" fontId="66" fillId="27" borderId="96" xfId="9" applyNumberFormat="1" applyFont="1" applyFill="1" applyBorder="1" applyAlignment="1">
      <alignment horizontal="center"/>
    </xf>
    <xf numFmtId="2" fontId="3" fillId="27" borderId="83" xfId="9" applyNumberFormat="1" applyFill="1" applyBorder="1" applyAlignment="1">
      <alignment horizontal="center"/>
    </xf>
    <xf numFmtId="2" fontId="3" fillId="27" borderId="89" xfId="9" applyNumberFormat="1" applyFill="1" applyBorder="1" applyAlignment="1">
      <alignment horizontal="center"/>
    </xf>
    <xf numFmtId="1" fontId="3" fillId="0" borderId="0" xfId="9" applyNumberFormat="1" applyAlignment="1">
      <alignment horizontal="center"/>
    </xf>
    <xf numFmtId="2" fontId="3" fillId="0" borderId="0" xfId="9" applyNumberFormat="1" applyAlignment="1">
      <alignment horizontal="center"/>
    </xf>
    <xf numFmtId="2" fontId="7" fillId="0" borderId="0" xfId="9" applyNumberFormat="1" applyFont="1" applyAlignment="1">
      <alignment horizontal="center"/>
    </xf>
    <xf numFmtId="164" fontId="7" fillId="0" borderId="0" xfId="5" applyNumberFormat="1" applyFont="1" applyAlignment="1">
      <alignment vertical="center"/>
    </xf>
    <xf numFmtId="164" fontId="27" fillId="0" borderId="0" xfId="5" applyNumberFormat="1" applyFont="1"/>
    <xf numFmtId="0" fontId="67" fillId="0" borderId="0" xfId="0" applyFont="1" applyAlignment="1">
      <alignment horizontal="center"/>
    </xf>
    <xf numFmtId="164" fontId="7" fillId="0" borderId="0" xfId="1" applyNumberFormat="1" applyFont="1" applyAlignment="1">
      <alignment horizontal="center"/>
    </xf>
    <xf numFmtId="164" fontId="7" fillId="0" borderId="0" xfId="0" applyNumberFormat="1" applyFont="1" applyAlignment="1">
      <alignment horizontal="center"/>
    </xf>
    <xf numFmtId="164" fontId="52" fillId="0" borderId="0" xfId="5" applyNumberFormat="1" applyFont="1"/>
    <xf numFmtId="1" fontId="66" fillId="27" borderId="97" xfId="9" applyNumberFormat="1" applyFont="1" applyFill="1" applyBorder="1" applyAlignment="1">
      <alignment horizontal="center"/>
    </xf>
    <xf numFmtId="2" fontId="3" fillId="27" borderId="98" xfId="9" applyNumberFormat="1" applyFill="1" applyBorder="1" applyAlignment="1">
      <alignment horizontal="center"/>
    </xf>
    <xf numFmtId="2" fontId="3" fillId="27" borderId="99" xfId="9" applyNumberFormat="1" applyFill="1" applyBorder="1" applyAlignment="1">
      <alignment horizontal="center"/>
    </xf>
    <xf numFmtId="2" fontId="3" fillId="27" borderId="100" xfId="9" applyNumberFormat="1" applyFill="1" applyBorder="1" applyAlignment="1">
      <alignment horizontal="center"/>
    </xf>
    <xf numFmtId="1" fontId="66" fillId="27" borderId="101" xfId="9" applyNumberFormat="1" applyFont="1" applyFill="1" applyBorder="1" applyAlignment="1">
      <alignment horizontal="center"/>
    </xf>
    <xf numFmtId="2" fontId="3" fillId="27" borderId="102" xfId="9" applyNumberFormat="1" applyFill="1" applyBorder="1" applyAlignment="1">
      <alignment horizontal="center"/>
    </xf>
    <xf numFmtId="2" fontId="3" fillId="27" borderId="103" xfId="9" applyNumberFormat="1" applyFill="1" applyBorder="1" applyAlignment="1">
      <alignment horizontal="center"/>
    </xf>
    <xf numFmtId="2" fontId="3" fillId="27" borderId="104" xfId="9" applyNumberFormat="1" applyFill="1" applyBorder="1" applyAlignment="1">
      <alignment horizontal="center"/>
    </xf>
    <xf numFmtId="1" fontId="66" fillId="27" borderId="105" xfId="9" applyNumberFormat="1" applyFont="1" applyFill="1" applyBorder="1" applyAlignment="1">
      <alignment horizontal="center"/>
    </xf>
    <xf numFmtId="2" fontId="3" fillId="27" borderId="106" xfId="9" applyNumberFormat="1" applyFill="1" applyBorder="1" applyAlignment="1">
      <alignment horizontal="center"/>
    </xf>
    <xf numFmtId="2" fontId="3" fillId="27" borderId="107" xfId="9" applyNumberFormat="1" applyFill="1" applyBorder="1" applyAlignment="1">
      <alignment horizontal="center"/>
    </xf>
    <xf numFmtId="2" fontId="3" fillId="27" borderId="108" xfId="9" applyNumberFormat="1" applyFill="1" applyBorder="1" applyAlignment="1">
      <alignment horizontal="center"/>
    </xf>
    <xf numFmtId="0" fontId="3" fillId="23" borderId="0" xfId="0" applyFont="1" applyFill="1"/>
    <xf numFmtId="0" fontId="64" fillId="25" borderId="12" xfId="9" applyFont="1" applyFill="1" applyBorder="1" applyAlignment="1">
      <alignment horizontal="center" vertical="center"/>
    </xf>
    <xf numFmtId="0" fontId="64" fillId="25" borderId="0" xfId="9" applyFont="1" applyFill="1" applyAlignment="1">
      <alignment horizontal="center" vertical="center"/>
    </xf>
    <xf numFmtId="0" fontId="64" fillId="25" borderId="11" xfId="9" applyFont="1" applyFill="1" applyBorder="1" applyAlignment="1">
      <alignment horizontal="center" vertical="center"/>
    </xf>
    <xf numFmtId="1" fontId="3" fillId="0" borderId="86" xfId="9" applyNumberFormat="1" applyBorder="1" applyAlignment="1">
      <alignment horizontal="center"/>
    </xf>
    <xf numFmtId="1" fontId="3" fillId="0" borderId="83" xfId="9" applyNumberFormat="1" applyBorder="1" applyAlignment="1">
      <alignment horizontal="center"/>
    </xf>
    <xf numFmtId="0" fontId="48" fillId="16" borderId="109" xfId="5" applyFont="1" applyFill="1" applyBorder="1" applyAlignment="1">
      <alignment horizontal="center"/>
    </xf>
    <xf numFmtId="164" fontId="43" fillId="0" borderId="0" xfId="0" applyNumberFormat="1" applyFont="1"/>
    <xf numFmtId="2" fontId="43" fillId="0" borderId="0" xfId="0" applyNumberFormat="1" applyFont="1"/>
    <xf numFmtId="0" fontId="68" fillId="0" borderId="0" xfId="7" applyFont="1" applyAlignment="1">
      <alignment horizontal="center" vertical="center"/>
    </xf>
    <xf numFmtId="0" fontId="12" fillId="30" borderId="110" xfId="0" applyFont="1" applyFill="1" applyBorder="1" applyAlignment="1">
      <alignment horizontal="center" vertical="center"/>
    </xf>
    <xf numFmtId="0" fontId="11" fillId="0" borderId="115" xfId="0" applyFont="1" applyBorder="1"/>
    <xf numFmtId="0" fontId="20" fillId="3" borderId="0" xfId="0" applyFont="1" applyFill="1" applyAlignment="1">
      <alignment horizontal="center" vertical="center"/>
    </xf>
    <xf numFmtId="0" fontId="20" fillId="8" borderId="0" xfId="0" applyFont="1" applyFill="1" applyAlignment="1">
      <alignment horizontal="center" vertical="center"/>
    </xf>
    <xf numFmtId="0" fontId="20" fillId="5" borderId="0" xfId="0" applyFont="1" applyFill="1" applyAlignment="1">
      <alignment horizontal="center" vertical="center"/>
    </xf>
    <xf numFmtId="0" fontId="20" fillId="6" borderId="0" xfId="0" applyFont="1" applyFill="1" applyAlignment="1">
      <alignment horizontal="center" vertical="center"/>
    </xf>
    <xf numFmtId="0" fontId="2" fillId="0" borderId="114" xfId="0" applyFont="1" applyBorder="1"/>
    <xf numFmtId="0" fontId="20" fillId="7" borderId="0" xfId="0" applyFont="1" applyFill="1" applyAlignment="1">
      <alignment horizontal="center" vertical="center"/>
    </xf>
    <xf numFmtId="0" fontId="11" fillId="0" borderId="123" xfId="0" applyFont="1" applyBorder="1"/>
    <xf numFmtId="0" fontId="11" fillId="0" borderId="124" xfId="0" applyFont="1" applyBorder="1"/>
    <xf numFmtId="0" fontId="13" fillId="3" borderId="129" xfId="0" applyFont="1" applyFill="1" applyBorder="1" applyAlignment="1">
      <alignment horizontal="center"/>
    </xf>
    <xf numFmtId="0" fontId="13" fillId="4" borderId="129" xfId="0" applyFont="1" applyFill="1" applyBorder="1" applyAlignment="1">
      <alignment horizontal="center"/>
    </xf>
    <xf numFmtId="0" fontId="13" fillId="5" borderId="129" xfId="0" applyFont="1" applyFill="1" applyBorder="1" applyAlignment="1">
      <alignment horizontal="center"/>
    </xf>
    <xf numFmtId="0" fontId="13" fillId="6" borderId="129" xfId="0" applyFont="1" applyFill="1" applyBorder="1" applyAlignment="1">
      <alignment horizontal="center"/>
    </xf>
    <xf numFmtId="0" fontId="13" fillId="7" borderId="129" xfId="0" applyFont="1" applyFill="1" applyBorder="1" applyAlignment="1">
      <alignment horizontal="center"/>
    </xf>
    <xf numFmtId="0" fontId="0" fillId="0" borderId="115" xfId="0" applyBorder="1"/>
    <xf numFmtId="0" fontId="29" fillId="0" borderId="0" xfId="0" applyFont="1"/>
    <xf numFmtId="0" fontId="2" fillId="0" borderId="129" xfId="0" applyFont="1" applyBorder="1"/>
    <xf numFmtId="0" fontId="11" fillId="9" borderId="115" xfId="0" applyFont="1" applyFill="1" applyBorder="1"/>
    <xf numFmtId="0" fontId="13" fillId="3" borderId="126" xfId="0" applyFont="1" applyFill="1" applyBorder="1" applyAlignment="1">
      <alignment horizontal="center"/>
    </xf>
    <xf numFmtId="0" fontId="13" fillId="4" borderId="126" xfId="0" applyFont="1" applyFill="1" applyBorder="1" applyAlignment="1">
      <alignment horizontal="center"/>
    </xf>
    <xf numFmtId="0" fontId="13" fillId="5" borderId="126" xfId="0" applyFont="1" applyFill="1" applyBorder="1" applyAlignment="1">
      <alignment horizontal="center"/>
    </xf>
    <xf numFmtId="0" fontId="13" fillId="6" borderId="126" xfId="0" applyFont="1" applyFill="1" applyBorder="1" applyAlignment="1">
      <alignment horizontal="center"/>
    </xf>
    <xf numFmtId="0" fontId="13" fillId="7" borderId="126" xfId="0" applyFont="1" applyFill="1" applyBorder="1" applyAlignment="1">
      <alignment horizontal="center"/>
    </xf>
    <xf numFmtId="0" fontId="11" fillId="9" borderId="120" xfId="0" applyFont="1" applyFill="1" applyBorder="1"/>
    <xf numFmtId="0" fontId="11" fillId="9" borderId="123" xfId="0" applyFont="1" applyFill="1" applyBorder="1"/>
    <xf numFmtId="0" fontId="2" fillId="0" borderId="122" xfId="0" applyFont="1" applyBorder="1"/>
    <xf numFmtId="0" fontId="2" fillId="0" borderId="140" xfId="0" applyFont="1" applyBorder="1"/>
    <xf numFmtId="0" fontId="2" fillId="0" borderId="124" xfId="0" applyFont="1" applyBorder="1"/>
    <xf numFmtId="0" fontId="20" fillId="3" borderId="132" xfId="0" applyFont="1" applyFill="1" applyBorder="1" applyAlignment="1">
      <alignment horizontal="center" vertical="center"/>
    </xf>
    <xf numFmtId="0" fontId="20" fillId="8" borderId="132" xfId="0" applyFont="1" applyFill="1" applyBorder="1" applyAlignment="1">
      <alignment horizontal="center" vertical="center"/>
    </xf>
    <xf numFmtId="0" fontId="20" fillId="5" borderId="132" xfId="0" applyFont="1" applyFill="1" applyBorder="1" applyAlignment="1">
      <alignment horizontal="center" vertical="center"/>
    </xf>
    <xf numFmtId="0" fontId="20" fillId="6" borderId="132" xfId="0" applyFont="1" applyFill="1" applyBorder="1" applyAlignment="1">
      <alignment horizontal="center" vertical="center"/>
    </xf>
    <xf numFmtId="0" fontId="20" fillId="7" borderId="132" xfId="0" applyFont="1" applyFill="1" applyBorder="1" applyAlignment="1">
      <alignment horizontal="center" vertical="center"/>
    </xf>
    <xf numFmtId="0" fontId="40" fillId="13" borderId="143" xfId="0" applyFont="1" applyFill="1" applyBorder="1" applyAlignment="1">
      <alignment horizontal="center"/>
    </xf>
    <xf numFmtId="0" fontId="40" fillId="13" borderId="144" xfId="0" applyFont="1" applyFill="1" applyBorder="1" applyAlignment="1">
      <alignment horizontal="center"/>
    </xf>
    <xf numFmtId="164" fontId="40" fillId="15" borderId="2" xfId="2" applyNumberFormat="1" applyFont="1" applyFill="1" applyBorder="1" applyAlignment="1">
      <alignment horizontal="center"/>
    </xf>
    <xf numFmtId="164" fontId="40" fillId="15" borderId="13" xfId="2" applyNumberFormat="1" applyFont="1" applyFill="1" applyBorder="1" applyAlignment="1">
      <alignment horizontal="center"/>
    </xf>
    <xf numFmtId="0" fontId="0" fillId="0" borderId="10" xfId="0" applyBorder="1" applyAlignment="1">
      <alignment horizontal="center" vertical="center"/>
    </xf>
    <xf numFmtId="0" fontId="41" fillId="15" borderId="10" xfId="2" applyFont="1" applyFill="1" applyBorder="1" applyAlignment="1">
      <alignment horizontal="center" vertical="center"/>
    </xf>
    <xf numFmtId="164" fontId="0" fillId="0" borderId="8" xfId="0" applyNumberFormat="1" applyBorder="1" applyAlignment="1">
      <alignment horizontal="center" vertical="center"/>
    </xf>
    <xf numFmtId="0" fontId="14" fillId="15" borderId="114" xfId="0" applyFont="1" applyFill="1" applyBorder="1" applyAlignment="1">
      <alignment horizontal="center"/>
    </xf>
    <xf numFmtId="0" fontId="14" fillId="15" borderId="117" xfId="0" applyFont="1" applyFill="1" applyBorder="1" applyAlignment="1">
      <alignment horizontal="center"/>
    </xf>
    <xf numFmtId="0" fontId="14" fillId="15" borderId="128" xfId="0" applyFont="1" applyFill="1" applyBorder="1" applyAlignment="1">
      <alignment horizontal="center"/>
    </xf>
    <xf numFmtId="0" fontId="14" fillId="15" borderId="122" xfId="0" applyFont="1" applyFill="1" applyBorder="1" applyAlignment="1">
      <alignment horizontal="center"/>
    </xf>
    <xf numFmtId="2" fontId="14" fillId="19" borderId="133" xfId="0" applyNumberFormat="1" applyFont="1" applyFill="1" applyBorder="1" applyAlignment="1">
      <alignment vertical="center"/>
    </xf>
    <xf numFmtId="2" fontId="14" fillId="19" borderId="134" xfId="0" applyNumberFormat="1" applyFont="1" applyFill="1" applyBorder="1" applyAlignment="1">
      <alignment vertical="center"/>
    </xf>
    <xf numFmtId="2" fontId="14" fillId="19" borderId="135" xfId="0" applyNumberFormat="1" applyFont="1" applyFill="1" applyBorder="1" applyAlignment="1">
      <alignment vertical="center"/>
    </xf>
    <xf numFmtId="0" fontId="14" fillId="15" borderId="0" xfId="0" applyFont="1" applyFill="1" applyAlignment="1">
      <alignment horizontal="center"/>
    </xf>
    <xf numFmtId="164" fontId="7" fillId="15" borderId="129" xfId="0" applyNumberFormat="1" applyFont="1" applyFill="1" applyBorder="1" applyAlignment="1">
      <alignment horizontal="center"/>
    </xf>
    <xf numFmtId="2" fontId="14" fillId="19" borderId="129" xfId="0" applyNumberFormat="1" applyFont="1" applyFill="1" applyBorder="1" applyAlignment="1">
      <alignment horizontal="center" vertical="center"/>
    </xf>
    <xf numFmtId="2" fontId="15" fillId="19" borderId="128" xfId="0" applyNumberFormat="1" applyFont="1" applyFill="1" applyBorder="1" applyAlignment="1">
      <alignment horizontal="center" vertical="center"/>
    </xf>
    <xf numFmtId="2" fontId="15" fillId="19" borderId="114" xfId="0" applyNumberFormat="1" applyFont="1" applyFill="1" applyBorder="1" applyAlignment="1">
      <alignment horizontal="center" vertical="center"/>
    </xf>
    <xf numFmtId="2" fontId="15" fillId="19" borderId="122" xfId="0" applyNumberFormat="1" applyFont="1" applyFill="1" applyBorder="1" applyAlignment="1">
      <alignment horizontal="center" vertical="center"/>
    </xf>
    <xf numFmtId="2" fontId="14" fillId="19" borderId="139" xfId="0" applyNumberFormat="1" applyFont="1" applyFill="1" applyBorder="1" applyAlignment="1">
      <alignment horizontal="center"/>
    </xf>
    <xf numFmtId="2" fontId="14" fillId="19" borderId="137" xfId="0" applyNumberFormat="1" applyFont="1" applyFill="1" applyBorder="1" applyAlignment="1">
      <alignment horizontal="center"/>
    </xf>
    <xf numFmtId="2" fontId="14" fillId="19" borderId="138" xfId="0" applyNumberFormat="1" applyFont="1" applyFill="1" applyBorder="1" applyAlignment="1">
      <alignment horizontal="center"/>
    </xf>
    <xf numFmtId="2" fontId="14" fillId="19" borderId="124" xfId="0" applyNumberFormat="1" applyFont="1" applyFill="1" applyBorder="1" applyAlignment="1">
      <alignment horizontal="center" vertical="center"/>
    </xf>
    <xf numFmtId="2" fontId="14" fillId="19" borderId="140" xfId="0" applyNumberFormat="1" applyFont="1" applyFill="1" applyBorder="1" applyAlignment="1">
      <alignment horizontal="center" vertical="center"/>
    </xf>
    <xf numFmtId="0" fontId="22" fillId="2" borderId="0" xfId="0" applyFont="1" applyFill="1" applyAlignment="1">
      <alignment horizontal="center"/>
    </xf>
    <xf numFmtId="0" fontId="25" fillId="0" borderId="0" xfId="0" applyFont="1" applyAlignment="1">
      <alignment horizontal="center"/>
    </xf>
    <xf numFmtId="0" fontId="53" fillId="15" borderId="117" xfId="3" applyFont="1" applyFill="1" applyBorder="1" applyAlignment="1">
      <alignment horizontal="center"/>
    </xf>
    <xf numFmtId="0" fontId="53" fillId="15" borderId="114" xfId="3" applyFont="1" applyFill="1" applyBorder="1" applyAlignment="1">
      <alignment horizontal="center"/>
    </xf>
    <xf numFmtId="0" fontId="53" fillId="15" borderId="116" xfId="3" applyFont="1" applyFill="1" applyBorder="1" applyAlignment="1">
      <alignment horizontal="center"/>
    </xf>
    <xf numFmtId="2" fontId="24" fillId="0" borderId="143" xfId="0" applyNumberFormat="1" applyFont="1" applyBorder="1" applyAlignment="1">
      <alignment horizontal="center" vertical="center"/>
    </xf>
    <xf numFmtId="2" fontId="24" fillId="0" borderId="143" xfId="0" applyNumberFormat="1" applyFont="1" applyBorder="1" applyAlignment="1">
      <alignment horizontal="center"/>
    </xf>
    <xf numFmtId="2" fontId="24" fillId="0" borderId="117" xfId="0" applyNumberFormat="1" applyFont="1" applyBorder="1" applyAlignment="1">
      <alignment horizontal="center" vertical="center"/>
    </xf>
    <xf numFmtId="2" fontId="24" fillId="0" borderId="151" xfId="0" applyNumberFormat="1" applyFont="1" applyBorder="1" applyAlignment="1">
      <alignment horizontal="center"/>
    </xf>
    <xf numFmtId="1" fontId="24" fillId="0" borderId="117" xfId="0" applyNumberFormat="1" applyFont="1" applyBorder="1" applyAlignment="1">
      <alignment horizontal="center"/>
    </xf>
    <xf numFmtId="1" fontId="24" fillId="0" borderId="111" xfId="0" applyNumberFormat="1" applyFont="1" applyBorder="1" applyAlignment="1">
      <alignment horizontal="center"/>
    </xf>
    <xf numFmtId="0" fontId="24" fillId="0" borderId="0" xfId="0" applyFont="1" applyAlignment="1">
      <alignment horizontal="center" vertical="center"/>
    </xf>
    <xf numFmtId="2" fontId="24" fillId="0" borderId="0" xfId="0" applyNumberFormat="1" applyFont="1" applyAlignment="1">
      <alignment horizontal="center" vertical="center"/>
    </xf>
    <xf numFmtId="0" fontId="25" fillId="19" borderId="143" xfId="0" applyFont="1" applyFill="1" applyBorder="1" applyAlignment="1">
      <alignment horizontal="center"/>
    </xf>
    <xf numFmtId="0" fontId="24" fillId="19" borderId="0" xfId="0" applyFont="1" applyFill="1" applyAlignment="1">
      <alignment horizontal="center"/>
    </xf>
    <xf numFmtId="0" fontId="0" fillId="0" borderId="80" xfId="0" applyBorder="1"/>
    <xf numFmtId="0" fontId="34" fillId="9" borderId="80" xfId="0" applyFont="1" applyFill="1" applyBorder="1" applyAlignment="1">
      <alignment horizontal="right"/>
    </xf>
    <xf numFmtId="0" fontId="33" fillId="9" borderId="80" xfId="0" applyFont="1" applyFill="1" applyBorder="1" applyAlignment="1">
      <alignment horizontal="center"/>
    </xf>
    <xf numFmtId="0" fontId="0" fillId="9" borderId="80" xfId="0" applyFill="1" applyBorder="1" applyAlignment="1">
      <alignment horizontal="right"/>
    </xf>
    <xf numFmtId="0" fontId="3" fillId="9" borderId="80" xfId="0" applyFont="1" applyFill="1" applyBorder="1"/>
    <xf numFmtId="1" fontId="35" fillId="0" borderId="80" xfId="0" applyNumberFormat="1" applyFont="1" applyBorder="1" applyAlignment="1">
      <alignment horizontal="center"/>
    </xf>
    <xf numFmtId="0" fontId="0" fillId="0" borderId="80" xfId="0" applyBorder="1" applyAlignment="1">
      <alignment horizontal="right"/>
    </xf>
    <xf numFmtId="0" fontId="35" fillId="9" borderId="80" xfId="0" applyFont="1" applyFill="1" applyBorder="1" applyAlignment="1">
      <alignment horizontal="right"/>
    </xf>
    <xf numFmtId="0" fontId="1" fillId="0" borderId="80" xfId="0" applyFont="1" applyBorder="1" applyAlignment="1">
      <alignment horizontal="left"/>
    </xf>
    <xf numFmtId="0" fontId="1" fillId="0" borderId="156" xfId="0" applyFont="1" applyBorder="1" applyAlignment="1">
      <alignment horizontal="left"/>
    </xf>
    <xf numFmtId="0" fontId="0" fillId="19" borderId="0" xfId="0" applyFill="1"/>
    <xf numFmtId="0" fontId="1" fillId="0" borderId="0" xfId="0" applyFont="1"/>
    <xf numFmtId="0" fontId="53" fillId="33" borderId="111" xfId="0" applyFont="1" applyFill="1" applyBorder="1" applyAlignment="1">
      <alignment horizontal="center" vertical="center"/>
    </xf>
    <xf numFmtId="0" fontId="70" fillId="33" borderId="0" xfId="0" applyFont="1" applyFill="1" applyAlignment="1">
      <alignment horizontal="center" vertical="center"/>
    </xf>
    <xf numFmtId="0" fontId="43" fillId="19" borderId="0" xfId="0" applyFont="1" applyFill="1"/>
    <xf numFmtId="164" fontId="43" fillId="19" borderId="0" xfId="0" applyNumberFormat="1" applyFont="1" applyFill="1"/>
    <xf numFmtId="0" fontId="75" fillId="0" borderId="0" xfId="0" applyFont="1"/>
    <xf numFmtId="0" fontId="76" fillId="0" borderId="0" xfId="0" applyFont="1"/>
    <xf numFmtId="0" fontId="68" fillId="0" borderId="0" xfId="0" applyFont="1"/>
    <xf numFmtId="0" fontId="77" fillId="0" borderId="0" xfId="9" applyFont="1" applyAlignment="1">
      <alignment vertical="center"/>
    </xf>
    <xf numFmtId="0" fontId="78" fillId="0" borderId="0" xfId="9" applyFont="1" applyAlignment="1">
      <alignment horizontal="center" vertical="center"/>
    </xf>
    <xf numFmtId="0" fontId="77" fillId="27" borderId="0" xfId="9" applyFont="1" applyFill="1" applyAlignment="1">
      <alignment horizontal="center" vertical="center"/>
    </xf>
    <xf numFmtId="0" fontId="78" fillId="27" borderId="0" xfId="9" applyFont="1" applyFill="1" applyAlignment="1">
      <alignment horizontal="center" vertical="center"/>
    </xf>
    <xf numFmtId="1" fontId="68" fillId="0" borderId="0" xfId="9" applyNumberFormat="1" applyFont="1" applyAlignment="1">
      <alignment horizontal="center"/>
    </xf>
    <xf numFmtId="2" fontId="43" fillId="0" borderId="0" xfId="9" applyNumberFormat="1" applyFont="1" applyAlignment="1">
      <alignment horizontal="center"/>
    </xf>
    <xf numFmtId="2" fontId="43" fillId="19" borderId="0" xfId="9" applyNumberFormat="1" applyFont="1" applyFill="1" applyAlignment="1">
      <alignment horizontal="center"/>
    </xf>
    <xf numFmtId="164" fontId="75" fillId="19" borderId="0" xfId="5" applyNumberFormat="1" applyFont="1" applyFill="1"/>
    <xf numFmtId="0" fontId="79" fillId="19" borderId="0" xfId="0" applyFont="1" applyFill="1" applyAlignment="1">
      <alignment horizontal="center"/>
    </xf>
    <xf numFmtId="0" fontId="43" fillId="19" borderId="0" xfId="0" applyFont="1" applyFill="1" applyAlignment="1">
      <alignment horizontal="center" vertical="center"/>
    </xf>
    <xf numFmtId="164" fontId="68" fillId="0" borderId="0" xfId="5" applyNumberFormat="1" applyFont="1" applyAlignment="1">
      <alignment vertical="center"/>
    </xf>
    <xf numFmtId="164" fontId="75" fillId="0" borderId="0" xfId="5" applyNumberFormat="1" applyFont="1"/>
    <xf numFmtId="0" fontId="43" fillId="0" borderId="0" xfId="0" applyFont="1" applyAlignment="1">
      <alignment wrapText="1"/>
    </xf>
    <xf numFmtId="0" fontId="79" fillId="0" borderId="0" xfId="0" applyFont="1" applyAlignment="1">
      <alignment horizontal="center"/>
    </xf>
    <xf numFmtId="164" fontId="24" fillId="0" borderId="70" xfId="5" applyNumberFormat="1" applyFont="1" applyBorder="1" applyAlignment="1">
      <alignment horizontal="center"/>
    </xf>
    <xf numFmtId="164" fontId="24" fillId="0" borderId="71" xfId="5" applyNumberFormat="1" applyFont="1" applyBorder="1" applyAlignment="1">
      <alignment horizontal="center"/>
    </xf>
    <xf numFmtId="164" fontId="24" fillId="0" borderId="72" xfId="5" applyNumberFormat="1" applyFont="1" applyBorder="1" applyAlignment="1">
      <alignment horizontal="center"/>
    </xf>
    <xf numFmtId="164" fontId="24" fillId="0" borderId="19" xfId="5" applyNumberFormat="1" applyFont="1" applyBorder="1" applyAlignment="1">
      <alignment horizontal="center"/>
    </xf>
    <xf numFmtId="164" fontId="24" fillId="0" borderId="18" xfId="5" applyNumberFormat="1" applyFont="1" applyBorder="1" applyAlignment="1">
      <alignment horizontal="center"/>
    </xf>
    <xf numFmtId="164" fontId="24" fillId="0" borderId="17" xfId="5" applyNumberFormat="1" applyFont="1" applyBorder="1" applyAlignment="1">
      <alignment horizontal="center"/>
    </xf>
    <xf numFmtId="164" fontId="24" fillId="0" borderId="16" xfId="5" applyNumberFormat="1" applyFont="1" applyBorder="1" applyAlignment="1">
      <alignment horizontal="center"/>
    </xf>
    <xf numFmtId="164" fontId="24" fillId="0" borderId="15" xfId="5" applyNumberFormat="1" applyFont="1" applyBorder="1" applyAlignment="1">
      <alignment horizontal="center"/>
    </xf>
    <xf numFmtId="164" fontId="24" fillId="0" borderId="14" xfId="5" applyNumberFormat="1" applyFont="1" applyBorder="1" applyAlignment="1">
      <alignment horizontal="center"/>
    </xf>
    <xf numFmtId="0" fontId="25" fillId="0" borderId="136" xfId="0" applyFont="1" applyBorder="1" applyAlignment="1">
      <alignment horizontal="center"/>
    </xf>
    <xf numFmtId="0" fontId="24" fillId="0" borderId="136" xfId="0" applyFont="1" applyBorder="1" applyAlignment="1">
      <alignment horizontal="center"/>
    </xf>
    <xf numFmtId="1" fontId="24" fillId="0" borderId="136" xfId="0" applyNumberFormat="1" applyFont="1" applyBorder="1" applyAlignment="1">
      <alignment horizontal="center"/>
    </xf>
    <xf numFmtId="1" fontId="24" fillId="0" borderId="143" xfId="0" applyNumberFormat="1" applyFont="1" applyBorder="1" applyAlignment="1">
      <alignment horizontal="center"/>
    </xf>
    <xf numFmtId="0" fontId="24" fillId="0" borderId="143" xfId="0" applyFont="1" applyBorder="1" applyAlignment="1">
      <alignment horizontal="center"/>
    </xf>
    <xf numFmtId="0" fontId="81" fillId="19" borderId="114" xfId="0" applyFont="1" applyFill="1" applyBorder="1" applyAlignment="1">
      <alignment horizontal="left" vertical="center"/>
    </xf>
    <xf numFmtId="0" fontId="81" fillId="19" borderId="114" xfId="0" applyFont="1" applyFill="1" applyBorder="1" applyAlignment="1">
      <alignment horizontal="left"/>
    </xf>
    <xf numFmtId="0" fontId="81" fillId="19" borderId="128" xfId="0" applyFont="1" applyFill="1" applyBorder="1" applyAlignment="1">
      <alignment horizontal="center" vertical="center"/>
    </xf>
    <xf numFmtId="0" fontId="81" fillId="19" borderId="114" xfId="0" applyFont="1" applyFill="1" applyBorder="1" applyAlignment="1">
      <alignment horizontal="center" vertical="center"/>
    </xf>
    <xf numFmtId="0" fontId="81" fillId="19" borderId="122" xfId="0" applyFont="1" applyFill="1" applyBorder="1" applyAlignment="1">
      <alignment horizontal="center" vertical="center"/>
    </xf>
    <xf numFmtId="164" fontId="7" fillId="15" borderId="124" xfId="0" applyNumberFormat="1" applyFont="1" applyFill="1" applyBorder="1" applyAlignment="1">
      <alignment horizontal="center"/>
    </xf>
    <xf numFmtId="164" fontId="7" fillId="15" borderId="132" xfId="0" applyNumberFormat="1" applyFont="1" applyFill="1" applyBorder="1" applyAlignment="1">
      <alignment horizontal="center"/>
    </xf>
    <xf numFmtId="2" fontId="0" fillId="0" borderId="0" xfId="0" applyNumberFormat="1" applyAlignment="1">
      <alignment horizontal="center" vertical="center"/>
    </xf>
    <xf numFmtId="0" fontId="1" fillId="0" borderId="0" xfId="0" applyFont="1" applyAlignment="1">
      <alignment horizontal="center" vertical="center"/>
    </xf>
    <xf numFmtId="164" fontId="1" fillId="0" borderId="0" xfId="0" applyNumberFormat="1" applyFont="1" applyAlignment="1">
      <alignment horizontal="center" vertical="center"/>
    </xf>
    <xf numFmtId="0" fontId="16" fillId="0" borderId="123" xfId="0" applyFont="1" applyBorder="1"/>
    <xf numFmtId="0" fontId="14" fillId="15" borderId="134" xfId="0" applyFont="1" applyFill="1" applyBorder="1" applyAlignment="1">
      <alignment horizontal="center" vertical="center"/>
    </xf>
    <xf numFmtId="0" fontId="69" fillId="0" borderId="0" xfId="0" applyFont="1" applyAlignment="1">
      <alignment horizontal="left" vertical="center"/>
    </xf>
    <xf numFmtId="1" fontId="2" fillId="0" borderId="129" xfId="0" applyNumberFormat="1" applyFont="1" applyBorder="1" applyAlignment="1">
      <alignment horizontal="center"/>
    </xf>
    <xf numFmtId="0" fontId="14" fillId="15" borderId="135" xfId="0" applyFont="1" applyFill="1" applyBorder="1" applyAlignment="1">
      <alignment horizontal="center" vertical="center"/>
    </xf>
    <xf numFmtId="0" fontId="14" fillId="15" borderId="133" xfId="0" applyFont="1" applyFill="1" applyBorder="1" applyAlignment="1">
      <alignment horizontal="center" vertical="center"/>
    </xf>
    <xf numFmtId="164" fontId="24" fillId="0" borderId="168" xfId="0" applyNumberFormat="1" applyFont="1" applyBorder="1" applyAlignment="1">
      <alignment horizontal="center" vertical="center"/>
    </xf>
    <xf numFmtId="164" fontId="24" fillId="0" borderId="169" xfId="0" applyNumberFormat="1" applyFont="1" applyBorder="1" applyAlignment="1">
      <alignment horizontal="center" vertical="center"/>
    </xf>
    <xf numFmtId="164" fontId="24" fillId="0" borderId="170" xfId="0" applyNumberFormat="1" applyFont="1" applyBorder="1" applyAlignment="1">
      <alignment horizontal="center" vertical="center"/>
    </xf>
    <xf numFmtId="0" fontId="29" fillId="0" borderId="0" xfId="0" quotePrefix="1" applyFont="1"/>
    <xf numFmtId="164" fontId="24" fillId="9" borderId="176" xfId="5" applyNumberFormat="1" applyFont="1" applyFill="1" applyBorder="1" applyAlignment="1">
      <alignment horizontal="center"/>
    </xf>
    <xf numFmtId="164" fontId="24" fillId="9" borderId="177" xfId="5" applyNumberFormat="1" applyFont="1" applyFill="1" applyBorder="1" applyAlignment="1">
      <alignment horizontal="center"/>
    </xf>
    <xf numFmtId="164" fontId="24" fillId="9" borderId="181" xfId="5" applyNumberFormat="1" applyFont="1" applyFill="1" applyBorder="1" applyAlignment="1">
      <alignment horizontal="center"/>
    </xf>
    <xf numFmtId="164" fontId="24" fillId="0" borderId="182" xfId="0" applyNumberFormat="1" applyFont="1" applyBorder="1" applyAlignment="1">
      <alignment horizontal="center" vertical="center"/>
    </xf>
    <xf numFmtId="164" fontId="24" fillId="0" borderId="183" xfId="0" applyNumberFormat="1" applyFont="1" applyBorder="1" applyAlignment="1">
      <alignment horizontal="center" vertical="center"/>
    </xf>
    <xf numFmtId="164" fontId="24" fillId="0" borderId="184" xfId="0" applyNumberFormat="1" applyFont="1" applyBorder="1" applyAlignment="1">
      <alignment horizontal="center" vertical="center"/>
    </xf>
    <xf numFmtId="164" fontId="24" fillId="0" borderId="185" xfId="0" applyNumberFormat="1" applyFont="1" applyBorder="1" applyAlignment="1">
      <alignment horizontal="center" vertical="center"/>
    </xf>
    <xf numFmtId="164" fontId="24" fillId="0" borderId="186" xfId="0" applyNumberFormat="1" applyFont="1" applyBorder="1" applyAlignment="1">
      <alignment horizontal="center" vertical="center"/>
    </xf>
    <xf numFmtId="164" fontId="24" fillId="0" borderId="187" xfId="0" applyNumberFormat="1" applyFont="1" applyBorder="1" applyAlignment="1">
      <alignment horizontal="center" vertical="center"/>
    </xf>
    <xf numFmtId="0" fontId="1" fillId="19" borderId="0" xfId="0" applyFont="1" applyFill="1" applyAlignment="1">
      <alignment horizontal="left"/>
    </xf>
    <xf numFmtId="0" fontId="1" fillId="0" borderId="0" xfId="0" applyFont="1" applyAlignment="1">
      <alignment horizontal="center"/>
    </xf>
    <xf numFmtId="164" fontId="1" fillId="0" borderId="0" xfId="0" applyNumberFormat="1" applyFont="1"/>
    <xf numFmtId="0" fontId="1" fillId="0" borderId="188" xfId="0" applyFont="1" applyBorder="1" applyAlignment="1">
      <alignment horizontal="center" vertical="center"/>
    </xf>
    <xf numFmtId="2" fontId="0" fillId="0" borderId="188" xfId="0" applyNumberFormat="1" applyBorder="1" applyAlignment="1">
      <alignment horizontal="center" vertical="center"/>
    </xf>
    <xf numFmtId="0" fontId="0" fillId="0" borderId="188" xfId="0" applyBorder="1" applyAlignment="1">
      <alignment horizontal="center" vertical="center"/>
    </xf>
    <xf numFmtId="0" fontId="1" fillId="0" borderId="189" xfId="0" applyFont="1" applyBorder="1" applyAlignment="1">
      <alignment horizontal="center" vertical="center"/>
    </xf>
    <xf numFmtId="2" fontId="0" fillId="0" borderId="189" xfId="0" applyNumberFormat="1" applyBorder="1" applyAlignment="1">
      <alignment horizontal="center" vertical="center"/>
    </xf>
    <xf numFmtId="0" fontId="0" fillId="0" borderId="189" xfId="0" applyBorder="1" applyAlignment="1">
      <alignment horizontal="center" vertical="center"/>
    </xf>
    <xf numFmtId="0" fontId="1" fillId="0" borderId="190" xfId="0" applyFont="1" applyBorder="1" applyAlignment="1">
      <alignment horizontal="center" vertical="center"/>
    </xf>
    <xf numFmtId="2" fontId="0" fillId="0" borderId="190" xfId="0" applyNumberFormat="1" applyBorder="1" applyAlignment="1">
      <alignment horizontal="center" vertical="center"/>
    </xf>
    <xf numFmtId="0" fontId="0" fillId="0" borderId="190" xfId="0" applyBorder="1" applyAlignment="1">
      <alignment horizontal="center" vertical="center"/>
    </xf>
    <xf numFmtId="2" fontId="0" fillId="0" borderId="189" xfId="0" applyNumberFormat="1" applyBorder="1" applyAlignment="1">
      <alignment horizontal="center"/>
    </xf>
    <xf numFmtId="0" fontId="0" fillId="0" borderId="189" xfId="0" applyBorder="1" applyAlignment="1">
      <alignment horizontal="center"/>
    </xf>
    <xf numFmtId="2" fontId="0" fillId="0" borderId="190" xfId="0" applyNumberFormat="1" applyBorder="1" applyAlignment="1">
      <alignment horizontal="center"/>
    </xf>
    <xf numFmtId="0" fontId="0" fillId="0" borderId="190" xfId="0" applyBorder="1" applyAlignment="1">
      <alignment horizontal="center"/>
    </xf>
    <xf numFmtId="0" fontId="0" fillId="0" borderId="0" xfId="0" applyAlignment="1">
      <alignment vertical="center"/>
    </xf>
    <xf numFmtId="0" fontId="1" fillId="0" borderId="191" xfId="0" applyFont="1" applyBorder="1" applyAlignment="1">
      <alignment horizontal="center" vertical="center"/>
    </xf>
    <xf numFmtId="2" fontId="0" fillId="0" borderId="191" xfId="0" applyNumberFormat="1" applyBorder="1" applyAlignment="1">
      <alignment horizontal="center" vertical="center"/>
    </xf>
    <xf numFmtId="0" fontId="0" fillId="0" borderId="191" xfId="0" applyBorder="1" applyAlignment="1">
      <alignment horizontal="center" vertical="center"/>
    </xf>
    <xf numFmtId="0" fontId="1" fillId="0" borderId="192" xfId="0" applyFont="1" applyBorder="1" applyAlignment="1">
      <alignment horizontal="center" vertical="center"/>
    </xf>
    <xf numFmtId="2" fontId="0" fillId="0" borderId="192" xfId="0" applyNumberFormat="1" applyBorder="1" applyAlignment="1">
      <alignment horizontal="center" vertical="center"/>
    </xf>
    <xf numFmtId="0" fontId="0" fillId="0" borderId="192" xfId="0" applyBorder="1" applyAlignment="1">
      <alignment horizontal="center" vertical="center"/>
    </xf>
    <xf numFmtId="2" fontId="1" fillId="0" borderId="192" xfId="0" applyNumberFormat="1" applyFont="1" applyBorder="1" applyAlignment="1">
      <alignment horizontal="center" vertical="center"/>
    </xf>
    <xf numFmtId="0" fontId="1" fillId="0" borderId="193" xfId="0" applyFont="1" applyBorder="1" applyAlignment="1">
      <alignment horizontal="center" vertical="center"/>
    </xf>
    <xf numFmtId="2" fontId="0" fillId="0" borderId="193" xfId="0" applyNumberFormat="1" applyBorder="1" applyAlignment="1">
      <alignment horizontal="center" vertical="center"/>
    </xf>
    <xf numFmtId="0" fontId="0" fillId="0" borderId="193" xfId="0" applyBorder="1" applyAlignment="1">
      <alignment horizontal="center" vertical="center"/>
    </xf>
    <xf numFmtId="0" fontId="1" fillId="0" borderId="194" xfId="0" applyFont="1" applyBorder="1" applyAlignment="1">
      <alignment horizontal="center" vertical="center"/>
    </xf>
    <xf numFmtId="2" fontId="0" fillId="0" borderId="194" xfId="0" applyNumberFormat="1" applyBorder="1" applyAlignment="1">
      <alignment horizontal="center" vertical="center"/>
    </xf>
    <xf numFmtId="0" fontId="0" fillId="0" borderId="194" xfId="0" applyBorder="1" applyAlignment="1">
      <alignment horizontal="center" vertical="center"/>
    </xf>
    <xf numFmtId="0" fontId="83" fillId="0" borderId="162" xfId="0" applyFont="1" applyBorder="1" applyAlignment="1">
      <alignment horizontal="center" vertical="center"/>
    </xf>
    <xf numFmtId="0" fontId="0" fillId="0" borderId="195" xfId="0" applyBorder="1" applyAlignment="1">
      <alignment horizontal="center" vertical="center"/>
    </xf>
    <xf numFmtId="0" fontId="0" fillId="0" borderId="173" xfId="0" applyBorder="1" applyAlignment="1">
      <alignment horizontal="center" vertical="center"/>
    </xf>
    <xf numFmtId="0" fontId="0" fillId="0" borderId="174" xfId="0" applyBorder="1" applyAlignment="1">
      <alignment horizontal="center" vertical="center"/>
    </xf>
    <xf numFmtId="0" fontId="0" fillId="0" borderId="175" xfId="0" applyBorder="1" applyAlignment="1">
      <alignment horizontal="center" vertical="center"/>
    </xf>
    <xf numFmtId="2" fontId="0" fillId="0" borderId="24" xfId="0" applyNumberFormat="1" applyBorder="1" applyAlignment="1">
      <alignment horizontal="center" vertical="center"/>
    </xf>
    <xf numFmtId="2" fontId="0" fillId="0" borderId="23" xfId="0" applyNumberFormat="1" applyBorder="1" applyAlignment="1">
      <alignment horizontal="center" vertical="center"/>
    </xf>
    <xf numFmtId="2" fontId="0" fillId="0" borderId="22" xfId="0" applyNumberFormat="1" applyBorder="1" applyAlignment="1">
      <alignment horizontal="center" vertical="center"/>
    </xf>
    <xf numFmtId="2" fontId="7" fillId="0" borderId="19" xfId="0" applyNumberFormat="1" applyFont="1" applyBorder="1" applyAlignment="1">
      <alignment horizontal="center" vertical="center"/>
    </xf>
    <xf numFmtId="2" fontId="7" fillId="0" borderId="18" xfId="0" applyNumberFormat="1" applyFont="1" applyBorder="1" applyAlignment="1">
      <alignment horizontal="center" vertical="center"/>
    </xf>
    <xf numFmtId="2" fontId="7" fillId="0" borderId="17" xfId="0" applyNumberFormat="1" applyFont="1" applyBorder="1" applyAlignment="1">
      <alignment horizontal="center" vertical="center"/>
    </xf>
    <xf numFmtId="2" fontId="0" fillId="0" borderId="19" xfId="0" applyNumberFormat="1" applyBorder="1" applyAlignment="1">
      <alignment horizontal="center" vertical="center"/>
    </xf>
    <xf numFmtId="2" fontId="0" fillId="0" borderId="18" xfId="0" applyNumberFormat="1" applyBorder="1" applyAlignment="1">
      <alignment horizontal="center" vertical="center"/>
    </xf>
    <xf numFmtId="2" fontId="0" fillId="0" borderId="17" xfId="0" applyNumberFormat="1" applyBorder="1" applyAlignment="1">
      <alignment horizontal="center" vertical="center"/>
    </xf>
    <xf numFmtId="2" fontId="0" fillId="0" borderId="158" xfId="0" applyNumberFormat="1" applyBorder="1" applyAlignment="1">
      <alignment horizontal="center" vertical="center"/>
    </xf>
    <xf numFmtId="2" fontId="0" fillId="0" borderId="159" xfId="0" applyNumberFormat="1" applyBorder="1" applyAlignment="1">
      <alignment horizontal="center" vertical="center"/>
    </xf>
    <xf numFmtId="2" fontId="0" fillId="0" borderId="160" xfId="0" applyNumberFormat="1" applyBorder="1" applyAlignment="1">
      <alignment horizontal="center" vertical="center"/>
    </xf>
    <xf numFmtId="2" fontId="0" fillId="0" borderId="70" xfId="0" applyNumberFormat="1" applyBorder="1" applyAlignment="1">
      <alignment horizontal="center" vertical="center"/>
    </xf>
    <xf numFmtId="2" fontId="0" fillId="0" borderId="71" xfId="0" applyNumberFormat="1" applyBorder="1" applyAlignment="1">
      <alignment horizontal="center" vertical="center"/>
    </xf>
    <xf numFmtId="2" fontId="0" fillId="0" borderId="72" xfId="0" applyNumberFormat="1" applyBorder="1" applyAlignment="1">
      <alignment horizontal="center" vertical="center"/>
    </xf>
    <xf numFmtId="2" fontId="0" fillId="0" borderId="16" xfId="0" applyNumberFormat="1" applyBorder="1" applyAlignment="1">
      <alignment horizontal="center" vertical="center"/>
    </xf>
    <xf numFmtId="2" fontId="0" fillId="0" borderId="15" xfId="0" applyNumberFormat="1" applyBorder="1" applyAlignment="1">
      <alignment horizontal="center" vertical="center"/>
    </xf>
    <xf numFmtId="2" fontId="0" fillId="0" borderId="14" xfId="0" applyNumberFormat="1" applyBorder="1" applyAlignment="1">
      <alignment horizontal="center" vertical="center"/>
    </xf>
    <xf numFmtId="2" fontId="15" fillId="0" borderId="0" xfId="0" applyNumberFormat="1" applyFont="1" applyAlignment="1">
      <alignment horizontal="center" vertical="center"/>
    </xf>
    <xf numFmtId="2" fontId="15" fillId="0" borderId="123" xfId="0" applyNumberFormat="1" applyFont="1" applyBorder="1" applyAlignment="1">
      <alignment horizontal="center" vertical="center"/>
    </xf>
    <xf numFmtId="0" fontId="29" fillId="0" borderId="0" xfId="0" applyFont="1" applyAlignment="1">
      <alignment horizontal="left" wrapText="1"/>
    </xf>
    <xf numFmtId="0" fontId="18" fillId="0" borderId="0" xfId="0" applyFont="1" applyAlignment="1">
      <alignment horizontal="left" vertical="top"/>
    </xf>
    <xf numFmtId="0" fontId="0" fillId="0" borderId="178" xfId="0" applyBorder="1" applyAlignment="1">
      <alignment horizontal="center" vertical="center"/>
    </xf>
    <xf numFmtId="0" fontId="0" fillId="0" borderId="179" xfId="0" applyBorder="1" applyAlignment="1">
      <alignment horizontal="center" vertical="center"/>
    </xf>
    <xf numFmtId="0" fontId="0" fillId="0" borderId="180" xfId="0" applyBorder="1" applyAlignment="1">
      <alignment horizontal="center" vertical="center"/>
    </xf>
    <xf numFmtId="1" fontId="88" fillId="7" borderId="117" xfId="0" applyNumberFormat="1" applyFont="1" applyFill="1" applyBorder="1" applyAlignment="1">
      <alignment horizontal="center"/>
    </xf>
    <xf numFmtId="165" fontId="24" fillId="0" borderId="70" xfId="5" applyNumberFormat="1" applyFont="1" applyBorder="1" applyAlignment="1">
      <alignment horizontal="center"/>
    </xf>
    <xf numFmtId="0" fontId="14" fillId="15" borderId="196" xfId="0" applyFont="1" applyFill="1" applyBorder="1" applyAlignment="1">
      <alignment horizontal="center" vertical="center"/>
    </xf>
    <xf numFmtId="0" fontId="14" fillId="15" borderId="197" xfId="0" applyFont="1" applyFill="1" applyBorder="1" applyAlignment="1">
      <alignment horizontal="center" vertical="center"/>
    </xf>
    <xf numFmtId="0" fontId="2" fillId="0" borderId="0" xfId="0" applyFont="1" applyAlignment="1">
      <alignment horizontal="right" vertical="center"/>
    </xf>
    <xf numFmtId="0" fontId="56" fillId="0" borderId="0" xfId="7" applyFont="1" applyAlignment="1">
      <alignment horizontal="center" vertical="center"/>
    </xf>
    <xf numFmtId="165" fontId="24" fillId="0" borderId="0" xfId="7" applyNumberFormat="1" applyFont="1" applyAlignment="1">
      <alignment horizontal="center"/>
    </xf>
    <xf numFmtId="0" fontId="40" fillId="0" borderId="0" xfId="2" applyFont="1" applyAlignment="1">
      <alignment horizontal="center"/>
    </xf>
    <xf numFmtId="0" fontId="40" fillId="0" borderId="0" xfId="2" applyFont="1" applyAlignment="1">
      <alignment horizontal="center" vertical="center"/>
    </xf>
    <xf numFmtId="165" fontId="24" fillId="0" borderId="0" xfId="5" applyNumberFormat="1" applyFont="1" applyAlignment="1">
      <alignment horizontal="center"/>
    </xf>
    <xf numFmtId="164" fontId="1" fillId="0" borderId="0" xfId="2" applyNumberFormat="1"/>
    <xf numFmtId="164" fontId="45" fillId="15" borderId="74" xfId="2" applyNumberFormat="1" applyFont="1" applyFill="1" applyBorder="1" applyAlignment="1">
      <alignment horizontal="center"/>
    </xf>
    <xf numFmtId="164" fontId="45" fillId="15" borderId="118" xfId="2" applyNumberFormat="1" applyFont="1" applyFill="1" applyBorder="1" applyAlignment="1">
      <alignment horizontal="center"/>
    </xf>
    <xf numFmtId="164" fontId="45" fillId="15" borderId="13" xfId="2" applyNumberFormat="1" applyFont="1" applyFill="1" applyBorder="1" applyAlignment="1">
      <alignment horizontal="center"/>
    </xf>
    <xf numFmtId="0" fontId="41" fillId="0" borderId="0" xfId="2" applyFont="1" applyAlignment="1">
      <alignment horizontal="center"/>
    </xf>
    <xf numFmtId="164" fontId="1" fillId="0" borderId="0" xfId="2" applyNumberFormat="1" applyAlignment="1">
      <alignment horizontal="center"/>
    </xf>
    <xf numFmtId="164" fontId="45" fillId="13" borderId="74" xfId="2" applyNumberFormat="1" applyFont="1" applyFill="1" applyBorder="1" applyAlignment="1">
      <alignment horizontal="center"/>
    </xf>
    <xf numFmtId="164" fontId="45" fillId="13" borderId="13" xfId="2" applyNumberFormat="1" applyFont="1" applyFill="1" applyBorder="1" applyAlignment="1">
      <alignment horizontal="center"/>
    </xf>
    <xf numFmtId="0" fontId="1" fillId="0" borderId="8" xfId="0" applyFont="1" applyBorder="1" applyAlignment="1">
      <alignment horizontal="center" vertical="center"/>
    </xf>
    <xf numFmtId="0" fontId="1" fillId="0" borderId="0" xfId="2" applyAlignment="1">
      <alignment horizontal="center" vertical="center"/>
    </xf>
    <xf numFmtId="165" fontId="89" fillId="0" borderId="0" xfId="5" applyNumberFormat="1" applyFont="1" applyAlignment="1">
      <alignment horizontal="center"/>
    </xf>
    <xf numFmtId="164" fontId="68" fillId="0" borderId="0" xfId="0" applyNumberFormat="1" applyFont="1"/>
    <xf numFmtId="0" fontId="1" fillId="0" borderId="0" xfId="0" applyFont="1" applyAlignment="1">
      <alignment horizontal="right"/>
    </xf>
    <xf numFmtId="0" fontId="53" fillId="33" borderId="200" xfId="0" applyFont="1" applyFill="1" applyBorder="1" applyAlignment="1">
      <alignment horizontal="center" vertical="center"/>
    </xf>
    <xf numFmtId="0" fontId="67" fillId="33" borderId="200" xfId="0" applyFont="1" applyFill="1" applyBorder="1" applyAlignment="1">
      <alignment horizontal="center"/>
    </xf>
    <xf numFmtId="0" fontId="53" fillId="16" borderId="201" xfId="0" applyFont="1" applyFill="1" applyBorder="1" applyAlignment="1">
      <alignment horizontal="center" vertical="center"/>
    </xf>
    <xf numFmtId="0" fontId="90" fillId="0" borderId="201" xfId="0" applyFont="1" applyBorder="1" applyAlignment="1">
      <alignment horizontal="center"/>
    </xf>
    <xf numFmtId="2" fontId="24" fillId="0" borderId="202" xfId="0" applyNumberFormat="1" applyFont="1" applyBorder="1" applyAlignment="1">
      <alignment horizontal="center" vertical="center"/>
    </xf>
    <xf numFmtId="2" fontId="24" fillId="0" borderId="201" xfId="0" applyNumberFormat="1" applyFont="1" applyBorder="1" applyAlignment="1">
      <alignment horizontal="center" vertical="center"/>
    </xf>
    <xf numFmtId="0" fontId="90" fillId="0" borderId="124" xfId="0" applyFont="1" applyBorder="1" applyAlignment="1">
      <alignment horizontal="center"/>
    </xf>
    <xf numFmtId="2" fontId="24" fillId="0" borderId="203" xfId="0" applyNumberFormat="1" applyFont="1" applyBorder="1" applyAlignment="1">
      <alignment horizontal="center" vertical="center"/>
    </xf>
    <xf numFmtId="2" fontId="24" fillId="0" borderId="198" xfId="0" applyNumberFormat="1" applyFont="1" applyBorder="1" applyAlignment="1">
      <alignment horizontal="center" vertical="center"/>
    </xf>
    <xf numFmtId="0" fontId="90" fillId="0" borderId="204" xfId="0" applyFont="1" applyBorder="1" applyAlignment="1">
      <alignment horizontal="center"/>
    </xf>
    <xf numFmtId="2" fontId="24" fillId="0" borderId="199" xfId="0" applyNumberFormat="1" applyFont="1" applyBorder="1" applyAlignment="1">
      <alignment horizontal="center" vertical="center"/>
    </xf>
    <xf numFmtId="0" fontId="85" fillId="0" borderId="0" xfId="0" applyFont="1"/>
    <xf numFmtId="0" fontId="53" fillId="33" borderId="200" xfId="0" applyFont="1" applyFill="1" applyBorder="1" applyAlignment="1">
      <alignment horizontal="center" vertical="center" wrapText="1"/>
    </xf>
    <xf numFmtId="0" fontId="46" fillId="13" borderId="200" xfId="0" applyFont="1" applyFill="1" applyBorder="1" applyAlignment="1">
      <alignment horizontal="center" vertical="center"/>
    </xf>
    <xf numFmtId="0" fontId="25" fillId="0" borderId="205" xfId="0" applyFont="1" applyBorder="1" applyAlignment="1">
      <alignment horizontal="center"/>
    </xf>
    <xf numFmtId="0" fontId="72" fillId="0" borderId="205" xfId="0" applyFont="1" applyBorder="1" applyAlignment="1">
      <alignment horizontal="center"/>
    </xf>
    <xf numFmtId="0" fontId="72" fillId="0" borderId="201" xfId="0" applyFont="1" applyBorder="1" applyAlignment="1">
      <alignment horizontal="center"/>
    </xf>
    <xf numFmtId="0" fontId="53" fillId="0" borderId="201" xfId="0" applyFont="1" applyBorder="1" applyAlignment="1">
      <alignment horizontal="center" vertical="center"/>
    </xf>
    <xf numFmtId="0" fontId="91" fillId="0" borderId="0" xfId="0" applyFont="1"/>
    <xf numFmtId="2" fontId="43" fillId="0" borderId="0" xfId="0" applyNumberFormat="1" applyFont="1" applyAlignment="1">
      <alignment horizontal="left" vertical="center"/>
    </xf>
    <xf numFmtId="0" fontId="14" fillId="33" borderId="112" xfId="0" applyFont="1" applyFill="1" applyBorder="1" applyAlignment="1">
      <alignment horizontal="center"/>
    </xf>
    <xf numFmtId="0" fontId="14" fillId="0" borderId="0" xfId="0" applyFont="1" applyAlignment="1">
      <alignment vertical="top"/>
    </xf>
    <xf numFmtId="0" fontId="14" fillId="33" borderId="208" xfId="0" applyFont="1" applyFill="1" applyBorder="1" applyAlignment="1">
      <alignment horizontal="center"/>
    </xf>
    <xf numFmtId="2" fontId="14" fillId="19" borderId="209" xfId="0" applyNumberFormat="1" applyFont="1" applyFill="1" applyBorder="1" applyAlignment="1">
      <alignment horizontal="center"/>
    </xf>
    <xf numFmtId="2" fontId="14" fillId="19" borderId="210" xfId="0" applyNumberFormat="1" applyFont="1" applyFill="1" applyBorder="1" applyAlignment="1">
      <alignment horizontal="center"/>
    </xf>
    <xf numFmtId="2" fontId="14" fillId="19" borderId="211" xfId="0" applyNumberFormat="1" applyFont="1" applyFill="1" applyBorder="1" applyAlignment="1">
      <alignment horizontal="center"/>
    </xf>
    <xf numFmtId="0" fontId="14" fillId="33" borderId="212" xfId="0" applyFont="1" applyFill="1" applyBorder="1" applyAlignment="1">
      <alignment horizontal="center"/>
    </xf>
    <xf numFmtId="2" fontId="14" fillId="19" borderId="213" xfId="0" applyNumberFormat="1" applyFont="1" applyFill="1" applyBorder="1" applyAlignment="1">
      <alignment horizontal="center"/>
    </xf>
    <xf numFmtId="2" fontId="14" fillId="19" borderId="214" xfId="0" applyNumberFormat="1" applyFont="1" applyFill="1" applyBorder="1" applyAlignment="1">
      <alignment horizontal="center"/>
    </xf>
    <xf numFmtId="2" fontId="14" fillId="19" borderId="215" xfId="0" applyNumberFormat="1" applyFont="1" applyFill="1" applyBorder="1" applyAlignment="1">
      <alignment horizontal="center"/>
    </xf>
    <xf numFmtId="0" fontId="92" fillId="0" borderId="0" xfId="0" applyFont="1" applyAlignment="1">
      <alignment horizontal="center"/>
    </xf>
    <xf numFmtId="2" fontId="92" fillId="0" borderId="0" xfId="0" applyNumberFormat="1" applyFont="1" applyAlignment="1">
      <alignment horizontal="center"/>
    </xf>
    <xf numFmtId="0" fontId="78" fillId="0" borderId="0" xfId="0" applyFont="1" applyAlignment="1">
      <alignment horizontal="center"/>
    </xf>
    <xf numFmtId="0" fontId="92" fillId="0" borderId="0" xfId="0" applyFont="1" applyAlignment="1">
      <alignment horizontal="left" vertical="center"/>
    </xf>
    <xf numFmtId="0" fontId="77" fillId="0" borderId="0" xfId="0" applyFont="1" applyAlignment="1">
      <alignment vertical="top"/>
    </xf>
    <xf numFmtId="0" fontId="3" fillId="19" borderId="0" xfId="0" applyFont="1" applyFill="1" applyAlignment="1">
      <alignment horizontal="left"/>
    </xf>
    <xf numFmtId="0" fontId="27" fillId="5" borderId="0" xfId="0" applyFont="1" applyFill="1" applyAlignment="1">
      <alignment horizontal="right"/>
    </xf>
    <xf numFmtId="14" fontId="0" fillId="19" borderId="0" xfId="0" applyNumberFormat="1" applyFill="1" applyAlignment="1">
      <alignment horizontal="left"/>
    </xf>
    <xf numFmtId="14" fontId="0" fillId="19" borderId="0" xfId="0" applyNumberFormat="1" applyFill="1"/>
    <xf numFmtId="0" fontId="7" fillId="5" borderId="0" xfId="0" applyFont="1" applyFill="1" applyAlignment="1">
      <alignment horizontal="right"/>
    </xf>
    <xf numFmtId="0" fontId="7" fillId="22" borderId="0" xfId="0" applyFont="1" applyFill="1" applyAlignment="1">
      <alignment horizontal="right"/>
    </xf>
    <xf numFmtId="0" fontId="0" fillId="32" borderId="0" xfId="0" applyFill="1" applyAlignment="1">
      <alignment horizontal="left"/>
    </xf>
    <xf numFmtId="0" fontId="3" fillId="32" borderId="0" xfId="0" applyFont="1" applyFill="1" applyAlignment="1">
      <alignment horizontal="left"/>
    </xf>
    <xf numFmtId="14" fontId="0" fillId="19" borderId="0" xfId="0" applyNumberFormat="1" applyFill="1" applyAlignment="1">
      <alignment horizontal="left" vertical="center"/>
    </xf>
    <xf numFmtId="0" fontId="86" fillId="19" borderId="0" xfId="0" applyFont="1" applyFill="1" applyAlignment="1">
      <alignment horizontal="left"/>
    </xf>
    <xf numFmtId="14" fontId="86" fillId="19" borderId="0" xfId="0" applyNumberFormat="1" applyFont="1" applyFill="1" applyAlignment="1">
      <alignment horizontal="left"/>
    </xf>
    <xf numFmtId="0" fontId="0" fillId="32" borderId="0" xfId="0" applyFill="1"/>
    <xf numFmtId="0" fontId="3" fillId="32" borderId="0" xfId="0" applyFont="1" applyFill="1"/>
    <xf numFmtId="0" fontId="0" fillId="19" borderId="0" xfId="0" applyFill="1" applyAlignment="1">
      <alignment vertical="center"/>
    </xf>
    <xf numFmtId="14" fontId="0" fillId="19" borderId="0" xfId="0" applyNumberFormat="1" applyFill="1" applyAlignment="1">
      <alignment vertical="center"/>
    </xf>
    <xf numFmtId="0" fontId="86" fillId="19" borderId="0" xfId="0" applyFont="1" applyFill="1"/>
    <xf numFmtId="14" fontId="86" fillId="19" borderId="0" xfId="0" applyNumberFormat="1" applyFont="1" applyFill="1"/>
    <xf numFmtId="0" fontId="86" fillId="19" borderId="0" xfId="0" applyFont="1" applyFill="1" applyAlignment="1">
      <alignment horizontal="center"/>
    </xf>
    <xf numFmtId="0" fontId="0" fillId="19" borderId="0" xfId="0" applyFill="1" applyAlignment="1">
      <alignment horizontal="left"/>
    </xf>
    <xf numFmtId="0" fontId="91" fillId="0" borderId="0" xfId="0" applyFont="1" applyAlignment="1">
      <alignment vertical="center" wrapText="1"/>
    </xf>
    <xf numFmtId="0" fontId="91" fillId="0" borderId="0" xfId="0" applyFont="1" applyAlignment="1">
      <alignment vertical="center"/>
    </xf>
    <xf numFmtId="0" fontId="0" fillId="19" borderId="0" xfId="0" applyFill="1" applyAlignment="1">
      <alignment horizontal="left" vertical="center"/>
    </xf>
    <xf numFmtId="0" fontId="94" fillId="19" borderId="0" xfId="0" applyFont="1" applyFill="1" applyAlignment="1">
      <alignment horizontal="center" vertical="center" readingOrder="1"/>
    </xf>
    <xf numFmtId="0" fontId="95" fillId="0" borderId="0" xfId="0" applyFont="1" applyAlignment="1">
      <alignment horizontal="left" vertical="center" readingOrder="1"/>
    </xf>
    <xf numFmtId="165" fontId="2" fillId="0" borderId="0" xfId="7" applyNumberFormat="1" applyFont="1" applyAlignment="1">
      <alignment horizontal="center"/>
    </xf>
    <xf numFmtId="2" fontId="24" fillId="0" borderId="200" xfId="0" applyNumberFormat="1" applyFont="1" applyBorder="1" applyAlignment="1">
      <alignment horizontal="center" vertical="center"/>
    </xf>
    <xf numFmtId="165" fontId="24" fillId="0" borderId="223" xfId="5" applyNumberFormat="1" applyFont="1" applyBorder="1" applyAlignment="1">
      <alignment horizontal="center"/>
    </xf>
    <xf numFmtId="165" fontId="2" fillId="0" borderId="0" xfId="7" applyNumberFormat="1" applyFont="1" applyAlignment="1">
      <alignment horizontal="right"/>
    </xf>
    <xf numFmtId="0" fontId="0" fillId="0" borderId="124" xfId="0" applyBorder="1"/>
    <xf numFmtId="165" fontId="24" fillId="0" borderId="225" xfId="5" applyNumberFormat="1" applyFont="1" applyBorder="1" applyAlignment="1">
      <alignment horizontal="center"/>
    </xf>
    <xf numFmtId="0" fontId="48" fillId="16" borderId="224" xfId="5" applyFont="1" applyFill="1" applyBorder="1" applyAlignment="1">
      <alignment horizontal="center"/>
    </xf>
    <xf numFmtId="165" fontId="24" fillId="0" borderId="226" xfId="5" applyNumberFormat="1" applyFont="1" applyBorder="1" applyAlignment="1">
      <alignment horizontal="center"/>
    </xf>
    <xf numFmtId="0" fontId="100" fillId="27" borderId="90" xfId="9" applyFont="1" applyFill="1" applyBorder="1" applyAlignment="1">
      <alignment horizontal="center" vertical="center"/>
    </xf>
    <xf numFmtId="0" fontId="101" fillId="27" borderId="93" xfId="9" applyFont="1" applyFill="1" applyBorder="1" applyAlignment="1">
      <alignment horizontal="center" vertical="center"/>
    </xf>
    <xf numFmtId="0" fontId="23" fillId="10" borderId="80" xfId="0" applyFont="1" applyFill="1" applyBorder="1" applyAlignment="1">
      <alignment horizontal="center"/>
    </xf>
    <xf numFmtId="0" fontId="1" fillId="0" borderId="235" xfId="0" applyFont="1" applyBorder="1"/>
    <xf numFmtId="0" fontId="0" fillId="0" borderId="235" xfId="0" applyBorder="1"/>
    <xf numFmtId="0" fontId="0" fillId="0" borderId="237" xfId="0" applyBorder="1" applyAlignment="1">
      <alignment horizontal="center"/>
    </xf>
    <xf numFmtId="0" fontId="7" fillId="0" borderId="237" xfId="0" applyFont="1" applyBorder="1" applyAlignment="1">
      <alignment horizontal="center"/>
    </xf>
    <xf numFmtId="0" fontId="0" fillId="0" borderId="238" xfId="0" applyBorder="1" applyAlignment="1">
      <alignment horizontal="center"/>
    </xf>
    <xf numFmtId="0" fontId="7" fillId="0" borderId="238" xfId="0" applyFont="1" applyBorder="1" applyAlignment="1">
      <alignment horizontal="center"/>
    </xf>
    <xf numFmtId="0" fontId="0" fillId="0" borderId="238" xfId="0" applyBorder="1"/>
    <xf numFmtId="0" fontId="7" fillId="0" borderId="238" xfId="0" applyFont="1" applyBorder="1"/>
    <xf numFmtId="0" fontId="0" fillId="0" borderId="239" xfId="0" applyBorder="1" applyAlignment="1">
      <alignment horizontal="center"/>
    </xf>
    <xf numFmtId="0" fontId="0" fillId="0" borderId="239" xfId="0" applyBorder="1"/>
    <xf numFmtId="0" fontId="0" fillId="0" borderId="241" xfId="0" applyBorder="1"/>
    <xf numFmtId="0" fontId="7" fillId="0" borderId="241" xfId="0" applyFont="1" applyBorder="1"/>
    <xf numFmtId="0" fontId="0" fillId="0" borderId="242" xfId="0" applyBorder="1"/>
    <xf numFmtId="164" fontId="0" fillId="0" borderId="240" xfId="0" applyNumberFormat="1" applyBorder="1" applyAlignment="1">
      <alignment horizontal="center"/>
    </xf>
    <xf numFmtId="164" fontId="1" fillId="0" borderId="240" xfId="0" applyNumberFormat="1" applyFont="1" applyBorder="1" applyAlignment="1">
      <alignment horizontal="center"/>
    </xf>
    <xf numFmtId="164" fontId="1" fillId="0" borderId="243" xfId="2" applyNumberFormat="1" applyBorder="1" applyAlignment="1">
      <alignment horizontal="center"/>
    </xf>
    <xf numFmtId="164" fontId="1" fillId="0" borderId="244" xfId="2" applyNumberFormat="1" applyBorder="1" applyAlignment="1">
      <alignment horizontal="center"/>
    </xf>
    <xf numFmtId="164" fontId="1" fillId="0" borderId="245" xfId="2" applyNumberFormat="1" applyBorder="1" applyAlignment="1">
      <alignment horizontal="center"/>
    </xf>
    <xf numFmtId="2" fontId="0" fillId="0" borderId="240" xfId="0" applyNumberFormat="1" applyBorder="1" applyAlignment="1">
      <alignment horizontal="center"/>
    </xf>
    <xf numFmtId="0" fontId="0" fillId="0" borderId="240" xfId="0" applyBorder="1" applyAlignment="1">
      <alignment horizontal="center"/>
    </xf>
    <xf numFmtId="2" fontId="0" fillId="0" borderId="246" xfId="0" applyNumberFormat="1" applyBorder="1" applyAlignment="1">
      <alignment horizontal="center" vertical="center"/>
    </xf>
    <xf numFmtId="2" fontId="0" fillId="0" borderId="247" xfId="0" applyNumberFormat="1" applyBorder="1" applyAlignment="1">
      <alignment horizontal="center" vertical="center"/>
    </xf>
    <xf numFmtId="2" fontId="0" fillId="0" borderId="248" xfId="0" applyNumberFormat="1" applyBorder="1" applyAlignment="1">
      <alignment horizontal="center" vertical="center"/>
    </xf>
    <xf numFmtId="2" fontId="0" fillId="0" borderId="249" xfId="0" applyNumberFormat="1" applyBorder="1" applyAlignment="1">
      <alignment horizontal="center" vertical="center"/>
    </xf>
    <xf numFmtId="2" fontId="0" fillId="0" borderId="250" xfId="0" applyNumberFormat="1" applyBorder="1" applyAlignment="1">
      <alignment horizontal="center" vertical="center"/>
    </xf>
    <xf numFmtId="2" fontId="0" fillId="0" borderId="251" xfId="0" applyNumberFormat="1" applyBorder="1" applyAlignment="1">
      <alignment horizontal="center" vertical="center"/>
    </xf>
    <xf numFmtId="0" fontId="0" fillId="36" borderId="252" xfId="0" applyFill="1" applyBorder="1" applyAlignment="1">
      <alignment horizontal="center" vertical="center"/>
    </xf>
    <xf numFmtId="0" fontId="0" fillId="36" borderId="253" xfId="0" applyFill="1" applyBorder="1" applyAlignment="1">
      <alignment horizontal="center" vertical="center"/>
    </xf>
    <xf numFmtId="0" fontId="0" fillId="36" borderId="254" xfId="0" applyFill="1" applyBorder="1" applyAlignment="1">
      <alignment horizontal="center" vertical="center"/>
    </xf>
    <xf numFmtId="164" fontId="0" fillId="0" borderId="255" xfId="0" applyNumberFormat="1" applyBorder="1" applyAlignment="1">
      <alignment horizontal="center" vertical="center"/>
    </xf>
    <xf numFmtId="164" fontId="0" fillId="0" borderId="256" xfId="0" applyNumberFormat="1" applyBorder="1" applyAlignment="1">
      <alignment horizontal="center" vertical="center"/>
    </xf>
    <xf numFmtId="164" fontId="0" fillId="0" borderId="254" xfId="0" applyNumberFormat="1" applyBorder="1" applyAlignment="1">
      <alignment horizontal="center" vertical="center"/>
    </xf>
    <xf numFmtId="2" fontId="3" fillId="0" borderId="246" xfId="0" applyNumberFormat="1" applyFont="1" applyBorder="1" applyAlignment="1">
      <alignment horizontal="center" vertical="center" wrapText="1"/>
    </xf>
    <xf numFmtId="0" fontId="1" fillId="36" borderId="252" xfId="0" applyFont="1" applyFill="1" applyBorder="1" applyAlignment="1">
      <alignment horizontal="center" vertical="center"/>
    </xf>
    <xf numFmtId="0" fontId="1" fillId="36" borderId="253" xfId="0" applyFont="1" applyFill="1" applyBorder="1" applyAlignment="1">
      <alignment horizontal="center" vertical="center"/>
    </xf>
    <xf numFmtId="164" fontId="1" fillId="36" borderId="253" xfId="5" applyNumberFormat="1" applyFont="1" applyFill="1" applyBorder="1" applyAlignment="1">
      <alignment horizontal="center" vertical="center"/>
    </xf>
    <xf numFmtId="164" fontId="1" fillId="36" borderId="253" xfId="1" applyNumberFormat="1" applyFont="1" applyFill="1" applyBorder="1" applyAlignment="1">
      <alignment horizontal="center" vertical="center"/>
    </xf>
    <xf numFmtId="164" fontId="1" fillId="36" borderId="253" xfId="0" applyNumberFormat="1" applyFont="1" applyFill="1" applyBorder="1" applyAlignment="1">
      <alignment horizontal="center" vertical="center"/>
    </xf>
    <xf numFmtId="164" fontId="1" fillId="36" borderId="254" xfId="0" applyNumberFormat="1" applyFont="1" applyFill="1" applyBorder="1" applyAlignment="1">
      <alignment horizontal="center" vertical="center"/>
    </xf>
    <xf numFmtId="2" fontId="103" fillId="19" borderId="210" xfId="0" applyNumberFormat="1" applyFont="1" applyFill="1" applyBorder="1" applyAlignment="1">
      <alignment horizontal="center"/>
    </xf>
    <xf numFmtId="2" fontId="103" fillId="19" borderId="137" xfId="0" applyNumberFormat="1" applyFont="1" applyFill="1" applyBorder="1" applyAlignment="1">
      <alignment horizontal="center"/>
    </xf>
    <xf numFmtId="0" fontId="87" fillId="16" borderId="0" xfId="0" applyFont="1" applyFill="1" applyAlignment="1">
      <alignment horizontal="center" vertical="top" wrapText="1"/>
    </xf>
    <xf numFmtId="0" fontId="84" fillId="16" borderId="0" xfId="0" applyFont="1" applyFill="1" applyAlignment="1">
      <alignment horizontal="center" vertical="top" wrapText="1"/>
    </xf>
    <xf numFmtId="0" fontId="0" fillId="0" borderId="0" xfId="0" applyAlignment="1">
      <alignment horizontal="center"/>
    </xf>
    <xf numFmtId="0" fontId="7" fillId="11" borderId="0" xfId="0" applyFont="1" applyFill="1" applyAlignment="1">
      <alignment horizontal="right"/>
    </xf>
    <xf numFmtId="0" fontId="3" fillId="19" borderId="0" xfId="0" applyFont="1" applyFill="1" applyAlignment="1">
      <alignment horizontal="left"/>
    </xf>
    <xf numFmtId="0" fontId="1" fillId="19" borderId="0" xfId="0" applyFont="1" applyFill="1" applyAlignment="1">
      <alignment horizontal="left"/>
    </xf>
    <xf numFmtId="0" fontId="3" fillId="19" borderId="0" xfId="0" applyFont="1" applyFill="1" applyAlignment="1">
      <alignment horizontal="center"/>
    </xf>
    <xf numFmtId="0" fontId="27" fillId="11" borderId="0" xfId="0" applyFont="1" applyFill="1" applyAlignment="1">
      <alignment horizontal="center"/>
    </xf>
    <xf numFmtId="0" fontId="102" fillId="0" borderId="0" xfId="0" applyFont="1" applyAlignment="1">
      <alignment horizontal="center" vertical="center"/>
    </xf>
    <xf numFmtId="0" fontId="102" fillId="0" borderId="76" xfId="0" applyFont="1" applyBorder="1" applyAlignment="1">
      <alignment horizontal="center" vertical="center"/>
    </xf>
    <xf numFmtId="0" fontId="40" fillId="13" borderId="147" xfId="0" applyFont="1" applyFill="1" applyBorder="1" applyAlignment="1">
      <alignment horizontal="center" vertical="center"/>
    </xf>
    <xf numFmtId="0" fontId="40" fillId="13" borderId="0" xfId="0" applyFont="1" applyFill="1" applyAlignment="1">
      <alignment horizontal="center" vertical="center"/>
    </xf>
    <xf numFmtId="0" fontId="40" fillId="13" borderId="143" xfId="0" applyFont="1" applyFill="1" applyBorder="1" applyAlignment="1">
      <alignment horizontal="center" vertical="center"/>
    </xf>
    <xf numFmtId="0" fontId="40" fillId="13" borderId="142" xfId="0" applyFont="1" applyFill="1" applyBorder="1" applyAlignment="1">
      <alignment horizontal="center"/>
    </xf>
    <xf numFmtId="0" fontId="40" fillId="13" borderId="115" xfId="0" applyFont="1" applyFill="1" applyBorder="1" applyAlignment="1">
      <alignment horizontal="center"/>
    </xf>
    <xf numFmtId="0" fontId="40" fillId="13" borderId="126" xfId="0" applyFont="1" applyFill="1" applyBorder="1" applyAlignment="1">
      <alignment horizontal="center" vertical="center"/>
    </xf>
    <xf numFmtId="0" fontId="42" fillId="18" borderId="10" xfId="0" applyFont="1" applyFill="1" applyBorder="1" applyAlignment="1">
      <alignment horizontal="center"/>
    </xf>
    <xf numFmtId="0" fontId="7" fillId="18" borderId="0" xfId="0" applyFont="1" applyFill="1" applyAlignment="1">
      <alignment horizontal="center" vertical="center"/>
    </xf>
    <xf numFmtId="0" fontId="7" fillId="18" borderId="0" xfId="0" applyFont="1" applyFill="1" applyAlignment="1">
      <alignment horizontal="center"/>
    </xf>
    <xf numFmtId="0" fontId="40" fillId="13" borderId="8" xfId="0" applyFont="1" applyFill="1" applyBorder="1" applyAlignment="1">
      <alignment horizontal="center" vertical="center"/>
    </xf>
    <xf numFmtId="0" fontId="1" fillId="13" borderId="8" xfId="0" applyFont="1" applyFill="1" applyBorder="1" applyAlignment="1">
      <alignment horizontal="center" vertical="center"/>
    </xf>
    <xf numFmtId="0" fontId="1" fillId="13" borderId="10" xfId="0" applyFont="1" applyFill="1" applyBorder="1" applyAlignment="1">
      <alignment horizontal="center" vertical="center"/>
    </xf>
    <xf numFmtId="0" fontId="7" fillId="18" borderId="8" xfId="0" applyFont="1" applyFill="1" applyBorder="1" applyAlignment="1">
      <alignment horizontal="center"/>
    </xf>
    <xf numFmtId="0" fontId="44" fillId="18" borderId="0" xfId="0" applyFont="1" applyFill="1" applyAlignment="1">
      <alignment horizontal="center"/>
    </xf>
    <xf numFmtId="0" fontId="42" fillId="18" borderId="0" xfId="0" applyFont="1" applyFill="1" applyAlignment="1">
      <alignment horizontal="center"/>
    </xf>
    <xf numFmtId="0" fontId="38" fillId="13" borderId="74" xfId="2" applyFont="1" applyFill="1" applyBorder="1" applyAlignment="1">
      <alignment horizontal="center" vertical="center"/>
    </xf>
    <xf numFmtId="164" fontId="39" fillId="14" borderId="0" xfId="2" applyNumberFormat="1" applyFont="1" applyFill="1" applyAlignment="1">
      <alignment horizontal="center"/>
    </xf>
    <xf numFmtId="0" fontId="40" fillId="15" borderId="2" xfId="2" applyFont="1" applyFill="1" applyBorder="1" applyAlignment="1">
      <alignment horizontal="center" vertical="center"/>
    </xf>
    <xf numFmtId="0" fontId="40" fillId="15" borderId="13" xfId="2" applyFont="1" applyFill="1" applyBorder="1" applyAlignment="1">
      <alignment horizontal="center" vertical="center"/>
    </xf>
    <xf numFmtId="164" fontId="15" fillId="16" borderId="0" xfId="2" applyNumberFormat="1" applyFont="1" applyFill="1" applyAlignment="1">
      <alignment horizontal="center" vertical="center" wrapText="1"/>
    </xf>
    <xf numFmtId="0" fontId="40" fillId="17" borderId="145" xfId="2" applyFont="1" applyFill="1" applyBorder="1" applyAlignment="1">
      <alignment horizontal="center"/>
    </xf>
    <xf numFmtId="0" fontId="40" fillId="17" borderId="1" xfId="2" applyFont="1" applyFill="1" applyBorder="1" applyAlignment="1">
      <alignment horizontal="center"/>
    </xf>
    <xf numFmtId="0" fontId="40" fillId="17" borderId="146" xfId="2" applyFont="1" applyFill="1" applyBorder="1" applyAlignment="1">
      <alignment horizontal="center"/>
    </xf>
    <xf numFmtId="0" fontId="40" fillId="13" borderId="2" xfId="2" applyFont="1" applyFill="1" applyBorder="1" applyAlignment="1">
      <alignment horizontal="center" vertical="center"/>
    </xf>
    <xf numFmtId="14" fontId="0" fillId="19" borderId="0" xfId="0" applyNumberFormat="1" applyFill="1" applyAlignment="1">
      <alignment horizontal="left"/>
    </xf>
    <xf numFmtId="0" fontId="4" fillId="2" borderId="0" xfId="2" applyFont="1" applyFill="1" applyAlignment="1">
      <alignment horizontal="center" vertical="center"/>
    </xf>
    <xf numFmtId="0" fontId="0" fillId="19" borderId="0" xfId="0" applyFill="1" applyAlignment="1">
      <alignment horizontal="left"/>
    </xf>
    <xf numFmtId="0" fontId="37" fillId="12" borderId="0" xfId="2" applyFont="1" applyFill="1" applyAlignment="1">
      <alignment horizontal="center" wrapText="1"/>
    </xf>
    <xf numFmtId="0" fontId="37" fillId="12" borderId="0" xfId="2" applyFont="1" applyFill="1" applyAlignment="1">
      <alignment horizontal="center"/>
    </xf>
    <xf numFmtId="164" fontId="8" fillId="14" borderId="0" xfId="2" applyNumberFormat="1" applyFont="1" applyFill="1" applyAlignment="1">
      <alignment horizontal="center"/>
    </xf>
    <xf numFmtId="0" fontId="27" fillId="11" borderId="0" xfId="0" applyFont="1" applyFill="1" applyAlignment="1">
      <alignment horizontal="right"/>
    </xf>
    <xf numFmtId="0" fontId="42" fillId="0" borderId="0" xfId="0" applyFont="1" applyAlignment="1">
      <alignment horizontal="center"/>
    </xf>
    <xf numFmtId="0" fontId="40" fillId="0" borderId="0" xfId="0" applyFont="1" applyAlignment="1">
      <alignment horizontal="center" vertical="center"/>
    </xf>
    <xf numFmtId="0" fontId="1" fillId="0" borderId="0" xfId="0" applyFont="1" applyAlignment="1">
      <alignment horizontal="center" vertical="center"/>
    </xf>
    <xf numFmtId="0" fontId="1" fillId="0" borderId="10" xfId="0" applyFont="1" applyBorder="1" applyAlignment="1">
      <alignment horizontal="center" vertical="center"/>
    </xf>
    <xf numFmtId="0" fontId="40" fillId="13" borderId="10" xfId="0" applyFont="1" applyFill="1" applyBorder="1" applyAlignment="1">
      <alignment horizontal="center" vertical="center"/>
    </xf>
    <xf numFmtId="0" fontId="7" fillId="18" borderId="10" xfId="0" applyFont="1" applyFill="1" applyBorder="1" applyAlignment="1">
      <alignment horizontal="center" vertical="center"/>
    </xf>
    <xf numFmtId="0" fontId="7" fillId="0" borderId="0" xfId="0" applyFont="1" applyAlignment="1">
      <alignment horizontal="center"/>
    </xf>
    <xf numFmtId="0" fontId="44" fillId="0" borderId="0" xfId="0" applyFont="1" applyAlignment="1">
      <alignment horizontal="center"/>
    </xf>
    <xf numFmtId="0" fontId="27" fillId="5" borderId="0" xfId="0" applyFont="1" applyFill="1" applyAlignment="1">
      <alignment horizontal="right"/>
    </xf>
    <xf numFmtId="0" fontId="38" fillId="13" borderId="73" xfId="2" applyFont="1" applyFill="1" applyBorder="1" applyAlignment="1">
      <alignment horizontal="center" vertical="center"/>
    </xf>
    <xf numFmtId="0" fontId="45" fillId="15" borderId="118" xfId="2" applyFont="1" applyFill="1" applyBorder="1" applyAlignment="1">
      <alignment horizontal="center" vertical="center"/>
    </xf>
    <xf numFmtId="0" fontId="45" fillId="15" borderId="13" xfId="2" applyFont="1" applyFill="1" applyBorder="1" applyAlignment="1">
      <alignment horizontal="center" vertical="center"/>
    </xf>
    <xf numFmtId="164" fontId="7" fillId="16" borderId="0" xfId="2" applyNumberFormat="1" applyFont="1" applyFill="1" applyAlignment="1">
      <alignment horizontal="center" vertical="center" wrapText="1"/>
    </xf>
    <xf numFmtId="0" fontId="7" fillId="5" borderId="0" xfId="0" applyFont="1" applyFill="1" applyAlignment="1">
      <alignment horizontal="right"/>
    </xf>
    <xf numFmtId="0" fontId="7" fillId="0" borderId="25" xfId="0" applyFont="1" applyBorder="1" applyAlignment="1">
      <alignment horizontal="center"/>
    </xf>
    <xf numFmtId="0" fontId="7" fillId="0" borderId="32" xfId="0" applyFont="1" applyBorder="1" applyAlignment="1">
      <alignment horizontal="center"/>
    </xf>
    <xf numFmtId="0" fontId="7" fillId="0" borderId="31" xfId="0" applyFont="1" applyBorder="1" applyAlignment="1">
      <alignment horizontal="center"/>
    </xf>
    <xf numFmtId="0" fontId="25" fillId="15" borderId="33" xfId="6" applyFont="1" applyFill="1" applyBorder="1" applyAlignment="1">
      <alignment horizontal="center" wrapText="1"/>
    </xf>
    <xf numFmtId="0" fontId="25" fillId="15" borderId="27" xfId="6" applyFont="1" applyFill="1" applyBorder="1" applyAlignment="1">
      <alignment horizontal="center" wrapText="1"/>
    </xf>
    <xf numFmtId="0" fontId="25" fillId="15" borderId="21" xfId="6" applyFont="1" applyFill="1" applyBorder="1" applyAlignment="1">
      <alignment horizontal="center" wrapText="1"/>
    </xf>
    <xf numFmtId="0" fontId="25" fillId="15" borderId="20" xfId="6" applyFont="1" applyFill="1" applyBorder="1" applyAlignment="1">
      <alignment horizontal="center" wrapText="1"/>
    </xf>
    <xf numFmtId="164" fontId="7" fillId="0" borderId="29" xfId="4" applyNumberFormat="1" applyFont="1" applyBorder="1" applyAlignment="1">
      <alignment horizontal="center" vertical="center"/>
    </xf>
    <xf numFmtId="164" fontId="7" fillId="0" borderId="26" xfId="4" applyNumberFormat="1" applyFont="1" applyBorder="1" applyAlignment="1">
      <alignment horizontal="center" vertical="center"/>
    </xf>
    <xf numFmtId="164" fontId="27" fillId="0" borderId="28" xfId="4" applyNumberFormat="1" applyFont="1" applyBorder="1" applyAlignment="1">
      <alignment horizontal="center"/>
    </xf>
    <xf numFmtId="164" fontId="27" fillId="0" borderId="27" xfId="4" applyNumberFormat="1" applyFont="1" applyBorder="1" applyAlignment="1">
      <alignment horizontal="center"/>
    </xf>
    <xf numFmtId="0" fontId="47" fillId="13" borderId="29" xfId="0" applyFont="1" applyFill="1" applyBorder="1" applyAlignment="1">
      <alignment horizontal="center" wrapText="1"/>
    </xf>
    <xf numFmtId="0" fontId="47" fillId="13" borderId="26" xfId="0" applyFont="1" applyFill="1" applyBorder="1" applyAlignment="1">
      <alignment horizontal="center" wrapText="1"/>
    </xf>
    <xf numFmtId="0" fontId="7" fillId="0" borderId="162" xfId="0" applyFont="1" applyBorder="1" applyAlignment="1">
      <alignment horizontal="center"/>
    </xf>
    <xf numFmtId="0" fontId="0" fillId="0" borderId="162" xfId="0" applyBorder="1" applyAlignment="1">
      <alignment horizontal="center"/>
    </xf>
    <xf numFmtId="0" fontId="4" fillId="2" borderId="0" xfId="4" applyFont="1" applyFill="1" applyAlignment="1">
      <alignment horizontal="center" vertical="center"/>
    </xf>
    <xf numFmtId="0" fontId="5" fillId="12" borderId="0" xfId="4" applyFont="1" applyFill="1" applyAlignment="1">
      <alignment horizontal="center"/>
    </xf>
    <xf numFmtId="0" fontId="82" fillId="12" borderId="0" xfId="4" applyFont="1" applyFill="1" applyAlignment="1">
      <alignment horizontal="center"/>
    </xf>
    <xf numFmtId="0" fontId="5" fillId="12" borderId="0" xfId="5" applyFont="1" applyFill="1" applyAlignment="1">
      <alignment horizontal="center"/>
    </xf>
    <xf numFmtId="0" fontId="82" fillId="12" borderId="0" xfId="5" applyFont="1" applyFill="1" applyAlignment="1">
      <alignment horizontal="center"/>
    </xf>
    <xf numFmtId="0" fontId="48" fillId="13" borderId="59" xfId="5" applyFont="1" applyFill="1" applyBorder="1" applyAlignment="1">
      <alignment horizontal="center" vertical="center"/>
    </xf>
    <xf numFmtId="0" fontId="48" fillId="13" borderId="55" xfId="5" applyFont="1" applyFill="1" applyBorder="1" applyAlignment="1">
      <alignment horizontal="center" vertical="center"/>
    </xf>
    <xf numFmtId="0" fontId="48" fillId="13" borderId="58" xfId="5" applyFont="1" applyFill="1" applyBorder="1" applyAlignment="1">
      <alignment horizontal="center" vertical="center"/>
    </xf>
    <xf numFmtId="0" fontId="48" fillId="13" borderId="54" xfId="5" applyFont="1" applyFill="1" applyBorder="1" applyAlignment="1">
      <alignment horizontal="center" vertical="center"/>
    </xf>
    <xf numFmtId="0" fontId="48" fillId="19" borderId="29" xfId="5" applyFont="1" applyFill="1" applyBorder="1" applyAlignment="1">
      <alignment horizontal="center" vertical="center"/>
    </xf>
    <xf numFmtId="0" fontId="48" fillId="19" borderId="60" xfId="5" applyFont="1" applyFill="1" applyBorder="1" applyAlignment="1">
      <alignment horizontal="center" vertical="center"/>
    </xf>
    <xf numFmtId="0" fontId="48" fillId="19" borderId="56" xfId="5" applyFont="1" applyFill="1" applyBorder="1" applyAlignment="1">
      <alignment horizontal="center" vertical="center"/>
    </xf>
    <xf numFmtId="0" fontId="48" fillId="13" borderId="57" xfId="5" applyFont="1" applyFill="1" applyBorder="1" applyAlignment="1">
      <alignment horizontal="center" vertical="center"/>
    </xf>
    <xf numFmtId="0" fontId="48" fillId="13" borderId="53" xfId="5" applyFont="1" applyFill="1" applyBorder="1" applyAlignment="1">
      <alignment horizontal="center" vertical="center"/>
    </xf>
    <xf numFmtId="164" fontId="8" fillId="14" borderId="0" xfId="5" applyNumberFormat="1" applyFont="1" applyFill="1" applyAlignment="1">
      <alignment horizontal="center"/>
    </xf>
    <xf numFmtId="0" fontId="4" fillId="2" borderId="0" xfId="5" applyFont="1" applyFill="1" applyAlignment="1">
      <alignment horizontal="center" vertical="center"/>
    </xf>
    <xf numFmtId="0" fontId="1" fillId="0" borderId="28" xfId="0" applyFont="1" applyBorder="1" applyAlignment="1">
      <alignment horizontal="center"/>
    </xf>
    <xf numFmtId="0" fontId="0" fillId="0" borderId="28" xfId="0" applyBorder="1" applyAlignment="1">
      <alignment horizontal="center"/>
    </xf>
    <xf numFmtId="0" fontId="29" fillId="0" borderId="0" xfId="0" quotePrefix="1" applyFont="1" applyAlignment="1">
      <alignment horizontal="left" vertical="center" wrapText="1"/>
    </xf>
    <xf numFmtId="0" fontId="29" fillId="0" borderId="0" xfId="0" quotePrefix="1" applyFont="1" applyAlignment="1">
      <alignment horizontal="left" vertical="center"/>
    </xf>
    <xf numFmtId="0" fontId="18" fillId="0" borderId="0" xfId="0" applyFont="1" applyAlignment="1">
      <alignment horizontal="left" vertical="top" wrapText="1"/>
    </xf>
    <xf numFmtId="0" fontId="18" fillId="0" borderId="0" xfId="0" quotePrefix="1" applyFont="1" applyAlignment="1">
      <alignment horizontal="left" vertical="top" wrapText="1"/>
    </xf>
    <xf numFmtId="0" fontId="85" fillId="0" borderId="171" xfId="0" applyFont="1" applyBorder="1" applyAlignment="1">
      <alignment horizontal="center" vertical="center" wrapText="1"/>
    </xf>
    <xf numFmtId="0" fontId="84" fillId="0" borderId="60" xfId="0" applyFont="1" applyBorder="1" applyAlignment="1">
      <alignment horizontal="center" vertical="center"/>
    </xf>
    <xf numFmtId="0" fontId="84" fillId="0" borderId="172" xfId="0" applyFont="1" applyBorder="1" applyAlignment="1">
      <alignment horizontal="center" vertical="center"/>
    </xf>
    <xf numFmtId="0" fontId="48" fillId="17" borderId="163" xfId="0" applyFont="1" applyFill="1" applyBorder="1" applyAlignment="1">
      <alignment horizontal="center"/>
    </xf>
    <xf numFmtId="0" fontId="48" fillId="17" borderId="164" xfId="0" applyFont="1" applyFill="1" applyBorder="1" applyAlignment="1">
      <alignment horizontal="center"/>
    </xf>
    <xf numFmtId="0" fontId="48" fillId="13" borderId="165" xfId="0" applyFont="1" applyFill="1" applyBorder="1" applyAlignment="1">
      <alignment horizontal="center" vertical="center" wrapText="1"/>
    </xf>
    <xf numFmtId="0" fontId="48" fillId="13" borderId="166" xfId="0" applyFont="1" applyFill="1" applyBorder="1" applyAlignment="1">
      <alignment horizontal="center" vertical="center"/>
    </xf>
    <xf numFmtId="0" fontId="48" fillId="13" borderId="161" xfId="0" applyFont="1" applyFill="1" applyBorder="1" applyAlignment="1">
      <alignment horizontal="center" vertical="center" wrapText="1"/>
    </xf>
    <xf numFmtId="0" fontId="48" fillId="13" borderId="167" xfId="0" applyFont="1" applyFill="1" applyBorder="1" applyAlignment="1">
      <alignment horizontal="center" vertical="center"/>
    </xf>
    <xf numFmtId="0" fontId="53" fillId="33" borderId="59" xfId="5" applyFont="1" applyFill="1" applyBorder="1" applyAlignment="1">
      <alignment horizontal="center" vertical="center"/>
    </xf>
    <xf numFmtId="0" fontId="53" fillId="33" borderId="55" xfId="5" applyFont="1" applyFill="1" applyBorder="1" applyAlignment="1">
      <alignment horizontal="center" vertical="center"/>
    </xf>
    <xf numFmtId="0" fontId="48" fillId="17" borderId="66" xfId="5" applyFont="1" applyFill="1" applyBorder="1" applyAlignment="1">
      <alignment horizontal="center" vertical="center"/>
    </xf>
    <xf numFmtId="0" fontId="48" fillId="17" borderId="65" xfId="5" applyFont="1" applyFill="1" applyBorder="1" applyAlignment="1">
      <alignment horizontal="center" vertical="center"/>
    </xf>
    <xf numFmtId="0" fontId="48" fillId="17" borderId="64" xfId="5" applyFont="1" applyFill="1" applyBorder="1" applyAlignment="1">
      <alignment horizontal="center" vertical="center"/>
    </xf>
    <xf numFmtId="0" fontId="48" fillId="17" borderId="63" xfId="5" applyFont="1" applyFill="1" applyBorder="1" applyAlignment="1">
      <alignment horizontal="center" vertical="center"/>
    </xf>
    <xf numFmtId="0" fontId="48" fillId="17" borderId="62" xfId="5" applyFont="1" applyFill="1" applyBorder="1" applyAlignment="1">
      <alignment horizontal="center" vertical="center"/>
    </xf>
    <xf numFmtId="0" fontId="48" fillId="17" borderId="61" xfId="5" applyFont="1" applyFill="1" applyBorder="1" applyAlignment="1">
      <alignment horizontal="center" vertical="center"/>
    </xf>
    <xf numFmtId="164" fontId="7" fillId="0" borderId="29" xfId="5" applyNumberFormat="1" applyFont="1" applyBorder="1" applyAlignment="1">
      <alignment horizontal="center" vertical="center"/>
    </xf>
    <xf numFmtId="164" fontId="7" fillId="0" borderId="26" xfId="5" applyNumberFormat="1" applyFont="1" applyBorder="1" applyAlignment="1">
      <alignment horizontal="center" vertical="center"/>
    </xf>
    <xf numFmtId="0" fontId="97" fillId="11" borderId="0" xfId="0" applyFont="1" applyFill="1" applyAlignment="1">
      <alignment horizontal="right"/>
    </xf>
    <xf numFmtId="0" fontId="43" fillId="19" borderId="0" xfId="0" applyFont="1" applyFill="1" applyAlignment="1">
      <alignment horizontal="center"/>
    </xf>
    <xf numFmtId="0" fontId="0" fillId="0" borderId="0" xfId="0" applyAlignment="1">
      <alignment horizontal="left" vertical="top"/>
    </xf>
    <xf numFmtId="0" fontId="18" fillId="0" borderId="0" xfId="0" applyFont="1" applyAlignment="1">
      <alignment horizontal="left"/>
    </xf>
    <xf numFmtId="0" fontId="48" fillId="19" borderId="219" xfId="5" applyFont="1" applyFill="1" applyBorder="1" applyAlignment="1">
      <alignment horizontal="center" vertical="center" wrapText="1"/>
    </xf>
    <xf numFmtId="0" fontId="48" fillId="19" borderId="60" xfId="5" applyFont="1" applyFill="1" applyBorder="1" applyAlignment="1">
      <alignment horizontal="center" vertical="center" wrapText="1"/>
    </xf>
    <xf numFmtId="0" fontId="48" fillId="19" borderId="220" xfId="5" applyFont="1" applyFill="1" applyBorder="1" applyAlignment="1">
      <alignment horizontal="center" vertical="center" wrapText="1"/>
    </xf>
    <xf numFmtId="0" fontId="43" fillId="0" borderId="0" xfId="0" applyFont="1" applyAlignment="1">
      <alignment horizontal="center"/>
    </xf>
    <xf numFmtId="0" fontId="93" fillId="5" borderId="0" xfId="0" applyFont="1" applyFill="1" applyAlignment="1">
      <alignment horizontal="right"/>
    </xf>
    <xf numFmtId="0" fontId="4" fillId="2" borderId="0" xfId="5" applyFont="1" applyFill="1" applyAlignment="1">
      <alignment horizontal="center"/>
    </xf>
    <xf numFmtId="0" fontId="70" fillId="17" borderId="216" xfId="5" applyFont="1" applyFill="1" applyBorder="1" applyAlignment="1">
      <alignment horizontal="center" vertical="center"/>
    </xf>
    <xf numFmtId="0" fontId="70" fillId="17" borderId="217" xfId="5" applyFont="1" applyFill="1" applyBorder="1" applyAlignment="1">
      <alignment horizontal="center" vertical="center"/>
    </xf>
    <xf numFmtId="0" fontId="70" fillId="17" borderId="218" xfId="5" applyFont="1" applyFill="1" applyBorder="1" applyAlignment="1">
      <alignment horizontal="center" vertical="center"/>
    </xf>
    <xf numFmtId="0" fontId="70" fillId="0" borderId="198" xfId="5" applyFont="1" applyBorder="1" applyAlignment="1">
      <alignment horizontal="center" vertical="center"/>
    </xf>
    <xf numFmtId="0" fontId="70" fillId="0" borderId="0" xfId="5" applyFont="1" applyAlignment="1">
      <alignment horizontal="center" vertical="center"/>
    </xf>
    <xf numFmtId="0" fontId="25" fillId="0" borderId="198" xfId="5" applyFont="1" applyBorder="1" applyAlignment="1">
      <alignment horizontal="center" vertical="center"/>
    </xf>
    <xf numFmtId="0" fontId="25" fillId="0" borderId="0" xfId="5" applyFont="1" applyAlignment="1">
      <alignment horizontal="center" vertical="center"/>
    </xf>
    <xf numFmtId="0" fontId="78" fillId="0" borderId="0" xfId="5" applyFont="1" applyAlignment="1">
      <alignment horizontal="center" vertical="center"/>
    </xf>
    <xf numFmtId="0" fontId="53" fillId="16" borderId="201" xfId="0" applyFont="1" applyFill="1" applyBorder="1" applyAlignment="1">
      <alignment horizontal="center" vertical="center"/>
    </xf>
    <xf numFmtId="0" fontId="53" fillId="16" borderId="162" xfId="0" applyFont="1" applyFill="1" applyBorder="1" applyAlignment="1">
      <alignment horizontal="center" vertical="center"/>
    </xf>
    <xf numFmtId="0" fontId="7" fillId="35" borderId="200" xfId="0" applyFont="1" applyFill="1" applyBorder="1" applyAlignment="1">
      <alignment horizontal="center"/>
    </xf>
    <xf numFmtId="0" fontId="53" fillId="16" borderId="0" xfId="0" applyFont="1" applyFill="1" applyAlignment="1">
      <alignment horizontal="center" vertical="center"/>
    </xf>
    <xf numFmtId="0" fontId="53" fillId="33" borderId="200" xfId="0" applyFont="1" applyFill="1" applyBorder="1" applyAlignment="1">
      <alignment horizontal="center" vertical="center" wrapText="1"/>
    </xf>
    <xf numFmtId="0" fontId="50" fillId="20" borderId="0" xfId="0" applyFont="1" applyFill="1" applyAlignment="1">
      <alignment horizontal="center"/>
    </xf>
    <xf numFmtId="0" fontId="51" fillId="21" borderId="0" xfId="0" applyFont="1" applyFill="1" applyAlignment="1">
      <alignment horizontal="center"/>
    </xf>
    <xf numFmtId="0" fontId="82" fillId="21" borderId="0" xfId="0" applyFont="1" applyFill="1" applyAlignment="1">
      <alignment horizontal="center"/>
    </xf>
    <xf numFmtId="164" fontId="52" fillId="23" borderId="0" xfId="8" applyNumberFormat="1" applyFont="1" applyFill="1" applyAlignment="1">
      <alignment horizontal="center"/>
    </xf>
    <xf numFmtId="0" fontId="53" fillId="24" borderId="28" xfId="8" applyFont="1" applyFill="1" applyBorder="1" applyAlignment="1">
      <alignment horizontal="center" vertical="center" wrapText="1"/>
    </xf>
    <xf numFmtId="0" fontId="53" fillId="24" borderId="67" xfId="8" applyFont="1" applyFill="1" applyBorder="1" applyAlignment="1">
      <alignment horizontal="center" vertical="center" wrapText="1"/>
    </xf>
    <xf numFmtId="0" fontId="54" fillId="24" borderId="28" xfId="8" applyFont="1" applyFill="1" applyBorder="1" applyAlignment="1">
      <alignment horizontal="center" vertical="center"/>
    </xf>
    <xf numFmtId="0" fontId="55" fillId="24" borderId="28" xfId="8" applyFont="1" applyFill="1" applyBorder="1" applyAlignment="1">
      <alignment horizontal="center" vertical="center"/>
    </xf>
    <xf numFmtId="0" fontId="54" fillId="24" borderId="67" xfId="8" applyFont="1" applyFill="1" applyBorder="1" applyAlignment="1">
      <alignment horizontal="center" vertical="center"/>
    </xf>
    <xf numFmtId="0" fontId="55" fillId="24" borderId="67" xfId="8" applyFont="1" applyFill="1" applyBorder="1" applyAlignment="1">
      <alignment horizontal="center" vertical="center"/>
    </xf>
    <xf numFmtId="0" fontId="54" fillId="25" borderId="28" xfId="8" applyFont="1" applyFill="1" applyBorder="1" applyAlignment="1">
      <alignment horizontal="center" vertical="center"/>
    </xf>
    <xf numFmtId="0" fontId="55" fillId="25" borderId="28" xfId="8" applyFont="1" applyFill="1" applyBorder="1"/>
    <xf numFmtId="0" fontId="53" fillId="25" borderId="67" xfId="8" applyFont="1" applyFill="1" applyBorder="1" applyAlignment="1">
      <alignment horizontal="center" vertical="center"/>
    </xf>
    <xf numFmtId="0" fontId="25" fillId="26" borderId="28" xfId="7" applyFont="1" applyFill="1" applyBorder="1" applyAlignment="1">
      <alignment horizontal="center" vertical="center" wrapText="1"/>
    </xf>
    <xf numFmtId="0" fontId="25" fillId="26" borderId="0" xfId="7" applyFont="1" applyFill="1" applyAlignment="1">
      <alignment horizontal="center" vertical="center" wrapText="1"/>
    </xf>
    <xf numFmtId="0" fontId="25" fillId="26" borderId="67" xfId="7" applyFont="1" applyFill="1" applyBorder="1" applyAlignment="1">
      <alignment horizontal="center" vertical="center" wrapText="1"/>
    </xf>
    <xf numFmtId="0" fontId="24" fillId="26" borderId="201" xfId="7" applyFont="1" applyFill="1" applyBorder="1" applyAlignment="1">
      <alignment horizontal="center" vertical="center" wrapText="1"/>
    </xf>
    <xf numFmtId="0" fontId="24" fillId="26" borderId="0" xfId="7" applyFont="1" applyFill="1" applyAlignment="1">
      <alignment horizontal="center" vertical="center" wrapText="1"/>
    </xf>
    <xf numFmtId="0" fontId="24" fillId="26" borderId="76" xfId="7" applyFont="1" applyFill="1" applyBorder="1" applyAlignment="1">
      <alignment horizontal="center" vertical="center" wrapText="1"/>
    </xf>
    <xf numFmtId="0" fontId="24" fillId="26" borderId="28" xfId="7" applyFont="1" applyFill="1" applyBorder="1" applyAlignment="1">
      <alignment horizontal="left" vertical="center" indent="2"/>
    </xf>
    <xf numFmtId="0" fontId="3" fillId="26" borderId="28" xfId="7" applyFill="1" applyBorder="1" applyAlignment="1">
      <alignment horizontal="left" vertical="center" indent="2"/>
    </xf>
    <xf numFmtId="0" fontId="24" fillId="26" borderId="0" xfId="7" applyFont="1" applyFill="1" applyAlignment="1">
      <alignment horizontal="left" vertical="center" indent="2"/>
    </xf>
    <xf numFmtId="0" fontId="3" fillId="26" borderId="0" xfId="7" applyFill="1" applyAlignment="1">
      <alignment horizontal="left" vertical="center" indent="2"/>
    </xf>
    <xf numFmtId="0" fontId="24" fillId="26" borderId="76" xfId="7" applyFont="1" applyFill="1" applyBorder="1" applyAlignment="1">
      <alignment horizontal="left" vertical="center" indent="2"/>
    </xf>
    <xf numFmtId="0" fontId="3" fillId="26" borderId="76" xfId="7" applyFill="1" applyBorder="1" applyAlignment="1">
      <alignment horizontal="left" vertical="center" indent="2"/>
    </xf>
    <xf numFmtId="0" fontId="98" fillId="0" borderId="28" xfId="7" applyFont="1" applyBorder="1" applyAlignment="1">
      <alignment horizontal="left" vertical="center"/>
    </xf>
    <xf numFmtId="0" fontId="99" fillId="0" borderId="28" xfId="7" applyFont="1" applyBorder="1" applyAlignment="1">
      <alignment vertical="center"/>
    </xf>
    <xf numFmtId="0" fontId="99" fillId="0" borderId="0" xfId="7" applyFont="1" applyAlignment="1">
      <alignment vertical="center"/>
    </xf>
    <xf numFmtId="0" fontId="99" fillId="0" borderId="76" xfId="7" applyFont="1" applyBorder="1" applyAlignment="1">
      <alignment vertical="center"/>
    </xf>
    <xf numFmtId="0" fontId="2" fillId="0" borderId="28" xfId="7" applyFont="1" applyBorder="1"/>
    <xf numFmtId="2" fontId="2" fillId="0" borderId="28" xfId="7" applyNumberFormat="1" applyFont="1" applyBorder="1" applyAlignment="1">
      <alignment horizontal="center"/>
    </xf>
    <xf numFmtId="0" fontId="2" fillId="0" borderId="0" xfId="7" applyFont="1"/>
    <xf numFmtId="2" fontId="2" fillId="0" borderId="0" xfId="7" applyNumberFormat="1" applyFont="1" applyAlignment="1">
      <alignment horizontal="center"/>
    </xf>
    <xf numFmtId="0" fontId="2" fillId="0" borderId="76" xfId="7" applyFont="1" applyBorder="1"/>
    <xf numFmtId="2" fontId="2" fillId="0" borderId="76" xfId="7" applyNumberFormat="1" applyFont="1" applyBorder="1" applyAlignment="1">
      <alignment horizontal="center"/>
    </xf>
    <xf numFmtId="0" fontId="24" fillId="26" borderId="77" xfId="7" applyFont="1" applyFill="1" applyBorder="1" applyAlignment="1">
      <alignment horizontal="left" vertical="center" wrapText="1" indent="2"/>
    </xf>
    <xf numFmtId="0" fontId="3" fillId="26" borderId="77" xfId="7" applyFill="1" applyBorder="1" applyAlignment="1">
      <alignment horizontal="left" vertical="center" wrapText="1" indent="2"/>
    </xf>
    <xf numFmtId="0" fontId="24" fillId="26" borderId="0" xfId="7" applyFont="1" applyFill="1" applyAlignment="1">
      <alignment horizontal="left" vertical="center" wrapText="1" indent="2"/>
    </xf>
    <xf numFmtId="0" fontId="3" fillId="26" borderId="0" xfId="7" applyFill="1" applyAlignment="1">
      <alignment horizontal="left" vertical="center" wrapText="1" indent="2"/>
    </xf>
    <xf numFmtId="0" fontId="24" fillId="26" borderId="76" xfId="7" applyFont="1" applyFill="1" applyBorder="1" applyAlignment="1">
      <alignment horizontal="left" vertical="center" wrapText="1" indent="2"/>
    </xf>
    <xf numFmtId="0" fontId="3" fillId="26" borderId="76" xfId="7" applyFill="1" applyBorder="1" applyAlignment="1">
      <alignment horizontal="left" vertical="center" wrapText="1" indent="2"/>
    </xf>
    <xf numFmtId="0" fontId="98" fillId="0" borderId="77" xfId="7" applyFont="1" applyBorder="1" applyAlignment="1">
      <alignment horizontal="left" vertical="center" wrapText="1"/>
    </xf>
    <xf numFmtId="0" fontId="99" fillId="0" borderId="77" xfId="7" applyFont="1" applyBorder="1" applyAlignment="1">
      <alignment vertical="center"/>
    </xf>
    <xf numFmtId="0" fontId="2" fillId="0" borderId="77" xfId="7" applyFont="1" applyBorder="1"/>
    <xf numFmtId="2" fontId="2" fillId="0" borderId="77" xfId="7" applyNumberFormat="1" applyFont="1" applyBorder="1" applyAlignment="1">
      <alignment horizontal="center"/>
    </xf>
    <xf numFmtId="0" fontId="3" fillId="26" borderId="67" xfId="7" applyFill="1" applyBorder="1" applyAlignment="1">
      <alignment horizontal="center" vertical="center" wrapText="1"/>
    </xf>
    <xf numFmtId="0" fontId="3" fillId="26" borderId="67" xfId="7" applyFill="1" applyBorder="1" applyAlignment="1">
      <alignment horizontal="left" vertical="center" wrapText="1" indent="2"/>
    </xf>
    <xf numFmtId="0" fontId="98" fillId="0" borderId="0" xfId="7" applyFont="1" applyAlignment="1">
      <alignment horizontal="left" vertical="center" wrapText="1"/>
    </xf>
    <xf numFmtId="0" fontId="99" fillId="0" borderId="67" xfId="7" applyFont="1" applyBorder="1" applyAlignment="1">
      <alignment vertical="center"/>
    </xf>
    <xf numFmtId="0" fontId="2" fillId="0" borderId="67" xfId="7" applyFont="1" applyBorder="1"/>
    <xf numFmtId="2" fontId="2" fillId="0" borderId="67" xfId="7" applyNumberFormat="1" applyFont="1" applyBorder="1" applyAlignment="1">
      <alignment horizontal="center"/>
    </xf>
    <xf numFmtId="0" fontId="2" fillId="0" borderId="0" xfId="7" applyFont="1" applyAlignment="1">
      <alignment horizontal="center"/>
    </xf>
    <xf numFmtId="0" fontId="2" fillId="0" borderId="76" xfId="7" applyFont="1" applyBorder="1" applyAlignment="1">
      <alignment horizontal="center"/>
    </xf>
    <xf numFmtId="0" fontId="24" fillId="26" borderId="115" xfId="7" applyFont="1" applyFill="1" applyBorder="1" applyAlignment="1">
      <alignment horizontal="left" vertical="center" wrapText="1" indent="2"/>
    </xf>
    <xf numFmtId="0" fontId="98" fillId="0" borderId="115" xfId="7" applyFont="1" applyBorder="1" applyAlignment="1">
      <alignment horizontal="left" vertical="center" wrapText="1"/>
    </xf>
    <xf numFmtId="0" fontId="99" fillId="0" borderId="115" xfId="7" applyFont="1" applyBorder="1" applyAlignment="1">
      <alignment vertical="center"/>
    </xf>
    <xf numFmtId="0" fontId="2" fillId="0" borderId="115" xfId="7" applyFont="1" applyBorder="1" applyAlignment="1">
      <alignment horizontal="center"/>
    </xf>
    <xf numFmtId="0" fontId="98" fillId="0" borderId="76" xfId="7" applyFont="1" applyBorder="1" applyAlignment="1">
      <alignment horizontal="left" vertical="center" wrapText="1"/>
    </xf>
    <xf numFmtId="0" fontId="98" fillId="0" borderId="76" xfId="7" applyFont="1" applyBorder="1" applyAlignment="1">
      <alignment horizontal="left" wrapText="1"/>
    </xf>
    <xf numFmtId="0" fontId="99" fillId="0" borderId="76" xfId="7" applyFont="1" applyBorder="1"/>
    <xf numFmtId="0" fontId="2" fillId="0" borderId="76" xfId="7" applyFont="1" applyBorder="1" applyAlignment="1">
      <alignment vertical="center"/>
    </xf>
    <xf numFmtId="2" fontId="2" fillId="0" borderId="76" xfId="7" applyNumberFormat="1" applyFont="1" applyBorder="1" applyAlignment="1">
      <alignment horizontal="center" vertical="center"/>
    </xf>
    <xf numFmtId="0" fontId="98" fillId="0" borderId="77" xfId="7" applyFont="1" applyBorder="1" applyAlignment="1">
      <alignment horizontal="left" wrapText="1"/>
    </xf>
    <xf numFmtId="0" fontId="99" fillId="0" borderId="77" xfId="7" applyFont="1" applyBorder="1"/>
    <xf numFmtId="0" fontId="2" fillId="0" borderId="77" xfId="7" applyFont="1" applyBorder="1" applyAlignment="1">
      <alignment vertical="center"/>
    </xf>
    <xf numFmtId="2" fontId="2" fillId="0" borderId="77" xfId="7" applyNumberFormat="1" applyFont="1" applyBorder="1" applyAlignment="1">
      <alignment horizontal="center" vertical="center"/>
    </xf>
    <xf numFmtId="0" fontId="24" fillId="26" borderId="28" xfId="7" applyFont="1" applyFill="1" applyBorder="1" applyAlignment="1">
      <alignment horizontal="left" vertical="center" wrapText="1" indent="2"/>
    </xf>
    <xf numFmtId="0" fontId="3" fillId="26" borderId="28" xfId="7" applyFill="1" applyBorder="1" applyAlignment="1">
      <alignment horizontal="left" vertical="center" wrapText="1" indent="2"/>
    </xf>
    <xf numFmtId="0" fontId="98" fillId="0" borderId="28" xfId="7" applyFont="1" applyBorder="1" applyAlignment="1">
      <alignment horizontal="left" vertical="center" wrapText="1"/>
    </xf>
    <xf numFmtId="0" fontId="3" fillId="26" borderId="0" xfId="7" applyFill="1"/>
    <xf numFmtId="0" fontId="3" fillId="26" borderId="67" xfId="7" applyFill="1" applyBorder="1"/>
    <xf numFmtId="0" fontId="24" fillId="26" borderId="67" xfId="0" applyFont="1" applyFill="1" applyBorder="1" applyAlignment="1">
      <alignment horizontal="center"/>
    </xf>
    <xf numFmtId="165" fontId="24" fillId="0" borderId="81" xfId="7" applyNumberFormat="1" applyFont="1" applyBorder="1" applyAlignment="1">
      <alignment horizontal="center"/>
    </xf>
    <xf numFmtId="0" fontId="7" fillId="25" borderId="28" xfId="7" applyFont="1" applyFill="1" applyBorder="1" applyAlignment="1">
      <alignment horizontal="center" wrapText="1"/>
    </xf>
    <xf numFmtId="0" fontId="56" fillId="25" borderId="28" xfId="7" applyFont="1" applyFill="1" applyBorder="1" applyAlignment="1">
      <alignment horizontal="center" vertical="center"/>
    </xf>
    <xf numFmtId="0" fontId="24" fillId="26" borderId="0" xfId="7" applyFont="1" applyFill="1" applyAlignment="1">
      <alignment horizontal="center"/>
    </xf>
    <xf numFmtId="165" fontId="24" fillId="0" borderId="79" xfId="7" applyNumberFormat="1" applyFont="1" applyBorder="1" applyAlignment="1">
      <alignment horizontal="center"/>
    </xf>
    <xf numFmtId="165" fontId="24" fillId="0" borderId="80" xfId="7" applyNumberFormat="1" applyFont="1" applyBorder="1" applyAlignment="1">
      <alignment horizontal="center"/>
    </xf>
    <xf numFmtId="0" fontId="24" fillId="26" borderId="67" xfId="7" applyFont="1" applyFill="1" applyBorder="1" applyAlignment="1">
      <alignment horizontal="left" vertical="center" wrapText="1" indent="2"/>
    </xf>
    <xf numFmtId="0" fontId="98" fillId="0" borderId="67" xfId="7" applyFont="1" applyBorder="1" applyAlignment="1">
      <alignment horizontal="left" vertical="center" wrapText="1"/>
    </xf>
    <xf numFmtId="0" fontId="2" fillId="0" borderId="67" xfId="7" applyFont="1" applyBorder="1" applyAlignment="1">
      <alignment horizontal="center"/>
    </xf>
    <xf numFmtId="0" fontId="24" fillId="26" borderId="28" xfId="7" applyFont="1" applyFill="1" applyBorder="1" applyAlignment="1">
      <alignment horizontal="center" vertical="center" wrapText="1"/>
    </xf>
    <xf numFmtId="0" fontId="3" fillId="26" borderId="76" xfId="7" applyFill="1" applyBorder="1"/>
    <xf numFmtId="0" fontId="24" fillId="26" borderId="78" xfId="7" applyFont="1" applyFill="1" applyBorder="1" applyAlignment="1">
      <alignment horizontal="left" vertical="center" wrapText="1" indent="2"/>
    </xf>
    <xf numFmtId="0" fontId="98" fillId="0" borderId="78" xfId="7" applyFont="1" applyBorder="1" applyAlignment="1">
      <alignment horizontal="left" vertical="center" wrapText="1"/>
    </xf>
    <xf numFmtId="0" fontId="99" fillId="0" borderId="78" xfId="7" applyFont="1" applyBorder="1" applyAlignment="1">
      <alignment vertical="center"/>
    </xf>
    <xf numFmtId="0" fontId="56" fillId="25" borderId="67" xfId="8" applyFont="1" applyFill="1" applyBorder="1" applyAlignment="1">
      <alignment horizontal="center" vertical="center"/>
    </xf>
    <xf numFmtId="0" fontId="24" fillId="0" borderId="28" xfId="7" applyFont="1" applyBorder="1" applyAlignment="1">
      <alignment horizontal="left" vertical="center"/>
    </xf>
    <xf numFmtId="0" fontId="3" fillId="0" borderId="28" xfId="7" applyBorder="1" applyAlignment="1">
      <alignment vertical="center"/>
    </xf>
    <xf numFmtId="0" fontId="3" fillId="0" borderId="0" xfId="7" applyAlignment="1">
      <alignment vertical="center"/>
    </xf>
    <xf numFmtId="0" fontId="3" fillId="0" borderId="76" xfId="7" applyBorder="1" applyAlignment="1">
      <alignment vertical="center"/>
    </xf>
    <xf numFmtId="0" fontId="24" fillId="0" borderId="77" xfId="7" applyFont="1" applyBorder="1" applyAlignment="1">
      <alignment horizontal="left" vertical="center" wrapText="1"/>
    </xf>
    <xf numFmtId="0" fontId="3" fillId="0" borderId="77" xfId="7" applyBorder="1" applyAlignment="1">
      <alignment vertical="center"/>
    </xf>
    <xf numFmtId="0" fontId="24" fillId="0" borderId="115" xfId="7" applyFont="1" applyBorder="1" applyAlignment="1">
      <alignment horizontal="left" vertical="center" wrapText="1"/>
    </xf>
    <xf numFmtId="0" fontId="3" fillId="0" borderId="115" xfId="7" applyBorder="1" applyAlignment="1">
      <alignment vertical="center"/>
    </xf>
    <xf numFmtId="0" fontId="24" fillId="0" borderId="0" xfId="7" applyFont="1" applyAlignment="1">
      <alignment horizontal="left" vertical="center" wrapText="1"/>
    </xf>
    <xf numFmtId="0" fontId="3" fillId="0" borderId="67" xfId="7" applyBorder="1" applyAlignment="1">
      <alignment vertical="center"/>
    </xf>
    <xf numFmtId="0" fontId="24" fillId="0" borderId="76" xfId="7" applyFont="1" applyBorder="1" applyAlignment="1">
      <alignment horizontal="left" wrapText="1"/>
    </xf>
    <xf numFmtId="0" fontId="3" fillId="0" borderId="76" xfId="7" applyBorder="1"/>
    <xf numFmtId="0" fontId="24" fillId="0" borderId="77" xfId="7" applyFont="1" applyBorder="1" applyAlignment="1">
      <alignment horizontal="left" wrapText="1"/>
    </xf>
    <xf numFmtId="0" fontId="3" fillId="0" borderId="77" xfId="7" applyBorder="1"/>
    <xf numFmtId="0" fontId="24" fillId="0" borderId="76" xfId="7" applyFont="1" applyBorder="1" applyAlignment="1">
      <alignment horizontal="left" vertical="center" wrapText="1"/>
    </xf>
    <xf numFmtId="0" fontId="24" fillId="0" borderId="67" xfId="7" applyFont="1" applyBorder="1" applyAlignment="1">
      <alignment horizontal="left" vertical="center" wrapText="1"/>
    </xf>
    <xf numFmtId="0" fontId="24" fillId="0" borderId="78" xfId="7" applyFont="1" applyBorder="1" applyAlignment="1">
      <alignment horizontal="left" vertical="center" wrapText="1"/>
    </xf>
    <xf numFmtId="0" fontId="3" fillId="0" borderId="78" xfId="7" applyBorder="1" applyAlignment="1">
      <alignment vertical="center"/>
    </xf>
    <xf numFmtId="0" fontId="24" fillId="0" borderId="28" xfId="7" applyFont="1" applyBorder="1" applyAlignment="1">
      <alignment horizontal="left" vertical="center" wrapText="1"/>
    </xf>
    <xf numFmtId="0" fontId="55" fillId="24" borderId="0" xfId="0" applyFont="1" applyFill="1" applyAlignment="1">
      <alignment horizontal="center"/>
    </xf>
    <xf numFmtId="0" fontId="63" fillId="24" borderId="0" xfId="0" applyFont="1" applyFill="1" applyAlignment="1">
      <alignment horizontal="center"/>
    </xf>
    <xf numFmtId="0" fontId="64" fillId="25" borderId="82" xfId="9" applyFont="1" applyFill="1" applyBorder="1" applyAlignment="1">
      <alignment horizontal="center" vertical="center"/>
    </xf>
    <xf numFmtId="0" fontId="64" fillId="25" borderId="83" xfId="9" applyFont="1" applyFill="1" applyBorder="1" applyAlignment="1">
      <alignment horizontal="center" vertical="center"/>
    </xf>
    <xf numFmtId="0" fontId="6" fillId="0" borderId="0" xfId="0" applyFont="1" applyAlignment="1">
      <alignment horizontal="center"/>
    </xf>
    <xf numFmtId="164" fontId="52" fillId="23" borderId="0" xfId="5" applyNumberFormat="1" applyFont="1" applyFill="1" applyAlignment="1">
      <alignment horizontal="center"/>
    </xf>
    <xf numFmtId="0" fontId="64" fillId="25" borderId="8" xfId="9" applyFont="1" applyFill="1" applyBorder="1" applyAlignment="1">
      <alignment horizontal="center" vertical="center"/>
    </xf>
    <xf numFmtId="0" fontId="64" fillId="25" borderId="9" xfId="9" applyFont="1" applyFill="1" applyBorder="1" applyAlignment="1">
      <alignment horizontal="center" vertical="center"/>
    </xf>
    <xf numFmtId="0" fontId="43" fillId="32" borderId="0" xfId="0" applyFont="1" applyFill="1" applyAlignment="1">
      <alignment horizontal="center" wrapText="1"/>
    </xf>
    <xf numFmtId="0" fontId="43" fillId="32" borderId="0" xfId="0" applyFont="1" applyFill="1" applyAlignment="1">
      <alignment horizontal="center"/>
    </xf>
    <xf numFmtId="0" fontId="65" fillId="25" borderId="82" xfId="9" applyFont="1" applyFill="1" applyBorder="1" applyAlignment="1">
      <alignment horizontal="center" vertical="center"/>
    </xf>
    <xf numFmtId="0" fontId="65" fillId="25" borderId="83" xfId="9" applyFont="1" applyFill="1" applyBorder="1" applyAlignment="1">
      <alignment horizontal="center" vertical="center"/>
    </xf>
    <xf numFmtId="0" fontId="65" fillId="25" borderId="91" xfId="9" applyFont="1" applyFill="1" applyBorder="1" applyAlignment="1">
      <alignment horizontal="center" vertical="center"/>
    </xf>
    <xf numFmtId="0" fontId="65" fillId="25" borderId="88" xfId="9" applyFont="1" applyFill="1" applyBorder="1" applyAlignment="1">
      <alignment horizontal="center" vertical="center"/>
    </xf>
    <xf numFmtId="0" fontId="65" fillId="25" borderId="92" xfId="9" applyFont="1" applyFill="1" applyBorder="1" applyAlignment="1">
      <alignment horizontal="center" vertical="center"/>
    </xf>
    <xf numFmtId="0" fontId="65" fillId="25" borderId="89" xfId="9" applyFont="1" applyFill="1" applyBorder="1" applyAlignment="1">
      <alignment horizontal="center" vertical="center"/>
    </xf>
    <xf numFmtId="164" fontId="52" fillId="29" borderId="0" xfId="0" applyNumberFormat="1" applyFont="1" applyFill="1" applyAlignment="1">
      <alignment horizontal="center"/>
    </xf>
    <xf numFmtId="0" fontId="53" fillId="33" borderId="110" xfId="0" applyFont="1" applyFill="1" applyBorder="1" applyAlignment="1">
      <alignment horizontal="center" vertical="center"/>
    </xf>
    <xf numFmtId="0" fontId="53" fillId="33" borderId="111" xfId="0" applyFont="1" applyFill="1" applyBorder="1" applyAlignment="1">
      <alignment horizontal="center" vertical="center"/>
    </xf>
    <xf numFmtId="0" fontId="14" fillId="0" borderId="0" xfId="0" applyFont="1" applyAlignment="1">
      <alignment horizontal="center" vertical="center" wrapText="1"/>
    </xf>
    <xf numFmtId="0" fontId="14" fillId="0" borderId="0" xfId="0" applyFont="1" applyAlignment="1">
      <alignment horizontal="center" vertical="center"/>
    </xf>
    <xf numFmtId="0" fontId="14" fillId="0" borderId="132" xfId="0" applyFont="1" applyBorder="1" applyAlignment="1">
      <alignment horizontal="center" vertical="center"/>
    </xf>
    <xf numFmtId="1" fontId="2" fillId="0" borderId="129" xfId="0" applyNumberFormat="1" applyFont="1" applyBorder="1" applyAlignment="1">
      <alignment horizontal="center"/>
    </xf>
    <xf numFmtId="0" fontId="2" fillId="0" borderId="114" xfId="0" applyFont="1" applyBorder="1" applyAlignment="1">
      <alignment horizontal="left" vertical="center"/>
    </xf>
    <xf numFmtId="0" fontId="2" fillId="0" borderId="122" xfId="0" applyFont="1" applyBorder="1" applyAlignment="1">
      <alignment horizontal="left" vertical="center"/>
    </xf>
    <xf numFmtId="0" fontId="70" fillId="33" borderId="131" xfId="0" applyFont="1" applyFill="1" applyBorder="1" applyAlignment="1">
      <alignment horizontal="center" vertical="center"/>
    </xf>
    <xf numFmtId="0" fontId="70" fillId="33" borderId="0" xfId="0" applyFont="1" applyFill="1" applyAlignment="1">
      <alignment horizontal="center" vertical="center"/>
    </xf>
    <xf numFmtId="0" fontId="70" fillId="33" borderId="132" xfId="0" applyFont="1" applyFill="1" applyBorder="1" applyAlignment="1">
      <alignment horizontal="center" vertical="center"/>
    </xf>
    <xf numFmtId="0" fontId="80" fillId="0" borderId="206" xfId="0" applyFont="1" applyBorder="1" applyAlignment="1">
      <alignment horizontal="left" vertical="center"/>
    </xf>
    <xf numFmtId="1" fontId="70" fillId="33" borderId="119" xfId="0" applyNumberFormat="1" applyFont="1" applyFill="1" applyBorder="1" applyAlignment="1">
      <alignment horizontal="center"/>
    </xf>
    <xf numFmtId="1" fontId="70" fillId="33" borderId="0" xfId="0" applyNumberFormat="1" applyFont="1" applyFill="1" applyAlignment="1">
      <alignment horizontal="center" vertical="center"/>
    </xf>
    <xf numFmtId="1" fontId="71" fillId="33" borderId="0" xfId="0" applyNumberFormat="1" applyFont="1" applyFill="1" applyAlignment="1">
      <alignment horizontal="center" vertical="center"/>
    </xf>
    <xf numFmtId="0" fontId="19" fillId="0" borderId="0" xfId="0" applyFont="1" applyAlignment="1">
      <alignment horizontal="left" vertical="center"/>
    </xf>
    <xf numFmtId="0" fontId="16" fillId="0" borderId="233" xfId="0" applyFont="1" applyBorder="1"/>
    <xf numFmtId="0" fontId="70" fillId="33" borderId="131" xfId="0" applyFont="1" applyFill="1" applyBorder="1" applyAlignment="1">
      <alignment horizontal="center" vertical="center" wrapText="1"/>
    </xf>
    <xf numFmtId="0" fontId="70" fillId="33" borderId="0" xfId="0" applyFont="1" applyFill="1" applyAlignment="1">
      <alignment horizontal="center" vertical="center" wrapText="1"/>
    </xf>
    <xf numFmtId="0" fontId="70" fillId="33" borderId="132" xfId="0" applyFont="1" applyFill="1" applyBorder="1" applyAlignment="1">
      <alignment horizontal="center" vertical="center" wrapText="1"/>
    </xf>
    <xf numFmtId="0" fontId="4" fillId="2" borderId="0" xfId="0" applyFont="1" applyFill="1" applyAlignment="1">
      <alignment horizontal="center"/>
    </xf>
    <xf numFmtId="0" fontId="16" fillId="0" borderId="115" xfId="0" applyFont="1" applyBorder="1"/>
    <xf numFmtId="0" fontId="14" fillId="0" borderId="129" xfId="0" applyFont="1" applyBorder="1" applyAlignment="1">
      <alignment horizontal="center" vertical="center" wrapText="1"/>
    </xf>
    <xf numFmtId="0" fontId="16" fillId="0" borderId="208" xfId="0" applyFont="1" applyBorder="1"/>
    <xf numFmtId="0" fontId="16" fillId="0" borderId="115" xfId="0" applyFont="1" applyBorder="1" applyAlignment="1">
      <alignment horizontal="left"/>
    </xf>
    <xf numFmtId="0" fontId="2" fillId="0" borderId="125" xfId="0" applyFont="1" applyBorder="1" applyAlignment="1">
      <alignment horizontal="left" vertical="center"/>
    </xf>
    <xf numFmtId="0" fontId="2" fillId="0" borderId="0" xfId="0" applyFont="1" applyAlignment="1">
      <alignment horizontal="left" vertical="center"/>
    </xf>
    <xf numFmtId="0" fontId="2" fillId="0" borderId="117" xfId="0" applyFont="1" applyBorder="1" applyAlignment="1">
      <alignment horizontal="left" vertical="center"/>
    </xf>
    <xf numFmtId="0" fontId="5" fillId="12" borderId="0" xfId="0" applyFont="1" applyFill="1" applyAlignment="1" applyProtection="1">
      <alignment horizontal="center"/>
      <protection locked="0"/>
    </xf>
    <xf numFmtId="0" fontId="82" fillId="12" borderId="0" xfId="0" applyFont="1" applyFill="1" applyAlignment="1">
      <alignment horizontal="center"/>
    </xf>
    <xf numFmtId="0" fontId="70" fillId="33" borderId="207" xfId="0" applyFont="1" applyFill="1" applyBorder="1" applyAlignment="1">
      <alignment horizontal="center"/>
    </xf>
    <xf numFmtId="0" fontId="14" fillId="15" borderId="157" xfId="0" applyFont="1" applyFill="1" applyBorder="1" applyAlignment="1">
      <alignment horizontal="center" vertical="center"/>
    </xf>
    <xf numFmtId="0" fontId="14" fillId="15" borderId="222" xfId="0" applyFont="1" applyFill="1" applyBorder="1" applyAlignment="1">
      <alignment horizontal="center" vertical="center"/>
    </xf>
    <xf numFmtId="0" fontId="14" fillId="15" borderId="221" xfId="0" applyFont="1" applyFill="1" applyBorder="1" applyAlignment="1">
      <alignment horizontal="center" vertical="center"/>
    </xf>
    <xf numFmtId="0" fontId="16" fillId="0" borderId="229" xfId="0" applyFont="1" applyBorder="1"/>
    <xf numFmtId="0" fontId="16" fillId="0" borderId="230" xfId="0" applyFont="1" applyBorder="1"/>
    <xf numFmtId="0" fontId="16" fillId="0" borderId="234" xfId="0" applyFont="1" applyBorder="1"/>
    <xf numFmtId="0" fontId="14" fillId="0" borderId="127" xfId="0" applyFont="1" applyBorder="1" applyAlignment="1">
      <alignment horizontal="center" vertical="center"/>
    </xf>
    <xf numFmtId="0" fontId="14" fillId="0" borderId="113" xfId="0" applyFont="1" applyBorder="1" applyAlignment="1">
      <alignment horizontal="center" vertical="center"/>
    </xf>
    <xf numFmtId="0" fontId="14" fillId="0" borderId="121" xfId="0" applyFont="1" applyBorder="1" applyAlignment="1">
      <alignment horizontal="center" vertical="center"/>
    </xf>
    <xf numFmtId="0" fontId="14" fillId="0" borderId="113" xfId="0" applyFont="1" applyBorder="1"/>
    <xf numFmtId="0" fontId="14" fillId="0" borderId="121" xfId="0" applyFont="1" applyBorder="1"/>
    <xf numFmtId="0" fontId="16" fillId="0" borderId="227" xfId="0" applyFont="1" applyBorder="1"/>
    <xf numFmtId="0" fontId="16" fillId="0" borderId="228" xfId="0" applyFont="1" applyBorder="1"/>
    <xf numFmtId="0" fontId="16" fillId="0" borderId="231" xfId="0" applyFont="1" applyBorder="1"/>
    <xf numFmtId="0" fontId="16" fillId="0" borderId="232" xfId="0" applyFont="1" applyBorder="1"/>
    <xf numFmtId="0" fontId="14" fillId="33" borderId="112" xfId="0" applyFont="1" applyFill="1" applyBorder="1" applyAlignment="1">
      <alignment horizontal="center"/>
    </xf>
    <xf numFmtId="0" fontId="2" fillId="0" borderId="124" xfId="0" applyFont="1" applyBorder="1" applyAlignment="1">
      <alignment horizontal="center" vertical="center"/>
    </xf>
    <xf numFmtId="0" fontId="25" fillId="0" borderId="206" xfId="0" applyFont="1" applyBorder="1" applyAlignment="1">
      <alignment horizontal="center" vertical="center"/>
    </xf>
    <xf numFmtId="0" fontId="25" fillId="0" borderId="0" xfId="0" applyFont="1" applyAlignment="1">
      <alignment horizontal="center" vertical="center"/>
    </xf>
    <xf numFmtId="0" fontId="25" fillId="0" borderId="130" xfId="0" applyFont="1" applyBorder="1" applyAlignment="1">
      <alignment horizontal="center" vertical="center"/>
    </xf>
    <xf numFmtId="0" fontId="2" fillId="0" borderId="140" xfId="0" applyFont="1" applyBorder="1" applyAlignment="1">
      <alignment horizontal="center" vertical="center"/>
    </xf>
    <xf numFmtId="0" fontId="2" fillId="0" borderId="128" xfId="0" applyFont="1" applyBorder="1" applyAlignment="1">
      <alignment horizontal="left" vertical="center"/>
    </xf>
    <xf numFmtId="164" fontId="8" fillId="29" borderId="0" xfId="0" applyNumberFormat="1" applyFont="1" applyFill="1" applyAlignment="1">
      <alignment horizontal="center"/>
    </xf>
    <xf numFmtId="0" fontId="26" fillId="12" borderId="0" xfId="0" applyFont="1" applyFill="1" applyAlignment="1" applyProtection="1">
      <alignment horizontal="center"/>
      <protection locked="0"/>
    </xf>
    <xf numFmtId="0" fontId="28" fillId="12" borderId="0" xfId="0" applyFont="1" applyFill="1" applyAlignment="1">
      <alignment horizontal="center" wrapText="1"/>
    </xf>
    <xf numFmtId="164" fontId="53" fillId="33" borderId="147" xfId="0" applyNumberFormat="1" applyFont="1" applyFill="1" applyBorder="1" applyAlignment="1">
      <alignment horizontal="center"/>
    </xf>
    <xf numFmtId="164" fontId="39" fillId="0" borderId="0" xfId="0" applyNumberFormat="1" applyFont="1" applyAlignment="1">
      <alignment horizontal="center"/>
    </xf>
    <xf numFmtId="0" fontId="53" fillId="0" borderId="110" xfId="0" applyFont="1" applyBorder="1" applyAlignment="1">
      <alignment horizontal="center" vertical="center" wrapText="1"/>
    </xf>
    <xf numFmtId="0" fontId="53" fillId="0" borderId="124" xfId="0" applyFont="1" applyBorder="1" applyAlignment="1">
      <alignment horizontal="center" vertical="center"/>
    </xf>
    <xf numFmtId="0" fontId="53" fillId="0" borderId="110" xfId="0" applyFont="1" applyBorder="1" applyAlignment="1">
      <alignment horizontal="center" vertical="center"/>
    </xf>
    <xf numFmtId="0" fontId="53" fillId="15" borderId="110" xfId="0" applyFont="1" applyFill="1" applyBorder="1" applyAlignment="1">
      <alignment horizontal="center" vertical="center"/>
    </xf>
    <xf numFmtId="0" fontId="53" fillId="15" borderId="124" xfId="0" applyFont="1" applyFill="1" applyBorder="1" applyAlignment="1">
      <alignment horizontal="center" vertical="center"/>
    </xf>
    <xf numFmtId="0" fontId="53" fillId="19" borderId="141" xfId="0" applyFont="1" applyFill="1" applyBorder="1" applyAlignment="1">
      <alignment horizontal="center" vertical="center" wrapText="1"/>
    </xf>
    <xf numFmtId="0" fontId="53" fillId="19" borderId="142" xfId="0" applyFont="1" applyFill="1" applyBorder="1" applyAlignment="1">
      <alignment horizontal="center" vertical="center" wrapText="1"/>
    </xf>
    <xf numFmtId="0" fontId="53" fillId="19" borderId="141" xfId="0" applyFont="1" applyFill="1" applyBorder="1" applyAlignment="1">
      <alignment horizontal="center" vertical="center"/>
    </xf>
    <xf numFmtId="0" fontId="53" fillId="19" borderId="142" xfId="0" applyFont="1" applyFill="1" applyBorder="1" applyAlignment="1">
      <alignment horizontal="center" vertical="center"/>
    </xf>
    <xf numFmtId="164" fontId="6" fillId="9" borderId="0" xfId="0" applyNumberFormat="1" applyFont="1" applyFill="1" applyAlignment="1">
      <alignment horizontal="center"/>
    </xf>
    <xf numFmtId="0" fontId="64" fillId="0" borderId="150" xfId="0" applyFont="1" applyBorder="1" applyAlignment="1">
      <alignment horizontal="center" vertical="center" wrapText="1"/>
    </xf>
    <xf numFmtId="0" fontId="64" fillId="0" borderId="155" xfId="0" applyFont="1" applyBorder="1" applyAlignment="1">
      <alignment horizontal="center" vertical="center" wrapText="1"/>
    </xf>
    <xf numFmtId="0" fontId="53" fillId="33" borderId="147" xfId="0" applyFont="1" applyFill="1" applyBorder="1" applyAlignment="1">
      <alignment horizontal="center" vertical="center"/>
    </xf>
    <xf numFmtId="0" fontId="53" fillId="33" borderId="143" xfId="0" applyFont="1" applyFill="1" applyBorder="1" applyAlignment="1">
      <alignment horizontal="center" vertical="center"/>
    </xf>
    <xf numFmtId="0" fontId="64" fillId="0" borderId="110" xfId="0" applyFont="1" applyBorder="1" applyAlignment="1">
      <alignment horizontal="center" vertical="center" wrapText="1"/>
    </xf>
    <xf numFmtId="0" fontId="64" fillId="0" borderId="124" xfId="0" applyFont="1" applyBorder="1" applyAlignment="1">
      <alignment horizontal="center" vertical="center" wrapText="1"/>
    </xf>
    <xf numFmtId="0" fontId="74" fillId="33" borderId="148" xfId="0" applyFont="1" applyFill="1" applyBorder="1" applyAlignment="1">
      <alignment horizontal="center" vertical="center"/>
    </xf>
    <xf numFmtId="0" fontId="74" fillId="33" borderId="147" xfId="0" applyFont="1" applyFill="1" applyBorder="1" applyAlignment="1">
      <alignment horizontal="center" vertical="center"/>
    </xf>
    <xf numFmtId="0" fontId="74" fillId="33" borderId="149" xfId="0" applyFont="1" applyFill="1" applyBorder="1" applyAlignment="1">
      <alignment horizontal="center" vertical="center"/>
    </xf>
    <xf numFmtId="0" fontId="74" fillId="33" borderId="111" xfId="0" applyFont="1" applyFill="1" applyBorder="1" applyAlignment="1">
      <alignment horizontal="center" vertical="center"/>
    </xf>
    <xf numFmtId="0" fontId="53" fillId="19" borderId="110" xfId="0" applyFont="1" applyFill="1" applyBorder="1" applyAlignment="1">
      <alignment horizontal="center" vertical="center" wrapText="1"/>
    </xf>
    <xf numFmtId="0" fontId="53" fillId="19" borderId="111" xfId="0" applyFont="1" applyFill="1" applyBorder="1" applyAlignment="1">
      <alignment horizontal="center" vertical="center"/>
    </xf>
    <xf numFmtId="0" fontId="53" fillId="33" borderId="152" xfId="0" applyFont="1" applyFill="1" applyBorder="1" applyAlignment="1">
      <alignment horizontal="center" vertical="center"/>
    </xf>
    <xf numFmtId="0" fontId="53" fillId="33" borderId="154" xfId="0" applyFont="1" applyFill="1" applyBorder="1" applyAlignment="1">
      <alignment horizontal="center" vertical="center"/>
    </xf>
    <xf numFmtId="0" fontId="53" fillId="0" borderId="111" xfId="0" applyFont="1" applyBorder="1" applyAlignment="1">
      <alignment horizontal="center" vertical="center"/>
    </xf>
    <xf numFmtId="0" fontId="73" fillId="33" borderId="147" xfId="0" applyFont="1" applyFill="1" applyBorder="1" applyAlignment="1">
      <alignment horizontal="center" vertical="center"/>
    </xf>
    <xf numFmtId="0" fontId="73" fillId="33" borderId="152" xfId="0" applyFont="1" applyFill="1" applyBorder="1" applyAlignment="1">
      <alignment horizontal="center" vertical="center"/>
    </xf>
    <xf numFmtId="0" fontId="73" fillId="33" borderId="111" xfId="0" applyFont="1" applyFill="1" applyBorder="1" applyAlignment="1">
      <alignment horizontal="center" vertical="center"/>
    </xf>
    <xf numFmtId="0" fontId="73" fillId="33" borderId="153" xfId="0" applyFont="1" applyFill="1" applyBorder="1" applyAlignment="1">
      <alignment horizontal="center" vertical="center"/>
    </xf>
    <xf numFmtId="0" fontId="22" fillId="2" borderId="0" xfId="0" applyFont="1" applyFill="1" applyAlignment="1">
      <alignment horizontal="center"/>
    </xf>
    <xf numFmtId="2" fontId="0" fillId="0" borderId="80" xfId="0" applyNumberFormat="1" applyBorder="1" applyAlignment="1">
      <alignment horizontal="center"/>
    </xf>
    <xf numFmtId="0" fontId="0" fillId="0" borderId="80" xfId="0" applyBorder="1" applyAlignment="1">
      <alignment horizontal="center"/>
    </xf>
    <xf numFmtId="2" fontId="0" fillId="0" borderId="156" xfId="0" applyNumberFormat="1" applyBorder="1" applyAlignment="1">
      <alignment horizontal="center"/>
    </xf>
    <xf numFmtId="0" fontId="0" fillId="0" borderId="156" xfId="0" applyBorder="1" applyAlignment="1">
      <alignment horizontal="center"/>
    </xf>
    <xf numFmtId="0" fontId="23" fillId="10" borderId="80" xfId="0" applyFont="1" applyFill="1" applyBorder="1" applyAlignment="1">
      <alignment horizontal="center"/>
    </xf>
    <xf numFmtId="0" fontId="32" fillId="10" borderId="80" xfId="0" applyFont="1" applyFill="1" applyBorder="1" applyAlignment="1">
      <alignment horizontal="center"/>
    </xf>
    <xf numFmtId="0" fontId="23" fillId="31" borderId="80" xfId="0" applyFont="1" applyFill="1" applyBorder="1" applyAlignment="1">
      <alignment horizontal="center"/>
    </xf>
    <xf numFmtId="0" fontId="32" fillId="31" borderId="80" xfId="0" applyFont="1" applyFill="1" applyBorder="1" applyAlignment="1">
      <alignment horizontal="center"/>
    </xf>
    <xf numFmtId="0" fontId="0" fillId="0" borderId="0" xfId="0" applyAlignment="1">
      <alignment horizontal="center" vertical="center" wrapText="1"/>
    </xf>
    <xf numFmtId="0" fontId="0" fillId="0" borderId="162" xfId="0" applyBorder="1" applyAlignment="1">
      <alignment horizontal="center" vertical="center" wrapText="1"/>
    </xf>
    <xf numFmtId="0" fontId="1" fillId="0" borderId="77" xfId="0" applyFont="1" applyBorder="1" applyAlignment="1">
      <alignment horizontal="center" vertical="center"/>
    </xf>
    <xf numFmtId="0" fontId="1" fillId="0" borderId="194" xfId="0" applyFont="1" applyBorder="1" applyAlignment="1">
      <alignment horizontal="center" vertical="center"/>
    </xf>
    <xf numFmtId="0" fontId="1" fillId="0" borderId="192" xfId="0" applyFont="1" applyBorder="1" applyAlignment="1">
      <alignment horizontal="center" vertical="center"/>
    </xf>
    <xf numFmtId="0" fontId="1" fillId="0" borderId="189" xfId="0" applyFont="1" applyBorder="1" applyAlignment="1">
      <alignment horizontal="center" vertical="center"/>
    </xf>
    <xf numFmtId="0" fontId="0" fillId="0" borderId="77" xfId="0" applyBorder="1" applyAlignment="1">
      <alignment horizontal="center" vertical="center"/>
    </xf>
    <xf numFmtId="0" fontId="0" fillId="0" borderId="0" xfId="0" applyAlignment="1">
      <alignment horizontal="center" vertical="center"/>
    </xf>
    <xf numFmtId="0" fontId="0" fillId="0" borderId="124" xfId="0" applyBorder="1" applyAlignment="1">
      <alignment horizontal="center" vertical="center"/>
    </xf>
    <xf numFmtId="0" fontId="1" fillId="0" borderId="236" xfId="0" applyFont="1" applyBorder="1" applyAlignment="1">
      <alignment horizontal="center" vertical="center"/>
    </xf>
    <xf numFmtId="0" fontId="0" fillId="0" borderId="192" xfId="0" applyBorder="1" applyAlignment="1">
      <alignment horizontal="center" vertical="center"/>
    </xf>
    <xf numFmtId="0" fontId="1" fillId="0" borderId="77" xfId="0" applyFont="1" applyBorder="1" applyAlignment="1">
      <alignment horizontal="center" vertical="center" wrapText="1"/>
    </xf>
    <xf numFmtId="0" fontId="1" fillId="0" borderId="0" xfId="0" applyFont="1" applyAlignment="1">
      <alignment horizontal="center" vertical="center" wrapText="1"/>
    </xf>
    <xf numFmtId="0" fontId="1" fillId="0" borderId="124" xfId="0" applyFont="1" applyBorder="1" applyAlignment="1">
      <alignment horizontal="center" vertical="center" wrapText="1"/>
    </xf>
    <xf numFmtId="0" fontId="0" fillId="0" borderId="189" xfId="0" applyBorder="1" applyAlignment="1">
      <alignment horizontal="center" vertical="center"/>
    </xf>
    <xf numFmtId="0" fontId="1" fillId="0" borderId="189" xfId="0" applyFont="1" applyBorder="1" applyAlignment="1">
      <alignment horizontal="center"/>
    </xf>
    <xf numFmtId="2" fontId="0" fillId="0" borderId="192" xfId="0" applyNumberFormat="1" applyBorder="1" applyAlignment="1">
      <alignment horizontal="center" vertical="center"/>
    </xf>
    <xf numFmtId="2" fontId="0" fillId="0" borderId="189" xfId="0" applyNumberFormat="1" applyBorder="1" applyAlignment="1">
      <alignment horizontal="center" vertical="center"/>
    </xf>
    <xf numFmtId="0" fontId="1" fillId="0" borderId="162" xfId="0" applyFont="1" applyBorder="1" applyAlignment="1">
      <alignment horizontal="center" vertical="center" wrapText="1"/>
    </xf>
    <xf numFmtId="0" fontId="1" fillId="0" borderId="190" xfId="0" applyFont="1" applyBorder="1" applyAlignment="1">
      <alignment horizontal="center" vertical="center"/>
    </xf>
    <xf numFmtId="0" fontId="0" fillId="0" borderId="190" xfId="0" applyBorder="1" applyAlignment="1">
      <alignment horizontal="center" vertical="center"/>
    </xf>
    <xf numFmtId="0" fontId="1" fillId="0" borderId="191" xfId="0" applyFont="1" applyBorder="1" applyAlignment="1">
      <alignment horizontal="center" vertical="center"/>
    </xf>
    <xf numFmtId="0" fontId="1" fillId="0" borderId="28" xfId="0" applyFont="1" applyBorder="1" applyAlignment="1">
      <alignment horizontal="center" vertical="center"/>
    </xf>
    <xf numFmtId="0" fontId="1" fillId="0" borderId="124" xfId="0" applyFont="1" applyBorder="1" applyAlignment="1">
      <alignment horizontal="center" vertical="center"/>
    </xf>
    <xf numFmtId="0" fontId="1" fillId="0" borderId="188" xfId="0" applyFont="1" applyBorder="1" applyAlignment="1">
      <alignment horizontal="center" vertical="center" wrapText="1"/>
    </xf>
    <xf numFmtId="0" fontId="1" fillId="0" borderId="188" xfId="0" applyFont="1" applyBorder="1" applyAlignment="1">
      <alignment horizontal="center" vertical="center"/>
    </xf>
    <xf numFmtId="0" fontId="1" fillId="0" borderId="28" xfId="0" applyFont="1" applyBorder="1" applyAlignment="1">
      <alignment horizontal="center" vertical="center" wrapText="1"/>
    </xf>
    <xf numFmtId="0" fontId="6" fillId="34" borderId="0" xfId="0" applyFont="1" applyFill="1" applyAlignment="1">
      <alignment horizontal="center" vertical="center"/>
    </xf>
    <xf numFmtId="0" fontId="7" fillId="0" borderId="28" xfId="0" applyFont="1" applyBorder="1" applyAlignment="1">
      <alignment horizontal="center" vertical="center" wrapText="1"/>
    </xf>
    <xf numFmtId="0" fontId="7" fillId="0" borderId="28" xfId="0" applyFont="1" applyBorder="1" applyAlignment="1">
      <alignment horizontal="center" vertical="center"/>
    </xf>
    <xf numFmtId="0" fontId="7" fillId="0" borderId="0" xfId="0" applyFont="1" applyAlignment="1">
      <alignment horizontal="center" vertical="center"/>
    </xf>
    <xf numFmtId="0" fontId="7" fillId="0" borderId="162" xfId="0" applyFont="1" applyBorder="1" applyAlignment="1">
      <alignment horizontal="center" vertical="center"/>
    </xf>
    <xf numFmtId="0" fontId="83" fillId="0" borderId="162" xfId="0" applyFont="1" applyBorder="1" applyAlignment="1">
      <alignment horizontal="center" vertical="center"/>
    </xf>
    <xf numFmtId="0" fontId="7" fillId="0" borderId="0" xfId="0" applyFont="1" applyAlignment="1">
      <alignment horizontal="center" vertical="center" wrapText="1"/>
    </xf>
    <xf numFmtId="0" fontId="83" fillId="0" borderId="28" xfId="0" applyFont="1" applyBorder="1" applyAlignment="1">
      <alignment horizontal="center" vertical="center" wrapText="1"/>
    </xf>
    <xf numFmtId="0" fontId="83" fillId="0" borderId="0" xfId="0" applyFont="1" applyAlignment="1">
      <alignment horizontal="center" vertical="center" wrapText="1"/>
    </xf>
    <xf numFmtId="0" fontId="1" fillId="0" borderId="192" xfId="0" applyFont="1" applyBorder="1" applyAlignment="1">
      <alignment horizontal="center" vertical="center" wrapText="1"/>
    </xf>
    <xf numFmtId="0" fontId="1" fillId="0" borderId="189" xfId="0" applyFont="1" applyBorder="1" applyAlignment="1">
      <alignment horizontal="center" vertical="center" wrapText="1"/>
    </xf>
    <xf numFmtId="0" fontId="1" fillId="0" borderId="190" xfId="0" applyFont="1" applyBorder="1" applyAlignment="1">
      <alignment horizontal="center" vertical="center" wrapText="1"/>
    </xf>
    <xf numFmtId="0" fontId="0" fillId="0" borderId="162" xfId="0" applyBorder="1" applyAlignment="1">
      <alignment horizontal="center" vertical="center"/>
    </xf>
    <xf numFmtId="0" fontId="1" fillId="0" borderId="162" xfId="0" applyFont="1" applyBorder="1" applyAlignment="1">
      <alignment horizontal="center" vertical="center"/>
    </xf>
    <xf numFmtId="2" fontId="0" fillId="0" borderId="0" xfId="0" applyNumberFormat="1" applyAlignment="1">
      <alignment horizontal="center" vertical="center"/>
    </xf>
    <xf numFmtId="2" fontId="0" fillId="0" borderId="162" xfId="0" applyNumberFormat="1" applyBorder="1" applyAlignment="1">
      <alignment horizontal="center" vertical="center"/>
    </xf>
    <xf numFmtId="0" fontId="1" fillId="0" borderId="236" xfId="0" applyFont="1" applyBorder="1" applyAlignment="1">
      <alignment horizontal="center"/>
    </xf>
    <xf numFmtId="0" fontId="1" fillId="0" borderId="192" xfId="0" applyFont="1" applyBorder="1" applyAlignment="1">
      <alignment horizontal="center"/>
    </xf>
    <xf numFmtId="0" fontId="0" fillId="0" borderId="192" xfId="0" applyBorder="1" applyAlignment="1">
      <alignment horizontal="center"/>
    </xf>
    <xf numFmtId="0" fontId="0" fillId="0" borderId="189" xfId="0" applyBorder="1" applyAlignment="1">
      <alignment horizontal="center"/>
    </xf>
    <xf numFmtId="0" fontId="0" fillId="0" borderId="191" xfId="0" applyBorder="1" applyAlignment="1">
      <alignment horizontal="center" vertical="center"/>
    </xf>
    <xf numFmtId="0" fontId="1" fillId="0" borderId="191" xfId="0" applyFont="1" applyBorder="1" applyAlignment="1">
      <alignment horizontal="center"/>
    </xf>
    <xf numFmtId="0" fontId="0" fillId="0" borderId="188" xfId="0" applyBorder="1" applyAlignment="1">
      <alignment horizontal="center" vertical="center"/>
    </xf>
    <xf numFmtId="2" fontId="0" fillId="0" borderId="188" xfId="0" applyNumberFormat="1" applyBorder="1" applyAlignment="1">
      <alignment horizontal="center" vertical="center"/>
    </xf>
    <xf numFmtId="0" fontId="0" fillId="0" borderId="190" xfId="0" applyBorder="1" applyAlignment="1">
      <alignment horizontal="center"/>
    </xf>
    <xf numFmtId="0" fontId="1" fillId="0" borderId="188" xfId="0" applyFont="1" applyBorder="1" applyAlignment="1">
      <alignment horizontal="center" wrapText="1"/>
    </xf>
    <xf numFmtId="0" fontId="1" fillId="0" borderId="188" xfId="0" applyFont="1" applyBorder="1" applyAlignment="1">
      <alignment horizontal="center"/>
    </xf>
    <xf numFmtId="0" fontId="1" fillId="0" borderId="191" xfId="0" applyFont="1" applyBorder="1" applyAlignment="1">
      <alignment horizontal="center" vertical="center" wrapText="1"/>
    </xf>
    <xf numFmtId="0" fontId="1" fillId="0" borderId="193" xfId="0" applyFont="1" applyBorder="1" applyAlignment="1">
      <alignment horizontal="center" vertical="center" wrapText="1"/>
    </xf>
    <xf numFmtId="0" fontId="0" fillId="0" borderId="193" xfId="0" applyBorder="1" applyAlignment="1">
      <alignment horizontal="center" vertical="center"/>
    </xf>
    <xf numFmtId="0" fontId="0" fillId="0" borderId="194" xfId="0" applyBorder="1" applyAlignment="1">
      <alignment horizontal="center" vertical="center"/>
    </xf>
    <xf numFmtId="0" fontId="96" fillId="0" borderId="0" xfId="0" applyFont="1" applyAlignment="1">
      <alignment horizontal="center" vertical="center"/>
    </xf>
  </cellXfs>
  <cellStyles count="11">
    <cellStyle name="Normal" xfId="0" builtinId="0"/>
    <cellStyle name="Normal_1. Carác. interanual rég. nat." xfId="1" xr:uid="{00000000-0005-0000-0000-000001000000}"/>
    <cellStyle name="Normal_1. Carác. interanual rég. nat. 2" xfId="2" xr:uid="{00000000-0005-0000-0000-000002000000}"/>
    <cellStyle name="Normal_2. Carác intranual rég nat" xfId="3" xr:uid="{00000000-0005-0000-0000-000003000000}"/>
    <cellStyle name="Normal_2. Carác intranual rég nat 2" xfId="4" xr:uid="{00000000-0005-0000-0000-000004000000}"/>
    <cellStyle name="Normal_2. Carác intranual rég nat 3" xfId="5" xr:uid="{00000000-0005-0000-0000-000005000000}"/>
    <cellStyle name="Normal_4. Parám rég nat" xfId="6" xr:uid="{00000000-0005-0000-0000-000006000000}"/>
    <cellStyle name="Normal_4. Parám rég nat 2" xfId="7" xr:uid="{00000000-0005-0000-0000-000007000000}"/>
    <cellStyle name="Normal_4a. Parám habit rég nat" xfId="8" xr:uid="{00000000-0005-0000-0000-000009000000}"/>
    <cellStyle name="Normal_6. Qclas rég nat y alter 2" xfId="9" xr:uid="{00000000-0005-0000-0000-00000A000000}"/>
    <cellStyle name="Normal_6a. Qclas rég nat 2" xfId="10" xr:uid="{00000000-0005-0000-0000-00000B000000}"/>
  </cellStyles>
  <dxfs count="3">
    <dxf>
      <fill>
        <patternFill>
          <bgColor rgb="FFFF0000"/>
        </patternFill>
      </fill>
    </dxf>
    <dxf>
      <fill>
        <patternFill>
          <bgColor rgb="FFFF0000"/>
        </patternFill>
      </fill>
    </dxf>
    <dxf>
      <fill>
        <patternFill>
          <bgColor rgb="FF336600"/>
        </patternFill>
      </fill>
    </dxf>
  </dxfs>
  <tableStyles count="0" defaultTableStyle="TableStyleMedium9" defaultPivotStyle="PivotStyleLight16"/>
  <colors>
    <mruColors>
      <color rgb="FF1F497D"/>
      <color rgb="FF0066CC"/>
      <color rgb="FF538DD5"/>
      <color rgb="FFD9D9D9"/>
      <color rgb="FF336600"/>
      <color rgb="FF4F81BD"/>
      <color rgb="FF0066FF"/>
      <color rgb="FFFFFFCC"/>
      <color rgb="FFC0C0C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1.xml"/><Relationship Id="rId1" Type="http://schemas.microsoft.com/office/2011/relationships/chartStyle" Target="style21.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2.xml"/><Relationship Id="rId1" Type="http://schemas.microsoft.com/office/2011/relationships/chartStyle" Target="style22.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23.xml"/><Relationship Id="rId1" Type="http://schemas.microsoft.com/office/2011/relationships/chartStyle" Target="style23.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24.xml"/><Relationship Id="rId1" Type="http://schemas.microsoft.com/office/2011/relationships/chartStyle" Target="style24.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25.xml"/><Relationship Id="rId1" Type="http://schemas.microsoft.com/office/2011/relationships/chartStyle" Target="style25.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26.xml"/><Relationship Id="rId1" Type="http://schemas.microsoft.com/office/2011/relationships/chartStyle" Target="style26.xml"/></Relationships>
</file>

<file path=xl/charts/_rels/chart2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2.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23.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24.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25.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26.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27.xml.rels><?xml version="1.0" encoding="UTF-8" standalone="yes"?>
<Relationships xmlns="http://schemas.openxmlformats.org/package/2006/relationships"><Relationship Id="rId1" Type="http://schemas.openxmlformats.org/officeDocument/2006/relationships/themeOverride" Target="../theme/themeOverride12.xml"/></Relationships>
</file>

<file path=xl/charts/_rels/chart28.xml.rels><?xml version="1.0" encoding="UTF-8" standalone="yes"?>
<Relationships xmlns="http://schemas.openxmlformats.org/package/2006/relationships"><Relationship Id="rId1" Type="http://schemas.openxmlformats.org/officeDocument/2006/relationships/themeOverride" Target="../theme/themeOverride13.xml"/></Relationships>
</file>

<file path=xl/charts/_rels/chart29.xml.rels><?xml version="1.0" encoding="UTF-8" standalone="yes"?>
<Relationships xmlns="http://schemas.openxmlformats.org/package/2006/relationships"><Relationship Id="rId1" Type="http://schemas.openxmlformats.org/officeDocument/2006/relationships/themeOverride" Target="../theme/themeOverride14.xml"/></Relationships>
</file>

<file path=xl/charts/_rels/chart30.xml.rels><?xml version="1.0" encoding="UTF-8" standalone="yes"?>
<Relationships xmlns="http://schemas.openxmlformats.org/package/2006/relationships"><Relationship Id="rId1" Type="http://schemas.openxmlformats.org/officeDocument/2006/relationships/themeOverride" Target="../theme/themeOverride15.xml"/></Relationships>
</file>

<file path=xl/charts/_rels/chart31.xml.rels><?xml version="1.0" encoding="UTF-8" standalone="yes"?>
<Relationships xmlns="http://schemas.openxmlformats.org/package/2006/relationships"><Relationship Id="rId1" Type="http://schemas.openxmlformats.org/officeDocument/2006/relationships/themeOverride" Target="../theme/themeOverride16.xml"/></Relationships>
</file>

<file path=xl/charts/_rels/chart32.xml.rels><?xml version="1.0" encoding="UTF-8" standalone="yes"?>
<Relationships xmlns="http://schemas.openxmlformats.org/package/2006/relationships"><Relationship Id="rId1" Type="http://schemas.openxmlformats.org/officeDocument/2006/relationships/themeOverride" Target="../theme/themeOverride17.xml"/></Relationships>
</file>

<file path=xl/charts/_rels/chart33.xml.rels><?xml version="1.0" encoding="UTF-8" standalone="yes"?>
<Relationships xmlns="http://schemas.openxmlformats.org/package/2006/relationships"><Relationship Id="rId1" Type="http://schemas.openxmlformats.org/officeDocument/2006/relationships/themeOverride" Target="../theme/themeOverride18.xml"/></Relationships>
</file>

<file path=xl/charts/_rels/chart34.xml.rels><?xml version="1.0" encoding="UTF-8" standalone="yes"?>
<Relationships xmlns="http://schemas.openxmlformats.org/package/2006/relationships"><Relationship Id="rId1" Type="http://schemas.openxmlformats.org/officeDocument/2006/relationships/themeOverride" Target="../theme/themeOverride19.xml"/></Relationships>
</file>

<file path=xl/charts/_rels/chart35.xml.rels><?xml version="1.0" encoding="UTF-8" standalone="yes"?>
<Relationships xmlns="http://schemas.openxmlformats.org/package/2006/relationships"><Relationship Id="rId1" Type="http://schemas.openxmlformats.org/officeDocument/2006/relationships/themeOverride" Target="../theme/themeOverride20.xml"/></Relationships>
</file>

<file path=xl/charts/_rels/chart36.xml.rels><?xml version="1.0" encoding="UTF-8" standalone="yes"?>
<Relationships xmlns="http://schemas.openxmlformats.org/package/2006/relationships"><Relationship Id="rId1" Type="http://schemas.openxmlformats.org/officeDocument/2006/relationships/themeOverride" Target="../theme/themeOverride21.xml"/></Relationships>
</file>

<file path=xl/charts/_rels/chart37.xml.rels><?xml version="1.0" encoding="UTF-8" standalone="yes"?>
<Relationships xmlns="http://schemas.openxmlformats.org/package/2006/relationships"><Relationship Id="rId1" Type="http://schemas.openxmlformats.org/officeDocument/2006/relationships/themeOverride" Target="../theme/themeOverride22.xml"/></Relationships>
</file>

<file path=xl/charts/_rels/chart38.xml.rels><?xml version="1.0" encoding="UTF-8" standalone="yes"?>
<Relationships xmlns="http://schemas.openxmlformats.org/package/2006/relationships"><Relationship Id="rId1" Type="http://schemas.openxmlformats.org/officeDocument/2006/relationships/themeOverride" Target="../theme/themeOverride23.xml"/></Relationships>
</file>

<file path=xl/charts/_rels/chart3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42.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4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nº1'!$U$6</c:f>
          <c:strCache>
            <c:ptCount val="1"/>
            <c:pt idx="0">
              <c:v>ANNUAL CONTRIBUTIONS IN NATURAL FLOW (hm³)</c:v>
            </c:pt>
          </c:strCache>
        </c:strRef>
      </c:tx>
      <c:layout>
        <c:manualLayout>
          <c:xMode val="edge"/>
          <c:yMode val="edge"/>
          <c:x val="0.24442919105503177"/>
          <c:y val="1.82605461338297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3"/>
          <c:order val="0"/>
          <c:tx>
            <c:strRef>
              <c:f>'Informe nº1'!$Y$13</c:f>
              <c:strCache>
                <c:ptCount val="1"/>
                <c:pt idx="0">
                  <c:v>NAT_F</c:v>
                </c:pt>
              </c:strCache>
            </c:strRef>
          </c:tx>
          <c:spPr>
            <a:ln w="19050" cap="sq">
              <a:solidFill>
                <a:schemeClr val="accent1"/>
              </a:solidFill>
              <a:round/>
            </a:ln>
            <a:effectLst/>
          </c:spPr>
          <c:marker>
            <c:symbol val="square"/>
            <c:size val="8"/>
            <c:spPr>
              <a:solidFill>
                <a:schemeClr val="accent1"/>
              </a:solidFill>
              <a:ln w="9525">
                <a:solidFill>
                  <a:schemeClr val="accent1"/>
                </a:solidFill>
                <a:round/>
              </a:ln>
              <a:effectLst/>
            </c:spPr>
          </c:marker>
          <c:cat>
            <c:strRef>
              <c:f>'Informe nº1'!$W$14:$W$34</c:f>
              <c:strCache>
                <c:ptCount val="2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strCache>
            </c:strRef>
          </c:cat>
          <c:val>
            <c:numRef>
              <c:f>'Informe nº1'!$Y$14:$Y$34</c:f>
              <c:numCache>
                <c:formatCode>0.000</c:formatCode>
                <c:ptCount val="21"/>
                <c:pt idx="0">
                  <c:v>92.2076416015625</c:v>
                </c:pt>
                <c:pt idx="1">
                  <c:v>97.979019165039063</c:v>
                </c:pt>
                <c:pt idx="2">
                  <c:v>100.94139862060547</c:v>
                </c:pt>
                <c:pt idx="3">
                  <c:v>99.479499816894531</c:v>
                </c:pt>
                <c:pt idx="4">
                  <c:v>103.67398834228516</c:v>
                </c:pt>
                <c:pt idx="5">
                  <c:v>109.82182312011719</c:v>
                </c:pt>
                <c:pt idx="6">
                  <c:v>118.52344512939453</c:v>
                </c:pt>
                <c:pt idx="7">
                  <c:v>116.83329772949219</c:v>
                </c:pt>
                <c:pt idx="8">
                  <c:v>102.62631225585938</c:v>
                </c:pt>
                <c:pt idx="9">
                  <c:v>82.448440551757813</c:v>
                </c:pt>
                <c:pt idx="10">
                  <c:v>73.970100402832031</c:v>
                </c:pt>
                <c:pt idx="11">
                  <c:v>90.61065673828125</c:v>
                </c:pt>
                <c:pt idx="12">
                  <c:v>93.292648315429688</c:v>
                </c:pt>
                <c:pt idx="13">
                  <c:v>107.80459594726563</c:v>
                </c:pt>
                <c:pt idx="14">
                  <c:v>99.997283935546875</c:v>
                </c:pt>
                <c:pt idx="15">
                  <c:v>87.014266967773438</c:v>
                </c:pt>
                <c:pt idx="16">
                  <c:v>88.203254699707031</c:v>
                </c:pt>
                <c:pt idx="17">
                  <c:v>93.575553894042969</c:v>
                </c:pt>
                <c:pt idx="18">
                  <c:v>114.83309936523438</c:v>
                </c:pt>
                <c:pt idx="19">
                  <c:v>78.004104614257813</c:v>
                </c:pt>
                <c:pt idx="20">
                  <c:v>100.32730865478516</c:v>
                </c:pt>
              </c:numCache>
            </c:numRef>
          </c:val>
          <c:smooth val="0"/>
          <c:extLst>
            <c:ext xmlns:c16="http://schemas.microsoft.com/office/drawing/2014/chart" uri="{C3380CC4-5D6E-409C-BE32-E72D297353CC}">
              <c16:uniqueId val="{00000003-A5C0-4888-A964-D9343B2FC5DD}"/>
            </c:ext>
          </c:extLst>
        </c:ser>
        <c:ser>
          <c:idx val="2"/>
          <c:order val="1"/>
          <c:tx>
            <c:strRef>
              <c:f>'Informe nº1'!$X$13</c:f>
              <c:strCache>
                <c:ptCount val="1"/>
                <c:pt idx="0">
                  <c:v>WET THRESHOLD Nat_F</c:v>
                </c:pt>
              </c:strCache>
            </c:strRef>
          </c:tx>
          <c:spPr>
            <a:ln w="19050" cap="rnd">
              <a:solidFill>
                <a:schemeClr val="tx1">
                  <a:lumMod val="50000"/>
                  <a:lumOff val="50000"/>
                </a:schemeClr>
              </a:solidFill>
              <a:prstDash val="lgDashDotDot"/>
              <a:round/>
            </a:ln>
            <a:effectLst/>
          </c:spPr>
          <c:marker>
            <c:symbol val="none"/>
          </c:marker>
          <c:cat>
            <c:strRef>
              <c:f>'Informe nº1'!$W$14:$W$34</c:f>
              <c:strCache>
                <c:ptCount val="2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strCache>
            </c:strRef>
          </c:cat>
          <c:val>
            <c:numRef>
              <c:f>'Informe nº1'!$X$14:$X$34</c:f>
              <c:numCache>
                <c:formatCode>0.000</c:formatCode>
                <c:ptCount val="21"/>
                <c:pt idx="0">
                  <c:v>105.73929214477539</c:v>
                </c:pt>
                <c:pt idx="1">
                  <c:v>105.73929214477539</c:v>
                </c:pt>
                <c:pt idx="2">
                  <c:v>105.73929214477539</c:v>
                </c:pt>
                <c:pt idx="3">
                  <c:v>105.73929214477539</c:v>
                </c:pt>
                <c:pt idx="4">
                  <c:v>105.73929214477539</c:v>
                </c:pt>
                <c:pt idx="5">
                  <c:v>105.73929214477539</c:v>
                </c:pt>
                <c:pt idx="6">
                  <c:v>105.73929214477539</c:v>
                </c:pt>
                <c:pt idx="7">
                  <c:v>105.73929214477539</c:v>
                </c:pt>
                <c:pt idx="8">
                  <c:v>105.73929214477539</c:v>
                </c:pt>
                <c:pt idx="9">
                  <c:v>105.73929214477539</c:v>
                </c:pt>
                <c:pt idx="10">
                  <c:v>105.73929214477539</c:v>
                </c:pt>
                <c:pt idx="11">
                  <c:v>105.73929214477539</c:v>
                </c:pt>
                <c:pt idx="12">
                  <c:v>105.73929214477539</c:v>
                </c:pt>
                <c:pt idx="13">
                  <c:v>105.73929214477539</c:v>
                </c:pt>
                <c:pt idx="14">
                  <c:v>105.73929214477539</c:v>
                </c:pt>
                <c:pt idx="15">
                  <c:v>105.73929214477539</c:v>
                </c:pt>
                <c:pt idx="16">
                  <c:v>105.73929214477539</c:v>
                </c:pt>
                <c:pt idx="17">
                  <c:v>105.73929214477539</c:v>
                </c:pt>
                <c:pt idx="18">
                  <c:v>105.73929214477539</c:v>
                </c:pt>
                <c:pt idx="19">
                  <c:v>105.73929214477539</c:v>
                </c:pt>
                <c:pt idx="20">
                  <c:v>105.73929214477539</c:v>
                </c:pt>
              </c:numCache>
            </c:numRef>
          </c:val>
          <c:smooth val="0"/>
          <c:extLst>
            <c:ext xmlns:c16="http://schemas.microsoft.com/office/drawing/2014/chart" uri="{C3380CC4-5D6E-409C-BE32-E72D297353CC}">
              <c16:uniqueId val="{00000004-29D9-4052-8B92-51CE263ECB0D}"/>
            </c:ext>
          </c:extLst>
        </c:ser>
        <c:ser>
          <c:idx val="0"/>
          <c:order val="2"/>
          <c:tx>
            <c:strRef>
              <c:f>'Informe nº1'!$Z$13</c:f>
              <c:strCache>
                <c:ptCount val="1"/>
                <c:pt idx="0">
                  <c:v>DRY THRESHOLD Nat_F</c:v>
                </c:pt>
              </c:strCache>
            </c:strRef>
          </c:tx>
          <c:spPr>
            <a:ln w="19050" cap="rnd">
              <a:solidFill>
                <a:schemeClr val="tx1">
                  <a:lumMod val="50000"/>
                  <a:lumOff val="50000"/>
                </a:schemeClr>
              </a:solidFill>
              <a:prstDash val="dash"/>
              <a:round/>
            </a:ln>
            <a:effectLst/>
          </c:spPr>
          <c:marker>
            <c:symbol val="none"/>
          </c:marker>
          <c:cat>
            <c:strRef>
              <c:f>'Informe nº1'!$W$14:$W$34</c:f>
              <c:strCache>
                <c:ptCount val="2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strCache>
            </c:strRef>
          </c:cat>
          <c:val>
            <c:numRef>
              <c:f>'Informe nº1'!$Z$14:$Z$34</c:f>
              <c:numCache>
                <c:formatCode>0.000</c:formatCode>
                <c:ptCount val="21"/>
                <c:pt idx="0">
                  <c:v>89.406955718994141</c:v>
                </c:pt>
                <c:pt idx="1">
                  <c:v>89.406955718994141</c:v>
                </c:pt>
                <c:pt idx="2">
                  <c:v>89.406955718994141</c:v>
                </c:pt>
                <c:pt idx="3">
                  <c:v>89.406955718994141</c:v>
                </c:pt>
                <c:pt idx="4">
                  <c:v>89.406955718994141</c:v>
                </c:pt>
                <c:pt idx="5">
                  <c:v>89.406955718994141</c:v>
                </c:pt>
                <c:pt idx="6">
                  <c:v>89.406955718994141</c:v>
                </c:pt>
                <c:pt idx="7">
                  <c:v>89.406955718994141</c:v>
                </c:pt>
                <c:pt idx="8">
                  <c:v>89.406955718994141</c:v>
                </c:pt>
                <c:pt idx="9">
                  <c:v>89.406955718994141</c:v>
                </c:pt>
                <c:pt idx="10">
                  <c:v>89.406955718994141</c:v>
                </c:pt>
                <c:pt idx="11">
                  <c:v>89.406955718994141</c:v>
                </c:pt>
                <c:pt idx="12">
                  <c:v>89.406955718994141</c:v>
                </c:pt>
                <c:pt idx="13">
                  <c:v>89.406955718994141</c:v>
                </c:pt>
                <c:pt idx="14">
                  <c:v>89.406955718994141</c:v>
                </c:pt>
                <c:pt idx="15">
                  <c:v>89.406955718994141</c:v>
                </c:pt>
                <c:pt idx="16">
                  <c:v>89.406955718994141</c:v>
                </c:pt>
                <c:pt idx="17">
                  <c:v>89.406955718994141</c:v>
                </c:pt>
                <c:pt idx="18">
                  <c:v>89.406955718994141</c:v>
                </c:pt>
                <c:pt idx="19">
                  <c:v>89.406955718994141</c:v>
                </c:pt>
                <c:pt idx="20">
                  <c:v>89.406955718994141</c:v>
                </c:pt>
              </c:numCache>
            </c:numRef>
          </c:val>
          <c:smooth val="0"/>
          <c:extLst>
            <c:ext xmlns:c16="http://schemas.microsoft.com/office/drawing/2014/chart" uri="{C3380CC4-5D6E-409C-BE32-E72D297353CC}">
              <c16:uniqueId val="{00000004-A5C0-4888-A964-D9343B2FC5DD}"/>
            </c:ext>
          </c:extLst>
        </c:ser>
        <c:dLbls>
          <c:showLegendKey val="0"/>
          <c:showVal val="0"/>
          <c:showCatName val="0"/>
          <c:showSerName val="0"/>
          <c:showPercent val="0"/>
          <c:showBubbleSize val="0"/>
        </c:dLbls>
        <c:marker val="1"/>
        <c:smooth val="0"/>
        <c:axId val="1300353247"/>
        <c:axId val="1300340767"/>
        <c:extLst>
          <c:ext xmlns:c15="http://schemas.microsoft.com/office/drawing/2012/chart" uri="{02D57815-91ED-43cb-92C2-25804820EDAC}">
            <c15:filteredLineSeries>
              <c15:ser>
                <c:idx val="1"/>
                <c:order val="3"/>
                <c:tx>
                  <c:strRef>
                    <c:extLst>
                      <c:ext uri="{02D57815-91ED-43cb-92C2-25804820EDAC}">
                        <c15:formulaRef>
                          <c15:sqref>'Informe nº1'!$W$13</c15:sqref>
                        </c15:formulaRef>
                      </c:ext>
                    </c:extLst>
                    <c:strCache>
                      <c:ptCount val="1"/>
                      <c:pt idx="0">
                        <c:v>AÑO</c:v>
                      </c:pt>
                    </c:strCache>
                  </c:strRef>
                </c:tx>
                <c:spPr>
                  <a:ln w="31750" cap="rnd">
                    <a:solidFill>
                      <a:srgbClr val="0070C0"/>
                    </a:solidFill>
                    <a:round/>
                  </a:ln>
                  <a:effectLst/>
                </c:spPr>
                <c:marker>
                  <c:symbol val="square"/>
                  <c:size val="8"/>
                  <c:spPr>
                    <a:solidFill>
                      <a:srgbClr val="0066FF"/>
                    </a:solidFill>
                    <a:ln w="15875">
                      <a:solidFill>
                        <a:srgbClr val="0070C0"/>
                      </a:solidFill>
                    </a:ln>
                    <a:effectLst/>
                  </c:spPr>
                </c:marker>
                <c:dPt>
                  <c:idx val="5"/>
                  <c:marker>
                    <c:symbol val="square"/>
                    <c:size val="8"/>
                    <c:spPr>
                      <a:solidFill>
                        <a:srgbClr val="0066FF"/>
                      </a:solidFill>
                      <a:ln w="15875">
                        <a:solidFill>
                          <a:srgbClr val="0070C0"/>
                        </a:solidFill>
                      </a:ln>
                      <a:effectLst/>
                    </c:spPr>
                  </c:marker>
                  <c:bubble3D val="0"/>
                  <c:spPr>
                    <a:ln w="31750" cap="rnd">
                      <a:solidFill>
                        <a:srgbClr val="0066FF"/>
                      </a:solidFill>
                      <a:round/>
                    </a:ln>
                    <a:effectLst/>
                  </c:spPr>
                  <c:extLst>
                    <c:ext xmlns:c16="http://schemas.microsoft.com/office/drawing/2014/chart" uri="{C3380CC4-5D6E-409C-BE32-E72D297353CC}">
                      <c16:uniqueId val="{00000002-29D9-4052-8B92-51CE263ECB0D}"/>
                    </c:ext>
                  </c:extLst>
                </c:dPt>
                <c:val>
                  <c:numRef>
                    <c:extLst>
                      <c:ext uri="{02D57815-91ED-43cb-92C2-25804820EDAC}">
                        <c15:formulaRef>
                          <c15:sqref>'Informe nº1'!$W$14:$W$29</c15:sqref>
                        </c15:formulaRef>
                      </c:ext>
                    </c:extLst>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3-29D9-4052-8B92-51CE263ECB0D}"/>
                  </c:ext>
                </c:extLst>
              </c15:ser>
            </c15:filteredLineSeries>
          </c:ext>
        </c:extLst>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cmpd="dbl">
          <a:solidFill>
            <a:srgbClr val="00206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nº1a'!$U$6</c:f>
          <c:strCache>
            <c:ptCount val="1"/>
            <c:pt idx="0">
              <c:v>ANNUAL CONTRIBUTIONS IN ALTERED FLOW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3"/>
          <c:order val="0"/>
          <c:tx>
            <c:strRef>
              <c:f>'Informe nº1a'!$Z$13</c:f>
              <c:strCache>
                <c:ptCount val="1"/>
                <c:pt idx="0">
                  <c:v>ALT_F</c:v>
                </c:pt>
              </c:strCache>
            </c:strRef>
          </c:tx>
          <c:spPr>
            <a:ln w="31750" cap="rnd">
              <a:solidFill>
                <a:srgbClr val="FF0000"/>
              </a:solidFill>
              <a:round/>
            </a:ln>
            <a:effectLst/>
          </c:spPr>
          <c:marker>
            <c:symbol val="square"/>
            <c:size val="8"/>
            <c:spPr>
              <a:solidFill>
                <a:srgbClr val="FF0000"/>
              </a:solidFill>
              <a:ln w="9525">
                <a:solidFill>
                  <a:srgbClr val="FF0000"/>
                </a:solidFill>
              </a:ln>
              <a:effectLst/>
            </c:spPr>
          </c:marker>
          <c:cat>
            <c:strRef>
              <c:f>'Informe nº1a'!$Y$14:$Y$34</c:f>
              <c:strCache>
                <c:ptCount val="21"/>
                <c:pt idx="0">
                  <c:v>2080-81</c:v>
                </c:pt>
                <c:pt idx="1">
                  <c:v>2081-82</c:v>
                </c:pt>
                <c:pt idx="2">
                  <c:v>2082-83</c:v>
                </c:pt>
                <c:pt idx="3">
                  <c:v>2083-84</c:v>
                </c:pt>
                <c:pt idx="4">
                  <c:v>2084-85</c:v>
                </c:pt>
                <c:pt idx="5">
                  <c:v>2085-86</c:v>
                </c:pt>
                <c:pt idx="6">
                  <c:v>2086-87</c:v>
                </c:pt>
                <c:pt idx="7">
                  <c:v>2087-88</c:v>
                </c:pt>
                <c:pt idx="8">
                  <c:v>2088-89</c:v>
                </c:pt>
                <c:pt idx="9">
                  <c:v>2089-90</c:v>
                </c:pt>
                <c:pt idx="10">
                  <c:v>2090-91</c:v>
                </c:pt>
                <c:pt idx="11">
                  <c:v>2091-92</c:v>
                </c:pt>
                <c:pt idx="12">
                  <c:v>2092-93</c:v>
                </c:pt>
                <c:pt idx="13">
                  <c:v>2093-94</c:v>
                </c:pt>
                <c:pt idx="14">
                  <c:v>2094-95</c:v>
                </c:pt>
                <c:pt idx="15">
                  <c:v>2095-96</c:v>
                </c:pt>
                <c:pt idx="16">
                  <c:v>2096-97</c:v>
                </c:pt>
                <c:pt idx="17">
                  <c:v>2097-98</c:v>
                </c:pt>
                <c:pt idx="18">
                  <c:v>2098-99</c:v>
                </c:pt>
                <c:pt idx="19">
                  <c:v>2099-00</c:v>
                </c:pt>
                <c:pt idx="20">
                  <c:v>2100-01</c:v>
                </c:pt>
              </c:strCache>
            </c:strRef>
          </c:cat>
          <c:val>
            <c:numRef>
              <c:f>'Informe nº1a'!$Z$14:$Z$34</c:f>
              <c:numCache>
                <c:formatCode>0.00</c:formatCode>
                <c:ptCount val="21"/>
                <c:pt idx="0">
                  <c:v>63.072635650634766</c:v>
                </c:pt>
                <c:pt idx="1">
                  <c:v>49.108882904052734</c:v>
                </c:pt>
                <c:pt idx="2">
                  <c:v>53.830959320068359</c:v>
                </c:pt>
                <c:pt idx="3">
                  <c:v>70.150871276855469</c:v>
                </c:pt>
                <c:pt idx="4">
                  <c:v>70.7994384765625</c:v>
                </c:pt>
                <c:pt idx="5">
                  <c:v>50.573440551757813</c:v>
                </c:pt>
                <c:pt idx="6">
                  <c:v>59.040454864501953</c:v>
                </c:pt>
                <c:pt idx="7">
                  <c:v>66.402969360351563</c:v>
                </c:pt>
                <c:pt idx="8">
                  <c:v>53.614456176757813</c:v>
                </c:pt>
                <c:pt idx="9">
                  <c:v>41.257530212402344</c:v>
                </c:pt>
                <c:pt idx="10">
                  <c:v>62.096706390380859</c:v>
                </c:pt>
                <c:pt idx="11">
                  <c:v>46.516422271728516</c:v>
                </c:pt>
                <c:pt idx="12">
                  <c:v>46.315048217773438</c:v>
                </c:pt>
                <c:pt idx="13">
                  <c:v>52.887718200683594</c:v>
                </c:pt>
                <c:pt idx="14">
                  <c:v>50.793693542480469</c:v>
                </c:pt>
                <c:pt idx="15">
                  <c:v>45.861164093017578</c:v>
                </c:pt>
                <c:pt idx="16">
                  <c:v>55.026752471923828</c:v>
                </c:pt>
                <c:pt idx="17">
                  <c:v>59.50457763671875</c:v>
                </c:pt>
                <c:pt idx="18">
                  <c:v>60.26416015625</c:v>
                </c:pt>
                <c:pt idx="19">
                  <c:v>49.627510070800781</c:v>
                </c:pt>
                <c:pt idx="20">
                  <c:v>37.575660705566406</c:v>
                </c:pt>
              </c:numCache>
            </c:numRef>
          </c:val>
          <c:smooth val="0"/>
          <c:extLst>
            <c:ext xmlns:c16="http://schemas.microsoft.com/office/drawing/2014/chart" uri="{C3380CC4-5D6E-409C-BE32-E72D297353CC}">
              <c16:uniqueId val="{00000000-E333-445E-9B98-79A8979C1E02}"/>
            </c:ext>
          </c:extLst>
        </c:ser>
        <c:ser>
          <c:idx val="5"/>
          <c:order val="1"/>
          <c:tx>
            <c:strRef>
              <c:f>'Informe nº1a'!$AA$13</c:f>
              <c:strCache>
                <c:ptCount val="1"/>
                <c:pt idx="0">
                  <c:v>WET THRESHOLD Alt_F</c:v>
                </c:pt>
              </c:strCache>
            </c:strRef>
          </c:tx>
          <c:spPr>
            <a:ln w="19050" cap="rnd">
              <a:solidFill>
                <a:schemeClr val="accent6"/>
              </a:solidFill>
              <a:prstDash val="lgDashDotDot"/>
              <a:round/>
            </a:ln>
            <a:effectLst/>
          </c:spPr>
          <c:marker>
            <c:symbol val="none"/>
          </c:marker>
          <c:cat>
            <c:strRef>
              <c:f>'Informe nº1a'!$Y$14:$Y$34</c:f>
              <c:strCache>
                <c:ptCount val="21"/>
                <c:pt idx="0">
                  <c:v>2080-81</c:v>
                </c:pt>
                <c:pt idx="1">
                  <c:v>2081-82</c:v>
                </c:pt>
                <c:pt idx="2">
                  <c:v>2082-83</c:v>
                </c:pt>
                <c:pt idx="3">
                  <c:v>2083-84</c:v>
                </c:pt>
                <c:pt idx="4">
                  <c:v>2084-85</c:v>
                </c:pt>
                <c:pt idx="5">
                  <c:v>2085-86</c:v>
                </c:pt>
                <c:pt idx="6">
                  <c:v>2086-87</c:v>
                </c:pt>
                <c:pt idx="7">
                  <c:v>2087-88</c:v>
                </c:pt>
                <c:pt idx="8">
                  <c:v>2088-89</c:v>
                </c:pt>
                <c:pt idx="9">
                  <c:v>2089-90</c:v>
                </c:pt>
                <c:pt idx="10">
                  <c:v>2090-91</c:v>
                </c:pt>
                <c:pt idx="11">
                  <c:v>2091-92</c:v>
                </c:pt>
                <c:pt idx="12">
                  <c:v>2092-93</c:v>
                </c:pt>
                <c:pt idx="13">
                  <c:v>2093-94</c:v>
                </c:pt>
                <c:pt idx="14">
                  <c:v>2094-95</c:v>
                </c:pt>
                <c:pt idx="15">
                  <c:v>2095-96</c:v>
                </c:pt>
                <c:pt idx="16">
                  <c:v>2096-97</c:v>
                </c:pt>
                <c:pt idx="17">
                  <c:v>2097-98</c:v>
                </c:pt>
                <c:pt idx="18">
                  <c:v>2098-99</c:v>
                </c:pt>
                <c:pt idx="19">
                  <c:v>2099-00</c:v>
                </c:pt>
                <c:pt idx="20">
                  <c:v>2100-01</c:v>
                </c:pt>
              </c:strCache>
            </c:strRef>
          </c:cat>
          <c:val>
            <c:numRef>
              <c:f>'Informe nº1a'!$AA$14:$AA$34</c:f>
              <c:numCache>
                <c:formatCode>0.00</c:formatCode>
                <c:ptCount val="21"/>
                <c:pt idx="0">
                  <c:v>61.18043327331543</c:v>
                </c:pt>
                <c:pt idx="1">
                  <c:v>61.18043327331543</c:v>
                </c:pt>
                <c:pt idx="2">
                  <c:v>61.18043327331543</c:v>
                </c:pt>
                <c:pt idx="3">
                  <c:v>61.18043327331543</c:v>
                </c:pt>
                <c:pt idx="4">
                  <c:v>61.18043327331543</c:v>
                </c:pt>
                <c:pt idx="5">
                  <c:v>61.18043327331543</c:v>
                </c:pt>
                <c:pt idx="6">
                  <c:v>61.18043327331543</c:v>
                </c:pt>
                <c:pt idx="7">
                  <c:v>61.18043327331543</c:v>
                </c:pt>
                <c:pt idx="8">
                  <c:v>61.18043327331543</c:v>
                </c:pt>
                <c:pt idx="9">
                  <c:v>61.18043327331543</c:v>
                </c:pt>
                <c:pt idx="10">
                  <c:v>61.18043327331543</c:v>
                </c:pt>
                <c:pt idx="11">
                  <c:v>61.18043327331543</c:v>
                </c:pt>
                <c:pt idx="12">
                  <c:v>61.18043327331543</c:v>
                </c:pt>
                <c:pt idx="13">
                  <c:v>61.18043327331543</c:v>
                </c:pt>
                <c:pt idx="14">
                  <c:v>61.18043327331543</c:v>
                </c:pt>
                <c:pt idx="15">
                  <c:v>61.18043327331543</c:v>
                </c:pt>
                <c:pt idx="16">
                  <c:v>61.18043327331543</c:v>
                </c:pt>
                <c:pt idx="17">
                  <c:v>61.18043327331543</c:v>
                </c:pt>
                <c:pt idx="18">
                  <c:v>61.18043327331543</c:v>
                </c:pt>
                <c:pt idx="19">
                  <c:v>61.18043327331543</c:v>
                </c:pt>
                <c:pt idx="20">
                  <c:v>61.18043327331543</c:v>
                </c:pt>
              </c:numCache>
            </c:numRef>
          </c:val>
          <c:smooth val="0"/>
          <c:extLst>
            <c:ext xmlns:c16="http://schemas.microsoft.com/office/drawing/2014/chart" uri="{C3380CC4-5D6E-409C-BE32-E72D297353CC}">
              <c16:uniqueId val="{00000002-E333-445E-9B98-79A8979C1E02}"/>
            </c:ext>
          </c:extLst>
        </c:ser>
        <c:ser>
          <c:idx val="4"/>
          <c:order val="2"/>
          <c:tx>
            <c:strRef>
              <c:f>'Informe nº1a'!$AB$13</c:f>
              <c:strCache>
                <c:ptCount val="1"/>
                <c:pt idx="0">
                  <c:v>DRY THRESHOLD Alt_F</c:v>
                </c:pt>
              </c:strCache>
            </c:strRef>
          </c:tx>
          <c:spPr>
            <a:ln w="19050" cap="rnd">
              <a:solidFill>
                <a:schemeClr val="accent6"/>
              </a:solidFill>
              <a:prstDash val="dash"/>
              <a:round/>
            </a:ln>
            <a:effectLst/>
          </c:spPr>
          <c:marker>
            <c:symbol val="none"/>
          </c:marker>
          <c:cat>
            <c:strRef>
              <c:f>'Informe nº1a'!$Y$14:$Y$34</c:f>
              <c:strCache>
                <c:ptCount val="21"/>
                <c:pt idx="0">
                  <c:v>2080-81</c:v>
                </c:pt>
                <c:pt idx="1">
                  <c:v>2081-82</c:v>
                </c:pt>
                <c:pt idx="2">
                  <c:v>2082-83</c:v>
                </c:pt>
                <c:pt idx="3">
                  <c:v>2083-84</c:v>
                </c:pt>
                <c:pt idx="4">
                  <c:v>2084-85</c:v>
                </c:pt>
                <c:pt idx="5">
                  <c:v>2085-86</c:v>
                </c:pt>
                <c:pt idx="6">
                  <c:v>2086-87</c:v>
                </c:pt>
                <c:pt idx="7">
                  <c:v>2087-88</c:v>
                </c:pt>
                <c:pt idx="8">
                  <c:v>2088-89</c:v>
                </c:pt>
                <c:pt idx="9">
                  <c:v>2089-90</c:v>
                </c:pt>
                <c:pt idx="10">
                  <c:v>2090-91</c:v>
                </c:pt>
                <c:pt idx="11">
                  <c:v>2091-92</c:v>
                </c:pt>
                <c:pt idx="12">
                  <c:v>2092-93</c:v>
                </c:pt>
                <c:pt idx="13">
                  <c:v>2093-94</c:v>
                </c:pt>
                <c:pt idx="14">
                  <c:v>2094-95</c:v>
                </c:pt>
                <c:pt idx="15">
                  <c:v>2095-96</c:v>
                </c:pt>
                <c:pt idx="16">
                  <c:v>2096-97</c:v>
                </c:pt>
                <c:pt idx="17">
                  <c:v>2097-98</c:v>
                </c:pt>
                <c:pt idx="18">
                  <c:v>2098-99</c:v>
                </c:pt>
                <c:pt idx="19">
                  <c:v>2099-00</c:v>
                </c:pt>
                <c:pt idx="20">
                  <c:v>2100-01</c:v>
                </c:pt>
              </c:strCache>
            </c:strRef>
          </c:cat>
          <c:val>
            <c:numRef>
              <c:f>'Informe nº1a'!$AB$14:$AB$34</c:f>
              <c:numCache>
                <c:formatCode>0.00</c:formatCode>
                <c:ptCount val="21"/>
                <c:pt idx="0">
                  <c:v>47.812652587890625</c:v>
                </c:pt>
                <c:pt idx="1">
                  <c:v>47.812652587890625</c:v>
                </c:pt>
                <c:pt idx="2">
                  <c:v>47.812652587890625</c:v>
                </c:pt>
                <c:pt idx="3">
                  <c:v>47.812652587890625</c:v>
                </c:pt>
                <c:pt idx="4">
                  <c:v>47.812652587890625</c:v>
                </c:pt>
                <c:pt idx="5">
                  <c:v>47.812652587890625</c:v>
                </c:pt>
                <c:pt idx="6">
                  <c:v>47.812652587890625</c:v>
                </c:pt>
                <c:pt idx="7">
                  <c:v>47.812652587890625</c:v>
                </c:pt>
                <c:pt idx="8">
                  <c:v>47.812652587890625</c:v>
                </c:pt>
                <c:pt idx="9">
                  <c:v>47.812652587890625</c:v>
                </c:pt>
                <c:pt idx="10">
                  <c:v>47.812652587890625</c:v>
                </c:pt>
                <c:pt idx="11">
                  <c:v>47.812652587890625</c:v>
                </c:pt>
                <c:pt idx="12">
                  <c:v>47.812652587890625</c:v>
                </c:pt>
                <c:pt idx="13">
                  <c:v>47.812652587890625</c:v>
                </c:pt>
                <c:pt idx="14">
                  <c:v>47.812652587890625</c:v>
                </c:pt>
                <c:pt idx="15">
                  <c:v>47.812652587890625</c:v>
                </c:pt>
                <c:pt idx="16">
                  <c:v>47.812652587890625</c:v>
                </c:pt>
                <c:pt idx="17">
                  <c:v>47.812652587890625</c:v>
                </c:pt>
                <c:pt idx="18">
                  <c:v>47.812652587890625</c:v>
                </c:pt>
                <c:pt idx="19">
                  <c:v>47.812652587890625</c:v>
                </c:pt>
                <c:pt idx="20">
                  <c:v>47.812652587890625</c:v>
                </c:pt>
              </c:numCache>
            </c:numRef>
          </c:val>
          <c:smooth val="0"/>
          <c:extLst>
            <c:ext xmlns:c16="http://schemas.microsoft.com/office/drawing/2014/chart" uri="{C3380CC4-5D6E-409C-BE32-E72D297353CC}">
              <c16:uniqueId val="{00000001-E333-445E-9B98-79A8979C1E02}"/>
            </c:ext>
          </c:extLst>
        </c:ser>
        <c:dLbls>
          <c:showLegendKey val="0"/>
          <c:showVal val="0"/>
          <c:showCatName val="0"/>
          <c:showSerName val="0"/>
          <c:showPercent val="0"/>
          <c:showBubbleSize val="0"/>
        </c:dLbls>
        <c:marker val="1"/>
        <c:smooth val="0"/>
        <c:axId val="1300353247"/>
        <c:axId val="1300340767"/>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 1b'!$U$6</c:f>
          <c:strCache>
            <c:ptCount val="1"/>
            <c:pt idx="0">
              <c:v>ANNUAL CONTRIBUTIONS IN NATURAL FLOW Y ALTERED FLOW (hm³)</c:v>
            </c:pt>
          </c:strCache>
        </c:strRef>
      </c:tx>
      <c:layout>
        <c:manualLayout>
          <c:xMode val="edge"/>
          <c:yMode val="edge"/>
          <c:x val="0.2854266991687055"/>
          <c:y val="2.32909119618708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 1b'!$AA$13</c:f>
              <c:strCache>
                <c:ptCount val="1"/>
                <c:pt idx="0">
                  <c:v>NAT_F</c:v>
                </c:pt>
              </c:strCache>
            </c:strRef>
          </c:tx>
          <c:spPr>
            <a:ln w="31750" cap="rnd">
              <a:solidFill>
                <a:srgbClr val="0066FF"/>
              </a:solidFill>
              <a:prstDash val="solid"/>
              <a:round/>
            </a:ln>
            <a:effectLst/>
          </c:spPr>
          <c:marker>
            <c:symbol val="square"/>
            <c:size val="7"/>
            <c:spPr>
              <a:solidFill>
                <a:srgbClr val="0066FF"/>
              </a:solidFill>
              <a:ln w="9525">
                <a:solidFill>
                  <a:schemeClr val="accent1"/>
                </a:solidFill>
              </a:ln>
              <a:effectLst/>
            </c:spPr>
          </c:marker>
          <c:cat>
            <c:strRef>
              <c:f>'Informe nº 1b'!$Z$14:$Z$55</c:f>
              <c:strCache>
                <c:ptCount val="42"/>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2080-81</c:v>
                </c:pt>
                <c:pt idx="22">
                  <c:v>2081-82</c:v>
                </c:pt>
                <c:pt idx="23">
                  <c:v>2082-83</c:v>
                </c:pt>
                <c:pt idx="24">
                  <c:v>2083-84</c:v>
                </c:pt>
                <c:pt idx="25">
                  <c:v>2084-85</c:v>
                </c:pt>
                <c:pt idx="26">
                  <c:v>2085-86</c:v>
                </c:pt>
                <c:pt idx="27">
                  <c:v>2086-87</c:v>
                </c:pt>
                <c:pt idx="28">
                  <c:v>2087-88</c:v>
                </c:pt>
                <c:pt idx="29">
                  <c:v>2088-89</c:v>
                </c:pt>
                <c:pt idx="30">
                  <c:v>2089-90</c:v>
                </c:pt>
                <c:pt idx="31">
                  <c:v>2090-91</c:v>
                </c:pt>
                <c:pt idx="32">
                  <c:v>2091-92</c:v>
                </c:pt>
                <c:pt idx="33">
                  <c:v>2092-93</c:v>
                </c:pt>
                <c:pt idx="34">
                  <c:v>2093-94</c:v>
                </c:pt>
                <c:pt idx="35">
                  <c:v>2094-95</c:v>
                </c:pt>
                <c:pt idx="36">
                  <c:v>2095-96</c:v>
                </c:pt>
                <c:pt idx="37">
                  <c:v>2096-97</c:v>
                </c:pt>
                <c:pt idx="38">
                  <c:v>2097-98</c:v>
                </c:pt>
                <c:pt idx="39">
                  <c:v>2098-99</c:v>
                </c:pt>
                <c:pt idx="40">
                  <c:v>2099-00</c:v>
                </c:pt>
                <c:pt idx="41">
                  <c:v>2100-01</c:v>
                </c:pt>
              </c:strCache>
            </c:strRef>
          </c:cat>
          <c:val>
            <c:numRef>
              <c:f>'Informe nº 1b'!$C$14:$C$55</c:f>
              <c:numCache>
                <c:formatCode>0.000</c:formatCode>
                <c:ptCount val="42"/>
                <c:pt idx="0">
                  <c:v>92.2076416015625</c:v>
                </c:pt>
                <c:pt idx="1">
                  <c:v>97.979019165039063</c:v>
                </c:pt>
                <c:pt idx="2">
                  <c:v>100.94139862060547</c:v>
                </c:pt>
                <c:pt idx="3">
                  <c:v>99.479499816894531</c:v>
                </c:pt>
                <c:pt idx="4">
                  <c:v>103.67398834228516</c:v>
                </c:pt>
                <c:pt idx="5">
                  <c:v>109.82182312011719</c:v>
                </c:pt>
                <c:pt idx="6">
                  <c:v>118.52344512939453</c:v>
                </c:pt>
                <c:pt idx="7">
                  <c:v>116.83329772949219</c:v>
                </c:pt>
                <c:pt idx="8">
                  <c:v>102.62631225585938</c:v>
                </c:pt>
                <c:pt idx="9">
                  <c:v>82.448440551757813</c:v>
                </c:pt>
                <c:pt idx="10">
                  <c:v>73.970100402832031</c:v>
                </c:pt>
                <c:pt idx="11">
                  <c:v>90.61065673828125</c:v>
                </c:pt>
                <c:pt idx="12">
                  <c:v>93.292648315429688</c:v>
                </c:pt>
                <c:pt idx="13">
                  <c:v>107.80459594726563</c:v>
                </c:pt>
                <c:pt idx="14">
                  <c:v>99.997283935546875</c:v>
                </c:pt>
                <c:pt idx="15">
                  <c:v>87.014266967773438</c:v>
                </c:pt>
                <c:pt idx="16">
                  <c:v>88.203254699707031</c:v>
                </c:pt>
                <c:pt idx="17">
                  <c:v>93.575553894042969</c:v>
                </c:pt>
                <c:pt idx="18">
                  <c:v>114.83309936523438</c:v>
                </c:pt>
                <c:pt idx="19">
                  <c:v>78.004104614257813</c:v>
                </c:pt>
                <c:pt idx="20">
                  <c:v>100.32730865478516</c:v>
                </c:pt>
              </c:numCache>
            </c:numRef>
          </c:val>
          <c:smooth val="0"/>
          <c:extLst>
            <c:ext xmlns:c16="http://schemas.microsoft.com/office/drawing/2014/chart" uri="{C3380CC4-5D6E-409C-BE32-E72D297353CC}">
              <c16:uniqueId val="{00000000-7FAC-4F52-8995-5F742BD0AE2A}"/>
            </c:ext>
          </c:extLst>
        </c:ser>
        <c:ser>
          <c:idx val="1"/>
          <c:order val="1"/>
          <c:tx>
            <c:strRef>
              <c:f>'Informe nº 1b'!$AB$13</c:f>
              <c:strCache>
                <c:ptCount val="1"/>
                <c:pt idx="0">
                  <c:v>UMBRAL HÚMEDO NAT_F</c:v>
                </c:pt>
              </c:strCache>
            </c:strRef>
          </c:tx>
          <c:spPr>
            <a:ln w="19050" cap="rnd">
              <a:solidFill>
                <a:schemeClr val="bg1">
                  <a:lumMod val="50000"/>
                </a:schemeClr>
              </a:solidFill>
              <a:prstDash val="lgDashDotDot"/>
              <a:round/>
            </a:ln>
            <a:effectLst/>
          </c:spPr>
          <c:marker>
            <c:symbol val="none"/>
          </c:marker>
          <c:cat>
            <c:strRef>
              <c:f>'Informe nº 1b'!$Z$14:$Z$55</c:f>
              <c:strCache>
                <c:ptCount val="42"/>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2080-81</c:v>
                </c:pt>
                <c:pt idx="22">
                  <c:v>2081-82</c:v>
                </c:pt>
                <c:pt idx="23">
                  <c:v>2082-83</c:v>
                </c:pt>
                <c:pt idx="24">
                  <c:v>2083-84</c:v>
                </c:pt>
                <c:pt idx="25">
                  <c:v>2084-85</c:v>
                </c:pt>
                <c:pt idx="26">
                  <c:v>2085-86</c:v>
                </c:pt>
                <c:pt idx="27">
                  <c:v>2086-87</c:v>
                </c:pt>
                <c:pt idx="28">
                  <c:v>2087-88</c:v>
                </c:pt>
                <c:pt idx="29">
                  <c:v>2088-89</c:v>
                </c:pt>
                <c:pt idx="30">
                  <c:v>2089-90</c:v>
                </c:pt>
                <c:pt idx="31">
                  <c:v>2090-91</c:v>
                </c:pt>
                <c:pt idx="32">
                  <c:v>2091-92</c:v>
                </c:pt>
                <c:pt idx="33">
                  <c:v>2092-93</c:v>
                </c:pt>
                <c:pt idx="34">
                  <c:v>2093-94</c:v>
                </c:pt>
                <c:pt idx="35">
                  <c:v>2094-95</c:v>
                </c:pt>
                <c:pt idx="36">
                  <c:v>2095-96</c:v>
                </c:pt>
                <c:pt idx="37">
                  <c:v>2096-97</c:v>
                </c:pt>
                <c:pt idx="38">
                  <c:v>2097-98</c:v>
                </c:pt>
                <c:pt idx="39">
                  <c:v>2098-99</c:v>
                </c:pt>
                <c:pt idx="40">
                  <c:v>2099-00</c:v>
                </c:pt>
                <c:pt idx="41">
                  <c:v>2100-01</c:v>
                </c:pt>
              </c:strCache>
            </c:strRef>
          </c:cat>
          <c:val>
            <c:numRef>
              <c:f>'Informe nº 1b'!$AB$14:$AB$55</c:f>
              <c:numCache>
                <c:formatCode>0.00</c:formatCode>
                <c:ptCount val="42"/>
                <c:pt idx="0">
                  <c:v>105.73929214477539</c:v>
                </c:pt>
                <c:pt idx="1">
                  <c:v>105.73929214477539</c:v>
                </c:pt>
                <c:pt idx="2">
                  <c:v>105.73929214477539</c:v>
                </c:pt>
                <c:pt idx="3">
                  <c:v>105.73929214477539</c:v>
                </c:pt>
                <c:pt idx="4">
                  <c:v>105.73929214477539</c:v>
                </c:pt>
                <c:pt idx="5">
                  <c:v>105.73929214477539</c:v>
                </c:pt>
                <c:pt idx="6">
                  <c:v>105.73929214477539</c:v>
                </c:pt>
                <c:pt idx="7">
                  <c:v>105.73929214477539</c:v>
                </c:pt>
                <c:pt idx="8">
                  <c:v>105.73929214477539</c:v>
                </c:pt>
                <c:pt idx="9">
                  <c:v>105.73929214477539</c:v>
                </c:pt>
                <c:pt idx="10">
                  <c:v>105.73929214477539</c:v>
                </c:pt>
                <c:pt idx="11">
                  <c:v>105.73929214477539</c:v>
                </c:pt>
                <c:pt idx="12">
                  <c:v>105.73929214477539</c:v>
                </c:pt>
                <c:pt idx="13">
                  <c:v>105.73929214477539</c:v>
                </c:pt>
                <c:pt idx="14">
                  <c:v>105.73929214477539</c:v>
                </c:pt>
                <c:pt idx="15">
                  <c:v>105.73929214477539</c:v>
                </c:pt>
                <c:pt idx="16">
                  <c:v>105.73929214477539</c:v>
                </c:pt>
                <c:pt idx="17">
                  <c:v>105.73929214477539</c:v>
                </c:pt>
                <c:pt idx="18">
                  <c:v>105.73929214477539</c:v>
                </c:pt>
                <c:pt idx="19">
                  <c:v>105.73929214477539</c:v>
                </c:pt>
                <c:pt idx="20">
                  <c:v>105.73929214477539</c:v>
                </c:pt>
                <c:pt idx="21">
                  <c:v>105.73929214477539</c:v>
                </c:pt>
                <c:pt idx="22">
                  <c:v>105.73929214477539</c:v>
                </c:pt>
                <c:pt idx="23">
                  <c:v>105.73929214477539</c:v>
                </c:pt>
                <c:pt idx="24">
                  <c:v>105.73929214477539</c:v>
                </c:pt>
                <c:pt idx="25">
                  <c:v>105.73929214477539</c:v>
                </c:pt>
                <c:pt idx="26">
                  <c:v>105.73929214477539</c:v>
                </c:pt>
                <c:pt idx="27">
                  <c:v>105.73929214477539</c:v>
                </c:pt>
                <c:pt idx="28">
                  <c:v>105.73929214477539</c:v>
                </c:pt>
                <c:pt idx="29">
                  <c:v>105.73929214477539</c:v>
                </c:pt>
                <c:pt idx="30">
                  <c:v>105.73929214477539</c:v>
                </c:pt>
                <c:pt idx="31">
                  <c:v>105.73929214477539</c:v>
                </c:pt>
                <c:pt idx="32">
                  <c:v>105.73929214477539</c:v>
                </c:pt>
                <c:pt idx="33">
                  <c:v>105.73929214477539</c:v>
                </c:pt>
                <c:pt idx="34">
                  <c:v>105.73929214477539</c:v>
                </c:pt>
                <c:pt idx="35">
                  <c:v>105.73929214477539</c:v>
                </c:pt>
                <c:pt idx="36">
                  <c:v>105.73929214477539</c:v>
                </c:pt>
                <c:pt idx="37">
                  <c:v>105.73929214477539</c:v>
                </c:pt>
                <c:pt idx="38">
                  <c:v>105.73929214477539</c:v>
                </c:pt>
                <c:pt idx="39">
                  <c:v>105.73929214477539</c:v>
                </c:pt>
                <c:pt idx="40">
                  <c:v>105.73929214477539</c:v>
                </c:pt>
                <c:pt idx="41">
                  <c:v>105.73929214477539</c:v>
                </c:pt>
              </c:numCache>
            </c:numRef>
          </c:val>
          <c:smooth val="0"/>
          <c:extLst>
            <c:ext xmlns:c16="http://schemas.microsoft.com/office/drawing/2014/chart" uri="{C3380CC4-5D6E-409C-BE32-E72D297353CC}">
              <c16:uniqueId val="{00000001-7FAC-4F52-8995-5F742BD0AE2A}"/>
            </c:ext>
          </c:extLst>
        </c:ser>
        <c:ser>
          <c:idx val="2"/>
          <c:order val="2"/>
          <c:tx>
            <c:strRef>
              <c:f>'Informe nº 1b'!$AC$13</c:f>
              <c:strCache>
                <c:ptCount val="1"/>
                <c:pt idx="0">
                  <c:v>UMBRAL SECO NAT_F</c:v>
                </c:pt>
              </c:strCache>
            </c:strRef>
          </c:tx>
          <c:spPr>
            <a:ln w="19050" cap="rnd">
              <a:solidFill>
                <a:schemeClr val="tx1">
                  <a:lumMod val="50000"/>
                  <a:lumOff val="50000"/>
                </a:schemeClr>
              </a:solidFill>
              <a:prstDash val="dash"/>
              <a:round/>
            </a:ln>
            <a:effectLst/>
          </c:spPr>
          <c:marker>
            <c:symbol val="none"/>
          </c:marker>
          <c:cat>
            <c:strRef>
              <c:f>'Informe nº 1b'!$Z$14:$Z$55</c:f>
              <c:strCache>
                <c:ptCount val="42"/>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2080-81</c:v>
                </c:pt>
                <c:pt idx="22">
                  <c:v>2081-82</c:v>
                </c:pt>
                <c:pt idx="23">
                  <c:v>2082-83</c:v>
                </c:pt>
                <c:pt idx="24">
                  <c:v>2083-84</c:v>
                </c:pt>
                <c:pt idx="25">
                  <c:v>2084-85</c:v>
                </c:pt>
                <c:pt idx="26">
                  <c:v>2085-86</c:v>
                </c:pt>
                <c:pt idx="27">
                  <c:v>2086-87</c:v>
                </c:pt>
                <c:pt idx="28">
                  <c:v>2087-88</c:v>
                </c:pt>
                <c:pt idx="29">
                  <c:v>2088-89</c:v>
                </c:pt>
                <c:pt idx="30">
                  <c:v>2089-90</c:v>
                </c:pt>
                <c:pt idx="31">
                  <c:v>2090-91</c:v>
                </c:pt>
                <c:pt idx="32">
                  <c:v>2091-92</c:v>
                </c:pt>
                <c:pt idx="33">
                  <c:v>2092-93</c:v>
                </c:pt>
                <c:pt idx="34">
                  <c:v>2093-94</c:v>
                </c:pt>
                <c:pt idx="35">
                  <c:v>2094-95</c:v>
                </c:pt>
                <c:pt idx="36">
                  <c:v>2095-96</c:v>
                </c:pt>
                <c:pt idx="37">
                  <c:v>2096-97</c:v>
                </c:pt>
                <c:pt idx="38">
                  <c:v>2097-98</c:v>
                </c:pt>
                <c:pt idx="39">
                  <c:v>2098-99</c:v>
                </c:pt>
                <c:pt idx="40">
                  <c:v>2099-00</c:v>
                </c:pt>
                <c:pt idx="41">
                  <c:v>2100-01</c:v>
                </c:pt>
              </c:strCache>
            </c:strRef>
          </c:cat>
          <c:val>
            <c:numRef>
              <c:f>'Informe nº 1b'!$AC$14:$AC$55</c:f>
              <c:numCache>
                <c:formatCode>0.00</c:formatCode>
                <c:ptCount val="42"/>
                <c:pt idx="0">
                  <c:v>89.406955718994141</c:v>
                </c:pt>
                <c:pt idx="1">
                  <c:v>89.406955718994141</c:v>
                </c:pt>
                <c:pt idx="2">
                  <c:v>89.406955718994141</c:v>
                </c:pt>
                <c:pt idx="3">
                  <c:v>89.406955718994141</c:v>
                </c:pt>
                <c:pt idx="4">
                  <c:v>89.406955718994141</c:v>
                </c:pt>
                <c:pt idx="5">
                  <c:v>89.406955718994141</c:v>
                </c:pt>
                <c:pt idx="6">
                  <c:v>89.406955718994141</c:v>
                </c:pt>
                <c:pt idx="7">
                  <c:v>89.406955718994141</c:v>
                </c:pt>
                <c:pt idx="8">
                  <c:v>89.406955718994141</c:v>
                </c:pt>
                <c:pt idx="9">
                  <c:v>89.406955718994141</c:v>
                </c:pt>
                <c:pt idx="10">
                  <c:v>89.406955718994141</c:v>
                </c:pt>
                <c:pt idx="11">
                  <c:v>89.406955718994141</c:v>
                </c:pt>
                <c:pt idx="12">
                  <c:v>89.406955718994141</c:v>
                </c:pt>
                <c:pt idx="13">
                  <c:v>89.406955718994141</c:v>
                </c:pt>
                <c:pt idx="14">
                  <c:v>89.406955718994141</c:v>
                </c:pt>
                <c:pt idx="15">
                  <c:v>89.406955718994141</c:v>
                </c:pt>
                <c:pt idx="16">
                  <c:v>89.406955718994141</c:v>
                </c:pt>
                <c:pt idx="17">
                  <c:v>89.406955718994141</c:v>
                </c:pt>
                <c:pt idx="18">
                  <c:v>89.406955718994141</c:v>
                </c:pt>
                <c:pt idx="19">
                  <c:v>89.406955718994141</c:v>
                </c:pt>
                <c:pt idx="20">
                  <c:v>89.406955718994141</c:v>
                </c:pt>
                <c:pt idx="21">
                  <c:v>89.406955718994141</c:v>
                </c:pt>
                <c:pt idx="22">
                  <c:v>89.406955718994141</c:v>
                </c:pt>
                <c:pt idx="23">
                  <c:v>89.406955718994141</c:v>
                </c:pt>
                <c:pt idx="24">
                  <c:v>89.406955718994141</c:v>
                </c:pt>
                <c:pt idx="25">
                  <c:v>89.406955718994141</c:v>
                </c:pt>
                <c:pt idx="26">
                  <c:v>89.406955718994141</c:v>
                </c:pt>
                <c:pt idx="27">
                  <c:v>89.406955718994141</c:v>
                </c:pt>
                <c:pt idx="28">
                  <c:v>89.406955718994141</c:v>
                </c:pt>
                <c:pt idx="29">
                  <c:v>89.406955718994141</c:v>
                </c:pt>
                <c:pt idx="30">
                  <c:v>89.406955718994141</c:v>
                </c:pt>
                <c:pt idx="31">
                  <c:v>89.406955718994141</c:v>
                </c:pt>
                <c:pt idx="32">
                  <c:v>89.406955718994141</c:v>
                </c:pt>
                <c:pt idx="33">
                  <c:v>89.406955718994141</c:v>
                </c:pt>
                <c:pt idx="34">
                  <c:v>89.406955718994141</c:v>
                </c:pt>
                <c:pt idx="35">
                  <c:v>89.406955718994141</c:v>
                </c:pt>
                <c:pt idx="36">
                  <c:v>89.406955718994141</c:v>
                </c:pt>
                <c:pt idx="37">
                  <c:v>89.406955718994141</c:v>
                </c:pt>
                <c:pt idx="38">
                  <c:v>89.406955718994141</c:v>
                </c:pt>
                <c:pt idx="39">
                  <c:v>89.406955718994141</c:v>
                </c:pt>
                <c:pt idx="40">
                  <c:v>89.406955718994141</c:v>
                </c:pt>
                <c:pt idx="41">
                  <c:v>89.406955718994141</c:v>
                </c:pt>
              </c:numCache>
            </c:numRef>
          </c:val>
          <c:smooth val="0"/>
          <c:extLst>
            <c:ext xmlns:c16="http://schemas.microsoft.com/office/drawing/2014/chart" uri="{C3380CC4-5D6E-409C-BE32-E72D297353CC}">
              <c16:uniqueId val="{00000002-7FAC-4F52-8995-5F742BD0AE2A}"/>
            </c:ext>
          </c:extLst>
        </c:ser>
        <c:ser>
          <c:idx val="3"/>
          <c:order val="3"/>
          <c:tx>
            <c:strRef>
              <c:f>'Informe nº 1b'!$AD$13</c:f>
              <c:strCache>
                <c:ptCount val="1"/>
                <c:pt idx="0">
                  <c:v>ALT_F</c:v>
                </c:pt>
              </c:strCache>
            </c:strRef>
          </c:tx>
          <c:spPr>
            <a:ln w="31750" cap="rnd">
              <a:solidFill>
                <a:srgbClr val="FF0000"/>
              </a:solidFill>
              <a:round/>
            </a:ln>
            <a:effectLst/>
          </c:spPr>
          <c:marker>
            <c:symbol val="square"/>
            <c:size val="7"/>
            <c:spPr>
              <a:solidFill>
                <a:srgbClr val="FF0000"/>
              </a:solidFill>
              <a:ln w="9525">
                <a:solidFill>
                  <a:srgbClr val="FF0000"/>
                </a:solidFill>
              </a:ln>
              <a:effectLst/>
            </c:spPr>
          </c:marker>
          <c:cat>
            <c:strRef>
              <c:f>'Informe nº 1b'!$Z$14:$Z$55</c:f>
              <c:strCache>
                <c:ptCount val="42"/>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2080-81</c:v>
                </c:pt>
                <c:pt idx="22">
                  <c:v>2081-82</c:v>
                </c:pt>
                <c:pt idx="23">
                  <c:v>2082-83</c:v>
                </c:pt>
                <c:pt idx="24">
                  <c:v>2083-84</c:v>
                </c:pt>
                <c:pt idx="25">
                  <c:v>2084-85</c:v>
                </c:pt>
                <c:pt idx="26">
                  <c:v>2085-86</c:v>
                </c:pt>
                <c:pt idx="27">
                  <c:v>2086-87</c:v>
                </c:pt>
                <c:pt idx="28">
                  <c:v>2087-88</c:v>
                </c:pt>
                <c:pt idx="29">
                  <c:v>2088-89</c:v>
                </c:pt>
                <c:pt idx="30">
                  <c:v>2089-90</c:v>
                </c:pt>
                <c:pt idx="31">
                  <c:v>2090-91</c:v>
                </c:pt>
                <c:pt idx="32">
                  <c:v>2091-92</c:v>
                </c:pt>
                <c:pt idx="33">
                  <c:v>2092-93</c:v>
                </c:pt>
                <c:pt idx="34">
                  <c:v>2093-94</c:v>
                </c:pt>
                <c:pt idx="35">
                  <c:v>2094-95</c:v>
                </c:pt>
                <c:pt idx="36">
                  <c:v>2095-96</c:v>
                </c:pt>
                <c:pt idx="37">
                  <c:v>2096-97</c:v>
                </c:pt>
                <c:pt idx="38">
                  <c:v>2097-98</c:v>
                </c:pt>
                <c:pt idx="39">
                  <c:v>2098-99</c:v>
                </c:pt>
                <c:pt idx="40">
                  <c:v>2099-00</c:v>
                </c:pt>
                <c:pt idx="41">
                  <c:v>2100-01</c:v>
                </c:pt>
              </c:strCache>
            </c:strRef>
          </c:cat>
          <c:val>
            <c:numRef>
              <c:f>'Informe nº 1b'!$D$14:$D$55</c:f>
              <c:numCache>
                <c:formatCode>0.000</c:formatCode>
                <c:ptCount val="42"/>
                <c:pt idx="21">
                  <c:v>63.072635650634766</c:v>
                </c:pt>
                <c:pt idx="22">
                  <c:v>49.108882904052734</c:v>
                </c:pt>
                <c:pt idx="23">
                  <c:v>53.830959320068359</c:v>
                </c:pt>
                <c:pt idx="24">
                  <c:v>70.150871276855469</c:v>
                </c:pt>
                <c:pt idx="25">
                  <c:v>70.7994384765625</c:v>
                </c:pt>
                <c:pt idx="26">
                  <c:v>50.573440551757813</c:v>
                </c:pt>
                <c:pt idx="27">
                  <c:v>59.040454864501953</c:v>
                </c:pt>
                <c:pt idx="28">
                  <c:v>66.402969360351563</c:v>
                </c:pt>
                <c:pt idx="29">
                  <c:v>53.614456176757813</c:v>
                </c:pt>
                <c:pt idx="30">
                  <c:v>41.257530212402344</c:v>
                </c:pt>
                <c:pt idx="31">
                  <c:v>62.096706390380859</c:v>
                </c:pt>
                <c:pt idx="32">
                  <c:v>46.516422271728516</c:v>
                </c:pt>
                <c:pt idx="33">
                  <c:v>46.315048217773438</c:v>
                </c:pt>
                <c:pt idx="34">
                  <c:v>52.887718200683594</c:v>
                </c:pt>
                <c:pt idx="35">
                  <c:v>50.793693542480469</c:v>
                </c:pt>
                <c:pt idx="36">
                  <c:v>45.861164093017578</c:v>
                </c:pt>
                <c:pt idx="37">
                  <c:v>55.026752471923828</c:v>
                </c:pt>
                <c:pt idx="38">
                  <c:v>59.50457763671875</c:v>
                </c:pt>
                <c:pt idx="39">
                  <c:v>60.26416015625</c:v>
                </c:pt>
                <c:pt idx="40">
                  <c:v>49.627510070800781</c:v>
                </c:pt>
                <c:pt idx="41">
                  <c:v>37.575660705566406</c:v>
                </c:pt>
              </c:numCache>
            </c:numRef>
          </c:val>
          <c:smooth val="0"/>
          <c:extLst>
            <c:ext xmlns:c16="http://schemas.microsoft.com/office/drawing/2014/chart" uri="{C3380CC4-5D6E-409C-BE32-E72D297353CC}">
              <c16:uniqueId val="{00000003-7FAC-4F52-8995-5F742BD0AE2A}"/>
            </c:ext>
          </c:extLst>
        </c:ser>
        <c:ser>
          <c:idx val="4"/>
          <c:order val="4"/>
          <c:tx>
            <c:strRef>
              <c:f>'Informe nº 1b'!$AE$13</c:f>
              <c:strCache>
                <c:ptCount val="1"/>
                <c:pt idx="0">
                  <c:v>UMBRAL HÚMEDO ALT_F</c:v>
                </c:pt>
              </c:strCache>
            </c:strRef>
          </c:tx>
          <c:spPr>
            <a:ln w="19050" cap="rnd">
              <a:solidFill>
                <a:schemeClr val="accent6"/>
              </a:solidFill>
              <a:prstDash val="lgDashDotDot"/>
              <a:round/>
            </a:ln>
            <a:effectLst/>
          </c:spPr>
          <c:marker>
            <c:symbol val="none"/>
          </c:marker>
          <c:cat>
            <c:strRef>
              <c:f>'Informe nº 1b'!$Z$14:$Z$55</c:f>
              <c:strCache>
                <c:ptCount val="42"/>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2080-81</c:v>
                </c:pt>
                <c:pt idx="22">
                  <c:v>2081-82</c:v>
                </c:pt>
                <c:pt idx="23">
                  <c:v>2082-83</c:v>
                </c:pt>
                <c:pt idx="24">
                  <c:v>2083-84</c:v>
                </c:pt>
                <c:pt idx="25">
                  <c:v>2084-85</c:v>
                </c:pt>
                <c:pt idx="26">
                  <c:v>2085-86</c:v>
                </c:pt>
                <c:pt idx="27">
                  <c:v>2086-87</c:v>
                </c:pt>
                <c:pt idx="28">
                  <c:v>2087-88</c:v>
                </c:pt>
                <c:pt idx="29">
                  <c:v>2088-89</c:v>
                </c:pt>
                <c:pt idx="30">
                  <c:v>2089-90</c:v>
                </c:pt>
                <c:pt idx="31">
                  <c:v>2090-91</c:v>
                </c:pt>
                <c:pt idx="32">
                  <c:v>2091-92</c:v>
                </c:pt>
                <c:pt idx="33">
                  <c:v>2092-93</c:v>
                </c:pt>
                <c:pt idx="34">
                  <c:v>2093-94</c:v>
                </c:pt>
                <c:pt idx="35">
                  <c:v>2094-95</c:v>
                </c:pt>
                <c:pt idx="36">
                  <c:v>2095-96</c:v>
                </c:pt>
                <c:pt idx="37">
                  <c:v>2096-97</c:v>
                </c:pt>
                <c:pt idx="38">
                  <c:v>2097-98</c:v>
                </c:pt>
                <c:pt idx="39">
                  <c:v>2098-99</c:v>
                </c:pt>
                <c:pt idx="40">
                  <c:v>2099-00</c:v>
                </c:pt>
                <c:pt idx="41">
                  <c:v>2100-01</c:v>
                </c:pt>
              </c:strCache>
            </c:strRef>
          </c:cat>
          <c:val>
            <c:numRef>
              <c:f>'Informe nº 1b'!$AE$14:$AE$55</c:f>
              <c:numCache>
                <c:formatCode>0.00</c:formatCode>
                <c:ptCount val="42"/>
                <c:pt idx="0">
                  <c:v>61.18043327331543</c:v>
                </c:pt>
                <c:pt idx="1">
                  <c:v>61.18043327331543</c:v>
                </c:pt>
                <c:pt idx="2">
                  <c:v>61.18043327331543</c:v>
                </c:pt>
                <c:pt idx="3">
                  <c:v>61.18043327331543</c:v>
                </c:pt>
                <c:pt idx="4">
                  <c:v>61.18043327331543</c:v>
                </c:pt>
                <c:pt idx="5">
                  <c:v>61.18043327331543</c:v>
                </c:pt>
                <c:pt idx="6">
                  <c:v>61.18043327331543</c:v>
                </c:pt>
                <c:pt idx="7">
                  <c:v>61.18043327331543</c:v>
                </c:pt>
                <c:pt idx="8">
                  <c:v>61.18043327331543</c:v>
                </c:pt>
                <c:pt idx="9">
                  <c:v>61.18043327331543</c:v>
                </c:pt>
                <c:pt idx="10">
                  <c:v>61.18043327331543</c:v>
                </c:pt>
                <c:pt idx="11">
                  <c:v>61.18043327331543</c:v>
                </c:pt>
                <c:pt idx="12">
                  <c:v>61.18043327331543</c:v>
                </c:pt>
                <c:pt idx="13">
                  <c:v>61.18043327331543</c:v>
                </c:pt>
                <c:pt idx="14">
                  <c:v>61.18043327331543</c:v>
                </c:pt>
                <c:pt idx="15">
                  <c:v>61.18043327331543</c:v>
                </c:pt>
                <c:pt idx="16">
                  <c:v>61.18043327331543</c:v>
                </c:pt>
                <c:pt idx="17">
                  <c:v>61.18043327331543</c:v>
                </c:pt>
                <c:pt idx="18">
                  <c:v>61.18043327331543</c:v>
                </c:pt>
                <c:pt idx="19">
                  <c:v>61.18043327331543</c:v>
                </c:pt>
                <c:pt idx="20">
                  <c:v>61.18043327331543</c:v>
                </c:pt>
                <c:pt idx="21">
                  <c:v>61.18043327331543</c:v>
                </c:pt>
                <c:pt idx="22">
                  <c:v>61.18043327331543</c:v>
                </c:pt>
                <c:pt idx="23">
                  <c:v>61.18043327331543</c:v>
                </c:pt>
                <c:pt idx="24">
                  <c:v>61.18043327331543</c:v>
                </c:pt>
                <c:pt idx="25">
                  <c:v>61.18043327331543</c:v>
                </c:pt>
                <c:pt idx="26">
                  <c:v>61.18043327331543</c:v>
                </c:pt>
                <c:pt idx="27">
                  <c:v>61.18043327331543</c:v>
                </c:pt>
                <c:pt idx="28">
                  <c:v>61.18043327331543</c:v>
                </c:pt>
                <c:pt idx="29">
                  <c:v>61.18043327331543</c:v>
                </c:pt>
                <c:pt idx="30">
                  <c:v>61.18043327331543</c:v>
                </c:pt>
                <c:pt idx="31">
                  <c:v>61.18043327331543</c:v>
                </c:pt>
                <c:pt idx="32">
                  <c:v>61.18043327331543</c:v>
                </c:pt>
                <c:pt idx="33">
                  <c:v>61.18043327331543</c:v>
                </c:pt>
                <c:pt idx="34">
                  <c:v>61.18043327331543</c:v>
                </c:pt>
                <c:pt idx="35">
                  <c:v>61.18043327331543</c:v>
                </c:pt>
                <c:pt idx="36">
                  <c:v>61.18043327331543</c:v>
                </c:pt>
                <c:pt idx="37">
                  <c:v>61.18043327331543</c:v>
                </c:pt>
                <c:pt idx="38">
                  <c:v>61.18043327331543</c:v>
                </c:pt>
                <c:pt idx="39">
                  <c:v>61.18043327331543</c:v>
                </c:pt>
                <c:pt idx="40">
                  <c:v>61.18043327331543</c:v>
                </c:pt>
                <c:pt idx="41">
                  <c:v>61.18043327331543</c:v>
                </c:pt>
              </c:numCache>
            </c:numRef>
          </c:val>
          <c:smooth val="0"/>
          <c:extLst>
            <c:ext xmlns:c16="http://schemas.microsoft.com/office/drawing/2014/chart" uri="{C3380CC4-5D6E-409C-BE32-E72D297353CC}">
              <c16:uniqueId val="{00000004-7FAC-4F52-8995-5F742BD0AE2A}"/>
            </c:ext>
          </c:extLst>
        </c:ser>
        <c:ser>
          <c:idx val="5"/>
          <c:order val="5"/>
          <c:tx>
            <c:strRef>
              <c:f>'Informe nº 1b'!$AF$13</c:f>
              <c:strCache>
                <c:ptCount val="1"/>
                <c:pt idx="0">
                  <c:v>UMBRAL SECO ALT_F</c:v>
                </c:pt>
              </c:strCache>
            </c:strRef>
          </c:tx>
          <c:spPr>
            <a:ln w="19050" cap="rnd">
              <a:solidFill>
                <a:schemeClr val="accent6"/>
              </a:solidFill>
              <a:prstDash val="dash"/>
              <a:round/>
            </a:ln>
            <a:effectLst/>
          </c:spPr>
          <c:marker>
            <c:symbol val="none"/>
          </c:marker>
          <c:cat>
            <c:strRef>
              <c:f>'Informe nº 1b'!$Z$14:$Z$55</c:f>
              <c:strCache>
                <c:ptCount val="42"/>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2080-81</c:v>
                </c:pt>
                <c:pt idx="22">
                  <c:v>2081-82</c:v>
                </c:pt>
                <c:pt idx="23">
                  <c:v>2082-83</c:v>
                </c:pt>
                <c:pt idx="24">
                  <c:v>2083-84</c:v>
                </c:pt>
                <c:pt idx="25">
                  <c:v>2084-85</c:v>
                </c:pt>
                <c:pt idx="26">
                  <c:v>2085-86</c:v>
                </c:pt>
                <c:pt idx="27">
                  <c:v>2086-87</c:v>
                </c:pt>
                <c:pt idx="28">
                  <c:v>2087-88</c:v>
                </c:pt>
                <c:pt idx="29">
                  <c:v>2088-89</c:v>
                </c:pt>
                <c:pt idx="30">
                  <c:v>2089-90</c:v>
                </c:pt>
                <c:pt idx="31">
                  <c:v>2090-91</c:v>
                </c:pt>
                <c:pt idx="32">
                  <c:v>2091-92</c:v>
                </c:pt>
                <c:pt idx="33">
                  <c:v>2092-93</c:v>
                </c:pt>
                <c:pt idx="34">
                  <c:v>2093-94</c:v>
                </c:pt>
                <c:pt idx="35">
                  <c:v>2094-95</c:v>
                </c:pt>
                <c:pt idx="36">
                  <c:v>2095-96</c:v>
                </c:pt>
                <c:pt idx="37">
                  <c:v>2096-97</c:v>
                </c:pt>
                <c:pt idx="38">
                  <c:v>2097-98</c:v>
                </c:pt>
                <c:pt idx="39">
                  <c:v>2098-99</c:v>
                </c:pt>
                <c:pt idx="40">
                  <c:v>2099-00</c:v>
                </c:pt>
                <c:pt idx="41">
                  <c:v>2100-01</c:v>
                </c:pt>
              </c:strCache>
            </c:strRef>
          </c:cat>
          <c:val>
            <c:numRef>
              <c:f>'Informe nº 1b'!$AF$14:$AF$55</c:f>
              <c:numCache>
                <c:formatCode>0.00</c:formatCode>
                <c:ptCount val="42"/>
                <c:pt idx="0">
                  <c:v>47.812652587890625</c:v>
                </c:pt>
                <c:pt idx="1">
                  <c:v>47.812652587890625</c:v>
                </c:pt>
                <c:pt idx="2">
                  <c:v>47.812652587890625</c:v>
                </c:pt>
                <c:pt idx="3">
                  <c:v>47.812652587890625</c:v>
                </c:pt>
                <c:pt idx="4">
                  <c:v>47.812652587890625</c:v>
                </c:pt>
                <c:pt idx="5">
                  <c:v>47.812652587890625</c:v>
                </c:pt>
                <c:pt idx="6">
                  <c:v>47.812652587890625</c:v>
                </c:pt>
                <c:pt idx="7">
                  <c:v>47.812652587890625</c:v>
                </c:pt>
                <c:pt idx="8">
                  <c:v>47.812652587890625</c:v>
                </c:pt>
                <c:pt idx="9">
                  <c:v>47.812652587890625</c:v>
                </c:pt>
                <c:pt idx="10">
                  <c:v>47.812652587890625</c:v>
                </c:pt>
                <c:pt idx="11">
                  <c:v>47.812652587890625</c:v>
                </c:pt>
                <c:pt idx="12">
                  <c:v>47.812652587890625</c:v>
                </c:pt>
                <c:pt idx="13">
                  <c:v>47.812652587890625</c:v>
                </c:pt>
                <c:pt idx="14">
                  <c:v>47.812652587890625</c:v>
                </c:pt>
                <c:pt idx="15">
                  <c:v>47.812652587890625</c:v>
                </c:pt>
                <c:pt idx="16">
                  <c:v>47.812652587890625</c:v>
                </c:pt>
                <c:pt idx="17">
                  <c:v>47.812652587890625</c:v>
                </c:pt>
                <c:pt idx="18">
                  <c:v>47.812652587890625</c:v>
                </c:pt>
                <c:pt idx="19">
                  <c:v>47.812652587890625</c:v>
                </c:pt>
                <c:pt idx="20">
                  <c:v>47.812652587890625</c:v>
                </c:pt>
                <c:pt idx="21">
                  <c:v>47.812652587890625</c:v>
                </c:pt>
                <c:pt idx="22">
                  <c:v>47.812652587890625</c:v>
                </c:pt>
                <c:pt idx="23">
                  <c:v>47.812652587890625</c:v>
                </c:pt>
                <c:pt idx="24">
                  <c:v>47.812652587890625</c:v>
                </c:pt>
                <c:pt idx="25">
                  <c:v>47.812652587890625</c:v>
                </c:pt>
                <c:pt idx="26">
                  <c:v>47.812652587890625</c:v>
                </c:pt>
                <c:pt idx="27">
                  <c:v>47.812652587890625</c:v>
                </c:pt>
                <c:pt idx="28">
                  <c:v>47.812652587890625</c:v>
                </c:pt>
                <c:pt idx="29">
                  <c:v>47.812652587890625</c:v>
                </c:pt>
                <c:pt idx="30">
                  <c:v>47.812652587890625</c:v>
                </c:pt>
                <c:pt idx="31">
                  <c:v>47.812652587890625</c:v>
                </c:pt>
                <c:pt idx="32">
                  <c:v>47.812652587890625</c:v>
                </c:pt>
                <c:pt idx="33">
                  <c:v>47.812652587890625</c:v>
                </c:pt>
                <c:pt idx="34">
                  <c:v>47.812652587890625</c:v>
                </c:pt>
                <c:pt idx="35">
                  <c:v>47.812652587890625</c:v>
                </c:pt>
                <c:pt idx="36">
                  <c:v>47.812652587890625</c:v>
                </c:pt>
                <c:pt idx="37">
                  <c:v>47.812652587890625</c:v>
                </c:pt>
                <c:pt idx="38">
                  <c:v>47.812652587890625</c:v>
                </c:pt>
                <c:pt idx="39">
                  <c:v>47.812652587890625</c:v>
                </c:pt>
                <c:pt idx="40">
                  <c:v>47.812652587890625</c:v>
                </c:pt>
                <c:pt idx="41">
                  <c:v>47.812652587890625</c:v>
                </c:pt>
              </c:numCache>
            </c:numRef>
          </c:val>
          <c:smooth val="0"/>
          <c:extLst>
            <c:ext xmlns:c16="http://schemas.microsoft.com/office/drawing/2014/chart" uri="{C3380CC4-5D6E-409C-BE32-E72D297353CC}">
              <c16:uniqueId val="{00000005-7FAC-4F52-8995-5F742BD0AE2A}"/>
            </c:ext>
          </c:extLst>
        </c:ser>
        <c:dLbls>
          <c:showLegendKey val="0"/>
          <c:showVal val="0"/>
          <c:showCatName val="0"/>
          <c:showSerName val="0"/>
          <c:showPercent val="0"/>
          <c:showBubbleSize val="0"/>
        </c:dLbls>
        <c:marker val="1"/>
        <c:smooth val="0"/>
        <c:axId val="1300353247"/>
        <c:axId val="1300340767"/>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 2'!$AF$4</c:f>
          <c:strCache>
            <c:ptCount val="1"/>
            <c:pt idx="0">
              <c:v>MONTHLY CONTRIBUTIONS IN NATURAL FLOW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s-ES"/>
        </a:p>
      </c:txPr>
    </c:title>
    <c:autoTitleDeleted val="0"/>
    <c:plotArea>
      <c:layout>
        <c:manualLayout>
          <c:layoutTarget val="inner"/>
          <c:xMode val="edge"/>
          <c:yMode val="edge"/>
          <c:x val="4.86665600979721E-2"/>
          <c:y val="0.18763760735158702"/>
          <c:w val="0.94320748807527233"/>
          <c:h val="0.73535915409141872"/>
        </c:manualLayout>
      </c:layout>
      <c:lineChart>
        <c:grouping val="standard"/>
        <c:varyColors val="0"/>
        <c:ser>
          <c:idx val="0"/>
          <c:order val="0"/>
          <c:tx>
            <c:strRef>
              <c:f>'Informe nº 2'!$Q$5:$R$5</c:f>
              <c:strCache>
                <c:ptCount val="2"/>
                <c:pt idx="0">
                  <c:v>75th percentile exceedance (P75)</c:v>
                </c:pt>
              </c:strCache>
            </c:strRef>
          </c:tx>
          <c:spPr>
            <a:ln w="15875" cap="rnd">
              <a:solidFill>
                <a:schemeClr val="tx2">
                  <a:lumMod val="40000"/>
                  <a:lumOff val="60000"/>
                </a:schemeClr>
              </a:solidFill>
              <a:prstDash val="sysDash"/>
              <a:round/>
            </a:ln>
            <a:effectLst/>
          </c:spPr>
          <c:marker>
            <c:symbol val="triangle"/>
            <c:size val="6"/>
            <c:spPr>
              <a:solidFill>
                <a:schemeClr val="tx2">
                  <a:lumMod val="40000"/>
                  <a:lumOff val="60000"/>
                </a:schemeClr>
              </a:solidFill>
              <a:ln w="9525">
                <a:solidFill>
                  <a:schemeClr val="tx2">
                    <a:lumMod val="75000"/>
                  </a:schemeClr>
                </a:solidFill>
              </a:ln>
              <a:effectLst/>
            </c:spPr>
          </c:marker>
          <c:cat>
            <c:strRef>
              <c:f>'Informe nº 2'!$C$14:$N$14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2'!$S$5:$AD$5</c:f>
              <c:numCache>
                <c:formatCode>0.00</c:formatCode>
                <c:ptCount val="12"/>
                <c:pt idx="0">
                  <c:v>12.734236240386963</c:v>
                </c:pt>
                <c:pt idx="1">
                  <c:v>10.280735969543457</c:v>
                </c:pt>
                <c:pt idx="2">
                  <c:v>9.8122758865356445</c:v>
                </c:pt>
                <c:pt idx="3">
                  <c:v>11.105682373046875</c:v>
                </c:pt>
                <c:pt idx="4">
                  <c:v>10.983643531799316</c:v>
                </c:pt>
                <c:pt idx="5">
                  <c:v>4.3096280097961426</c:v>
                </c:pt>
                <c:pt idx="6">
                  <c:v>1.0327261686325073</c:v>
                </c:pt>
                <c:pt idx="7">
                  <c:v>0.45033842325210571</c:v>
                </c:pt>
                <c:pt idx="8">
                  <c:v>0.45157697796821594</c:v>
                </c:pt>
                <c:pt idx="9">
                  <c:v>2.2916132211685181</c:v>
                </c:pt>
                <c:pt idx="10">
                  <c:v>5.6322257518768311</c:v>
                </c:pt>
                <c:pt idx="11">
                  <c:v>12.483417510986328</c:v>
                </c:pt>
              </c:numCache>
            </c:numRef>
          </c:val>
          <c:smooth val="0"/>
          <c:extLst>
            <c:ext xmlns:c16="http://schemas.microsoft.com/office/drawing/2014/chart" uri="{C3380CC4-5D6E-409C-BE32-E72D297353CC}">
              <c16:uniqueId val="{00000000-E834-4402-BCCF-00379D2FF4E9}"/>
            </c:ext>
          </c:extLst>
        </c:ser>
        <c:ser>
          <c:idx val="1"/>
          <c:order val="1"/>
          <c:tx>
            <c:strRef>
              <c:f>'Informe nº 2'!$Q$6:$R$6</c:f>
              <c:strCache>
                <c:ptCount val="2"/>
                <c:pt idx="0">
                  <c:v>50th percentile exceedance (P50)</c:v>
                </c:pt>
              </c:strCache>
            </c:strRef>
          </c:tx>
          <c:spPr>
            <a:ln w="15875" cap="rnd">
              <a:solidFill>
                <a:srgbClr val="C00000"/>
              </a:solidFill>
              <a:prstDash val="solid"/>
              <a:round/>
            </a:ln>
            <a:effectLst/>
          </c:spPr>
          <c:marker>
            <c:symbol val="circle"/>
            <c:size val="6"/>
            <c:spPr>
              <a:solidFill>
                <a:schemeClr val="accent2"/>
              </a:solidFill>
              <a:ln w="9525">
                <a:solidFill>
                  <a:schemeClr val="accent2"/>
                </a:solidFill>
              </a:ln>
              <a:effectLst/>
            </c:spPr>
          </c:marker>
          <c:cat>
            <c:strRef>
              <c:f>'Informe nº 2'!$C$14:$N$14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2'!$S$6:$AD$6</c:f>
              <c:numCache>
                <c:formatCode>0.00</c:formatCode>
                <c:ptCount val="12"/>
                <c:pt idx="0">
                  <c:v>14.37298583984375</c:v>
                </c:pt>
                <c:pt idx="1">
                  <c:v>12.314159393310547</c:v>
                </c:pt>
                <c:pt idx="2">
                  <c:v>11.537077903747559</c:v>
                </c:pt>
                <c:pt idx="3">
                  <c:v>13.178936004638672</c:v>
                </c:pt>
                <c:pt idx="4">
                  <c:v>13.49222469329834</c:v>
                </c:pt>
                <c:pt idx="5">
                  <c:v>4.8620734214782715</c:v>
                </c:pt>
                <c:pt idx="6">
                  <c:v>1.1413267850875854</c:v>
                </c:pt>
                <c:pt idx="7">
                  <c:v>0.4883846640586853</c:v>
                </c:pt>
                <c:pt idx="8">
                  <c:v>0.55524098873138428</c:v>
                </c:pt>
                <c:pt idx="9">
                  <c:v>2.9164323806762695</c:v>
                </c:pt>
                <c:pt idx="10">
                  <c:v>7.0796847343444824</c:v>
                </c:pt>
                <c:pt idx="11">
                  <c:v>14.289956092834473</c:v>
                </c:pt>
              </c:numCache>
            </c:numRef>
          </c:val>
          <c:smooth val="0"/>
          <c:extLst>
            <c:ext xmlns:c16="http://schemas.microsoft.com/office/drawing/2014/chart" uri="{C3380CC4-5D6E-409C-BE32-E72D297353CC}">
              <c16:uniqueId val="{00000001-E834-4402-BCCF-00379D2FF4E9}"/>
            </c:ext>
          </c:extLst>
        </c:ser>
        <c:ser>
          <c:idx val="2"/>
          <c:order val="2"/>
          <c:tx>
            <c:strRef>
              <c:f>'Informe nº 2'!$Q$7:$R$7</c:f>
              <c:strCache>
                <c:ptCount val="2"/>
                <c:pt idx="0">
                  <c:v>MEAN</c:v>
                </c:pt>
              </c:strCache>
            </c:strRef>
          </c:tx>
          <c:spPr>
            <a:ln w="28575" cap="rnd">
              <a:noFill/>
              <a:round/>
            </a:ln>
            <a:effectLst/>
          </c:spPr>
          <c:marker>
            <c:symbol val="star"/>
            <c:size val="7"/>
            <c:spPr>
              <a:noFill/>
              <a:ln w="12700">
                <a:solidFill>
                  <a:schemeClr val="accent6">
                    <a:lumMod val="75000"/>
                  </a:schemeClr>
                </a:solidFill>
              </a:ln>
              <a:effectLst/>
            </c:spPr>
          </c:marker>
          <c:cat>
            <c:strRef>
              <c:f>'Informe nº 2'!$C$14:$N$14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2'!$S$7:$AD$7</c:f>
              <c:numCache>
                <c:formatCode>0.00</c:formatCode>
                <c:ptCount val="12"/>
                <c:pt idx="0">
                  <c:v>14.578267551603771</c:v>
                </c:pt>
                <c:pt idx="1">
                  <c:v>11.7576535542806</c:v>
                </c:pt>
                <c:pt idx="2">
                  <c:v>11.808452742440361</c:v>
                </c:pt>
                <c:pt idx="3">
                  <c:v>12.994753020150322</c:v>
                </c:pt>
                <c:pt idx="4">
                  <c:v>13.640535763331822</c:v>
                </c:pt>
                <c:pt idx="5">
                  <c:v>5.2164592742919922</c:v>
                </c:pt>
                <c:pt idx="6">
                  <c:v>1.193249449843452</c:v>
                </c:pt>
                <c:pt idx="7">
                  <c:v>0.50548279711178368</c:v>
                </c:pt>
                <c:pt idx="8">
                  <c:v>0.61514365673065186</c:v>
                </c:pt>
                <c:pt idx="9">
                  <c:v>3.1179480609439669</c:v>
                </c:pt>
                <c:pt idx="10">
                  <c:v>7.532356546038673</c:v>
                </c:pt>
                <c:pt idx="11">
                  <c:v>14.761970520019531</c:v>
                </c:pt>
              </c:numCache>
            </c:numRef>
          </c:val>
          <c:smooth val="0"/>
          <c:extLst>
            <c:ext xmlns:c16="http://schemas.microsoft.com/office/drawing/2014/chart" uri="{C3380CC4-5D6E-409C-BE32-E72D297353CC}">
              <c16:uniqueId val="{00000002-E834-4402-BCCF-00379D2FF4E9}"/>
            </c:ext>
          </c:extLst>
        </c:ser>
        <c:ser>
          <c:idx val="3"/>
          <c:order val="3"/>
          <c:tx>
            <c:strRef>
              <c:f>'Informe nº 2'!$Q$8:$R$8</c:f>
              <c:strCache>
                <c:ptCount val="2"/>
                <c:pt idx="0">
                  <c:v>25th percentile exceedance (P25)</c:v>
                </c:pt>
              </c:strCache>
            </c:strRef>
          </c:tx>
          <c:spPr>
            <a:ln w="15875" cap="rnd">
              <a:solidFill>
                <a:schemeClr val="tx2">
                  <a:lumMod val="40000"/>
                  <a:lumOff val="60000"/>
                </a:schemeClr>
              </a:solidFill>
              <a:prstDash val="sysDash"/>
              <a:round/>
            </a:ln>
            <a:effectLst/>
          </c:spPr>
          <c:marker>
            <c:symbol val="square"/>
            <c:size val="5"/>
            <c:spPr>
              <a:solidFill>
                <a:schemeClr val="tx2">
                  <a:lumMod val="40000"/>
                  <a:lumOff val="60000"/>
                </a:schemeClr>
              </a:solidFill>
              <a:ln w="9525">
                <a:solidFill>
                  <a:schemeClr val="tx2">
                    <a:lumMod val="75000"/>
                  </a:schemeClr>
                </a:solidFill>
              </a:ln>
              <a:effectLst/>
            </c:spPr>
          </c:marker>
          <c:cat>
            <c:strRef>
              <c:f>'Informe nº 2'!$C$14:$N$14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2'!$S$8:$AD$8</c:f>
              <c:numCache>
                <c:formatCode>0.00</c:formatCode>
                <c:ptCount val="12"/>
                <c:pt idx="0">
                  <c:v>16.780563354492188</c:v>
                </c:pt>
                <c:pt idx="1">
                  <c:v>12.938917636871338</c:v>
                </c:pt>
                <c:pt idx="2">
                  <c:v>12.809878826141357</c:v>
                </c:pt>
                <c:pt idx="3">
                  <c:v>14.612658500671387</c:v>
                </c:pt>
                <c:pt idx="4">
                  <c:v>16.170276641845703</c:v>
                </c:pt>
                <c:pt idx="5">
                  <c:v>6.3332066535949707</c:v>
                </c:pt>
                <c:pt idx="6">
                  <c:v>1.3297781348228455</c:v>
                </c:pt>
                <c:pt idx="7">
                  <c:v>0.55520200729370117</c:v>
                </c:pt>
                <c:pt idx="8">
                  <c:v>0.79805517196655273</c:v>
                </c:pt>
                <c:pt idx="9">
                  <c:v>3.7275677919387817</c:v>
                </c:pt>
                <c:pt idx="10">
                  <c:v>8.7303309440612793</c:v>
                </c:pt>
                <c:pt idx="11">
                  <c:v>17.754291534423828</c:v>
                </c:pt>
              </c:numCache>
            </c:numRef>
          </c:val>
          <c:smooth val="0"/>
          <c:extLst>
            <c:ext xmlns:c16="http://schemas.microsoft.com/office/drawing/2014/chart" uri="{C3380CC4-5D6E-409C-BE32-E72D297353CC}">
              <c16:uniqueId val="{00000003-E834-4402-BCCF-00379D2FF4E9}"/>
            </c:ext>
          </c:extLst>
        </c:ser>
        <c:dLbls>
          <c:showLegendKey val="0"/>
          <c:showVal val="0"/>
          <c:showCatName val="0"/>
          <c:showSerName val="0"/>
          <c:showPercent val="0"/>
          <c:showBubbleSize val="0"/>
        </c:dLbls>
        <c:marker val="1"/>
        <c:smooth val="0"/>
        <c:axId val="628083679"/>
        <c:axId val="628084095"/>
      </c:lineChart>
      <c:catAx>
        <c:axId val="628083679"/>
        <c:scaling>
          <c:orientation val="minMax"/>
        </c:scaling>
        <c:delete val="0"/>
        <c:axPos val="b"/>
        <c:numFmt formatCode="General" sourceLinked="1"/>
        <c:majorTickMark val="out"/>
        <c:minorTickMark val="none"/>
        <c:tickLblPos val="nextTo"/>
        <c:spPr>
          <a:noFill/>
          <a:ln w="15875" cap="flat" cmpd="sng" algn="ctr">
            <a:solidFill>
              <a:schemeClr val="tx1">
                <a:lumMod val="65000"/>
                <a:lumOff val="3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4095"/>
        <c:crosses val="autoZero"/>
        <c:auto val="1"/>
        <c:lblAlgn val="ctr"/>
        <c:lblOffset val="100"/>
        <c:noMultiLvlLbl val="0"/>
      </c:catAx>
      <c:valAx>
        <c:axId val="628084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in"/>
        <c:tickLblPos val="nextTo"/>
        <c:spPr>
          <a:noFill/>
          <a:ln w="15875">
            <a:solidFill>
              <a:schemeClr val="tx1">
                <a:lumMod val="65000"/>
                <a:lumOff val="3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3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nº2a'!$U$6</c:f>
          <c:strCache>
            <c:ptCount val="1"/>
            <c:pt idx="0">
              <c:v>MEDIANS CONTRIBUTIONS IN NATURAL FLOW (hm³)</c:v>
            </c:pt>
          </c:strCache>
        </c:strRef>
      </c:tx>
      <c:layout>
        <c:manualLayout>
          <c:xMode val="edge"/>
          <c:yMode val="edge"/>
          <c:x val="0.182327499825507"/>
          <c:y val="1.09721226170992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9.484690000098854E-2"/>
          <c:y val="9.910214162075677E-2"/>
          <c:w val="0.8851551549722414"/>
          <c:h val="0.69331047496939002"/>
        </c:manualLayout>
      </c:layout>
      <c:lineChart>
        <c:grouping val="standard"/>
        <c:varyColors val="0"/>
        <c:ser>
          <c:idx val="0"/>
          <c:order val="0"/>
          <c:tx>
            <c:v>Wet</c:v>
          </c:tx>
          <c:spPr>
            <a:ln w="28575" cap="rnd">
              <a:solidFill>
                <a:schemeClr val="accent1"/>
              </a:solidFill>
              <a:round/>
            </a:ln>
            <a:effectLst/>
          </c:spPr>
          <c:marker>
            <c:symbol val="none"/>
          </c:marker>
          <c:cat>
            <c:strRef>
              <c:f>'Informe nº2a'!$B$17:$B$28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nº2a'!$C$17:$C$28</c:f>
              <c:numCache>
                <c:formatCode>0.000</c:formatCode>
                <c:ptCount val="12"/>
                <c:pt idx="0">
                  <c:v>18.099506378173828</c:v>
                </c:pt>
                <c:pt idx="1">
                  <c:v>13.573872566223145</c:v>
                </c:pt>
                <c:pt idx="2">
                  <c:v>15.863386154174805</c:v>
                </c:pt>
                <c:pt idx="3">
                  <c:v>15.218755722045898</c:v>
                </c:pt>
                <c:pt idx="4">
                  <c:v>17.46221923828125</c:v>
                </c:pt>
                <c:pt idx="5">
                  <c:v>6.6775097846984863</c:v>
                </c:pt>
                <c:pt idx="6">
                  <c:v>1.5369611978530884</c:v>
                </c:pt>
                <c:pt idx="7">
                  <c:v>0.61138373613357544</c:v>
                </c:pt>
                <c:pt idx="8">
                  <c:v>0.8791201114654541</c:v>
                </c:pt>
                <c:pt idx="9">
                  <c:v>4.2686614990234375</c:v>
                </c:pt>
                <c:pt idx="10">
                  <c:v>10.988697052001953</c:v>
                </c:pt>
                <c:pt idx="11">
                  <c:v>18.874856948852539</c:v>
                </c:pt>
              </c:numCache>
            </c:numRef>
          </c:val>
          <c:smooth val="0"/>
          <c:extLst>
            <c:ext xmlns:c16="http://schemas.microsoft.com/office/drawing/2014/chart" uri="{C3380CC4-5D6E-409C-BE32-E72D297353CC}">
              <c16:uniqueId val="{00000000-96A2-4D04-AA06-5E7A8655484E}"/>
            </c:ext>
          </c:extLst>
        </c:ser>
        <c:ser>
          <c:idx val="1"/>
          <c:order val="1"/>
          <c:tx>
            <c:v>Average</c:v>
          </c:tx>
          <c:spPr>
            <a:ln w="28575" cap="rnd">
              <a:solidFill>
                <a:srgbClr val="00B050"/>
              </a:solidFill>
              <a:round/>
            </a:ln>
            <a:effectLst/>
          </c:spPr>
          <c:marker>
            <c:symbol val="none"/>
          </c:marker>
          <c:cat>
            <c:strRef>
              <c:f>'Informe nº2a'!$B$17:$B$28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nº2a'!$D$17:$D$28</c:f>
              <c:numCache>
                <c:formatCode>0.000</c:formatCode>
                <c:ptCount val="12"/>
                <c:pt idx="0">
                  <c:v>14.37298583984375</c:v>
                </c:pt>
                <c:pt idx="1">
                  <c:v>12.314159393310547</c:v>
                </c:pt>
                <c:pt idx="2">
                  <c:v>11.537077903747559</c:v>
                </c:pt>
                <c:pt idx="3">
                  <c:v>13.178936004638672</c:v>
                </c:pt>
                <c:pt idx="4">
                  <c:v>13.49222469329834</c:v>
                </c:pt>
                <c:pt idx="5">
                  <c:v>4.8620734214782715</c:v>
                </c:pt>
                <c:pt idx="6">
                  <c:v>1.1413267850875854</c:v>
                </c:pt>
                <c:pt idx="7">
                  <c:v>0.4883846640586853</c:v>
                </c:pt>
                <c:pt idx="8">
                  <c:v>0.55524098873138428</c:v>
                </c:pt>
                <c:pt idx="9">
                  <c:v>2.9164323806762695</c:v>
                </c:pt>
                <c:pt idx="10">
                  <c:v>7.0796847343444824</c:v>
                </c:pt>
                <c:pt idx="11">
                  <c:v>14.289956092834473</c:v>
                </c:pt>
              </c:numCache>
            </c:numRef>
          </c:val>
          <c:smooth val="0"/>
          <c:extLst>
            <c:ext xmlns:c16="http://schemas.microsoft.com/office/drawing/2014/chart" uri="{C3380CC4-5D6E-409C-BE32-E72D297353CC}">
              <c16:uniqueId val="{00000001-96A2-4D04-AA06-5E7A8655484E}"/>
            </c:ext>
          </c:extLst>
        </c:ser>
        <c:ser>
          <c:idx val="2"/>
          <c:order val="2"/>
          <c:tx>
            <c:v>Dry</c:v>
          </c:tx>
          <c:spPr>
            <a:ln w="28575" cap="rnd">
              <a:solidFill>
                <a:schemeClr val="accent6">
                  <a:lumMod val="75000"/>
                </a:schemeClr>
              </a:solidFill>
              <a:round/>
            </a:ln>
            <a:effectLst/>
          </c:spPr>
          <c:marker>
            <c:symbol val="none"/>
          </c:marker>
          <c:cat>
            <c:strRef>
              <c:f>'Informe nº2a'!$B$17:$B$28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nº2a'!$E$17:$E$28</c:f>
              <c:numCache>
                <c:formatCode>0.000</c:formatCode>
                <c:ptCount val="12"/>
                <c:pt idx="0">
                  <c:v>11.507701873779297</c:v>
                </c:pt>
                <c:pt idx="1">
                  <c:v>9.3760404586791992</c:v>
                </c:pt>
                <c:pt idx="2">
                  <c:v>9.1410341262817383</c:v>
                </c:pt>
                <c:pt idx="3">
                  <c:v>10.590134620666504</c:v>
                </c:pt>
                <c:pt idx="4">
                  <c:v>10.689840316772461</c:v>
                </c:pt>
                <c:pt idx="5">
                  <c:v>3.933758020401001</c:v>
                </c:pt>
                <c:pt idx="6">
                  <c:v>0.92626851797103882</c:v>
                </c:pt>
                <c:pt idx="7">
                  <c:v>0.4232650101184845</c:v>
                </c:pt>
                <c:pt idx="8">
                  <c:v>0.37693983316421509</c:v>
                </c:pt>
                <c:pt idx="9">
                  <c:v>2.1859288215637207</c:v>
                </c:pt>
                <c:pt idx="10">
                  <c:v>3.999110221862793</c:v>
                </c:pt>
                <c:pt idx="11">
                  <c:v>11.012543678283691</c:v>
                </c:pt>
              </c:numCache>
            </c:numRef>
          </c:val>
          <c:smooth val="0"/>
          <c:extLst>
            <c:ext xmlns:c16="http://schemas.microsoft.com/office/drawing/2014/chart" uri="{C3380CC4-5D6E-409C-BE32-E72D297353CC}">
              <c16:uniqueId val="{00000002-96A2-4D04-AA06-5E7A8655484E}"/>
            </c:ext>
          </c:extLst>
        </c:ser>
        <c:dLbls>
          <c:showLegendKey val="0"/>
          <c:showVal val="0"/>
          <c:showCatName val="0"/>
          <c:showSerName val="0"/>
          <c:showPercent val="0"/>
          <c:showBubbleSize val="0"/>
        </c:dLbls>
        <c:smooth val="0"/>
        <c:axId val="135635344"/>
        <c:axId val="1"/>
      </c:lineChart>
      <c:catAx>
        <c:axId val="135635344"/>
        <c:scaling>
          <c:orientation val="minMax"/>
        </c:scaling>
        <c:delete val="0"/>
        <c:axPos val="b"/>
        <c:numFmt formatCode="@" sourceLinked="0"/>
        <c:majorTickMark val="none"/>
        <c:minorTickMark val="none"/>
        <c:tickLblPos val="nextTo"/>
        <c:spPr>
          <a:noFill/>
          <a:ln w="15875" cap="flat" cmpd="sng" algn="ctr">
            <a:solidFill>
              <a:schemeClr val="bg1">
                <a:lumMod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bg1">
                <a:lumMod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5344"/>
        <c:crosses val="autoZero"/>
        <c:crossBetween val="between"/>
        <c:minorUnit val="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nº3'!$AG$21</c:f>
          <c:strCache>
            <c:ptCount val="1"/>
            <c:pt idx="0">
              <c:v>MONTHLY CONTRIBUTIONS IN ALTERED FLOW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s-ES"/>
        </a:p>
      </c:txPr>
    </c:title>
    <c:autoTitleDeleted val="0"/>
    <c:plotArea>
      <c:layout/>
      <c:lineChart>
        <c:grouping val="standard"/>
        <c:varyColors val="0"/>
        <c:ser>
          <c:idx val="0"/>
          <c:order val="0"/>
          <c:tx>
            <c:strRef>
              <c:f>'Informe nº3'!$R$8:$S$8</c:f>
              <c:strCache>
                <c:ptCount val="2"/>
                <c:pt idx="0">
                  <c:v>25th percentile exceedance (P25)</c:v>
                </c:pt>
              </c:strCache>
            </c:strRef>
          </c:tx>
          <c:spPr>
            <a:ln w="15875" cap="rnd">
              <a:solidFill>
                <a:schemeClr val="tx2">
                  <a:lumMod val="40000"/>
                  <a:lumOff val="60000"/>
                </a:schemeClr>
              </a:solidFill>
              <a:prstDash val="sysDash"/>
              <a:round/>
            </a:ln>
            <a:effectLst/>
          </c:spPr>
          <c:marker>
            <c:symbol val="triangle"/>
            <c:size val="6"/>
            <c:spPr>
              <a:solidFill>
                <a:schemeClr val="tx2">
                  <a:lumMod val="40000"/>
                  <a:lumOff val="60000"/>
                </a:schemeClr>
              </a:solidFill>
              <a:ln w="9525">
                <a:solidFill>
                  <a:schemeClr val="tx2">
                    <a:lumMod val="75000"/>
                  </a:schemeClr>
                </a:solidFill>
              </a:ln>
              <a:effectLst/>
            </c:spPr>
          </c:marker>
          <c:cat>
            <c:strRef>
              <c:f>'Informe nº3'!$T$21:$AE$21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nº3'!$T$22:$AE$22</c:f>
              <c:numCache>
                <c:formatCode>0.00</c:formatCode>
                <c:ptCount val="12"/>
                <c:pt idx="0">
                  <c:v>9.0476346015930176</c:v>
                </c:pt>
                <c:pt idx="1">
                  <c:v>9.2640666961669922</c:v>
                </c:pt>
                <c:pt idx="2">
                  <c:v>7.3309967517852783</c:v>
                </c:pt>
                <c:pt idx="3">
                  <c:v>4.2609021663665771</c:v>
                </c:pt>
                <c:pt idx="4">
                  <c:v>1.746960461139679</c:v>
                </c:pt>
                <c:pt idx="5">
                  <c:v>0.48427197337150574</c:v>
                </c:pt>
                <c:pt idx="6">
                  <c:v>0.25078335404396057</c:v>
                </c:pt>
                <c:pt idx="7">
                  <c:v>0.16096147894859314</c:v>
                </c:pt>
                <c:pt idx="8">
                  <c:v>0.15115766972303391</c:v>
                </c:pt>
                <c:pt idx="9">
                  <c:v>0.52719983458518982</c:v>
                </c:pt>
                <c:pt idx="10">
                  <c:v>2.9634463787078857</c:v>
                </c:pt>
                <c:pt idx="11">
                  <c:v>5.357374906539917</c:v>
                </c:pt>
              </c:numCache>
            </c:numRef>
          </c:val>
          <c:smooth val="0"/>
          <c:extLst>
            <c:ext xmlns:c16="http://schemas.microsoft.com/office/drawing/2014/chart" uri="{C3380CC4-5D6E-409C-BE32-E72D297353CC}">
              <c16:uniqueId val="{00000000-B3BA-47C7-ACA5-D08BE135418C}"/>
            </c:ext>
          </c:extLst>
        </c:ser>
        <c:ser>
          <c:idx val="1"/>
          <c:order val="1"/>
          <c:tx>
            <c:strRef>
              <c:f>'Informe nº3'!$S$23</c:f>
              <c:strCache>
                <c:ptCount val="1"/>
                <c:pt idx="0">
                  <c:v>MEDIAN</c:v>
                </c:pt>
              </c:strCache>
            </c:strRef>
          </c:tx>
          <c:spPr>
            <a:ln w="15875" cap="rnd">
              <a:solidFill>
                <a:srgbClr val="C00000"/>
              </a:solidFill>
              <a:prstDash val="solid"/>
              <a:round/>
            </a:ln>
            <a:effectLst/>
          </c:spPr>
          <c:marker>
            <c:symbol val="circle"/>
            <c:size val="6"/>
            <c:spPr>
              <a:solidFill>
                <a:schemeClr val="accent2"/>
              </a:solidFill>
              <a:ln w="9525">
                <a:solidFill>
                  <a:schemeClr val="accent2"/>
                </a:solidFill>
              </a:ln>
              <a:effectLst/>
            </c:spPr>
          </c:marker>
          <c:cat>
            <c:strRef>
              <c:f>'Informe nº3'!$T$21:$AE$21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nº3'!$T$23:$AE$23</c:f>
              <c:numCache>
                <c:formatCode>0.00</c:formatCode>
                <c:ptCount val="12"/>
                <c:pt idx="0">
                  <c:v>11.134283065795898</c:v>
                </c:pt>
                <c:pt idx="1">
                  <c:v>10.854950904846191</c:v>
                </c:pt>
                <c:pt idx="2">
                  <c:v>9.3216094970703125</c:v>
                </c:pt>
                <c:pt idx="3">
                  <c:v>6.4912319183349609</c:v>
                </c:pt>
                <c:pt idx="4">
                  <c:v>3.027153491973877</c:v>
                </c:pt>
                <c:pt idx="5">
                  <c:v>0.640647292137146</c:v>
                </c:pt>
                <c:pt idx="6">
                  <c:v>0.32523810863494873</c:v>
                </c:pt>
                <c:pt idx="7">
                  <c:v>0.19344787299633026</c:v>
                </c:pt>
                <c:pt idx="8">
                  <c:v>0.1700049489736557</c:v>
                </c:pt>
                <c:pt idx="9">
                  <c:v>0.7970806360244751</c:v>
                </c:pt>
                <c:pt idx="10">
                  <c:v>3.5252237319946289</c:v>
                </c:pt>
                <c:pt idx="11">
                  <c:v>6.6811389923095703</c:v>
                </c:pt>
              </c:numCache>
            </c:numRef>
          </c:val>
          <c:smooth val="0"/>
          <c:extLst>
            <c:ext xmlns:c16="http://schemas.microsoft.com/office/drawing/2014/chart" uri="{C3380CC4-5D6E-409C-BE32-E72D297353CC}">
              <c16:uniqueId val="{00000001-B3BA-47C7-ACA5-D08BE135418C}"/>
            </c:ext>
          </c:extLst>
        </c:ser>
        <c:ser>
          <c:idx val="2"/>
          <c:order val="2"/>
          <c:tx>
            <c:strRef>
              <c:f>'Informe nº3'!$S$24</c:f>
              <c:strCache>
                <c:ptCount val="1"/>
                <c:pt idx="0">
                  <c:v>AVERAGE</c:v>
                </c:pt>
              </c:strCache>
            </c:strRef>
          </c:tx>
          <c:spPr>
            <a:ln w="28575" cap="rnd">
              <a:noFill/>
              <a:round/>
            </a:ln>
            <a:effectLst/>
          </c:spPr>
          <c:marker>
            <c:symbol val="star"/>
            <c:size val="7"/>
            <c:spPr>
              <a:noFill/>
              <a:ln w="12700">
                <a:solidFill>
                  <a:schemeClr val="accent6">
                    <a:lumMod val="75000"/>
                  </a:schemeClr>
                </a:solidFill>
              </a:ln>
              <a:effectLst/>
            </c:spPr>
          </c:marker>
          <c:cat>
            <c:strRef>
              <c:f>'Informe nº3'!$T$21:$AE$21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nº3'!$T$24:$AE$24</c:f>
              <c:numCache>
                <c:formatCode>0.00</c:formatCode>
                <c:ptCount val="12"/>
                <c:pt idx="0">
                  <c:v>11.05514787492298</c:v>
                </c:pt>
                <c:pt idx="1">
                  <c:v>11.588572592962356</c:v>
                </c:pt>
                <c:pt idx="2">
                  <c:v>9.3487191654386983</c:v>
                </c:pt>
                <c:pt idx="3">
                  <c:v>6.2882483686719626</c:v>
                </c:pt>
                <c:pt idx="4">
                  <c:v>3.1499466385160173</c:v>
                </c:pt>
                <c:pt idx="5">
                  <c:v>0.7025487110728309</c:v>
                </c:pt>
                <c:pt idx="6">
                  <c:v>0.31675358542374205</c:v>
                </c:pt>
                <c:pt idx="7">
                  <c:v>0.19891571643806638</c:v>
                </c:pt>
                <c:pt idx="8">
                  <c:v>0.18405478766986302</c:v>
                </c:pt>
                <c:pt idx="9">
                  <c:v>1.0753136234624046</c:v>
                </c:pt>
                <c:pt idx="10">
                  <c:v>3.6734423069726851</c:v>
                </c:pt>
                <c:pt idx="11">
                  <c:v>6.9098148118881948</c:v>
                </c:pt>
              </c:numCache>
            </c:numRef>
          </c:val>
          <c:smooth val="0"/>
          <c:extLst>
            <c:ext xmlns:c16="http://schemas.microsoft.com/office/drawing/2014/chart" uri="{C3380CC4-5D6E-409C-BE32-E72D297353CC}">
              <c16:uniqueId val="{00000002-B3BA-47C7-ACA5-D08BE135418C}"/>
            </c:ext>
          </c:extLst>
        </c:ser>
        <c:ser>
          <c:idx val="3"/>
          <c:order val="3"/>
          <c:tx>
            <c:strRef>
              <c:f>'Informe nº3'!$R$5:$S$5</c:f>
              <c:strCache>
                <c:ptCount val="2"/>
                <c:pt idx="0">
                  <c:v>75th percentile exceedance (P75)</c:v>
                </c:pt>
              </c:strCache>
            </c:strRef>
          </c:tx>
          <c:spPr>
            <a:ln w="15875" cap="rnd">
              <a:solidFill>
                <a:schemeClr val="tx2">
                  <a:lumMod val="40000"/>
                  <a:lumOff val="60000"/>
                </a:schemeClr>
              </a:solidFill>
              <a:prstDash val="sysDash"/>
              <a:round/>
            </a:ln>
            <a:effectLst/>
          </c:spPr>
          <c:marker>
            <c:symbol val="square"/>
            <c:size val="5"/>
            <c:spPr>
              <a:solidFill>
                <a:schemeClr val="tx2">
                  <a:lumMod val="40000"/>
                  <a:lumOff val="60000"/>
                </a:schemeClr>
              </a:solidFill>
              <a:ln w="9525">
                <a:solidFill>
                  <a:schemeClr val="tx2">
                    <a:lumMod val="75000"/>
                  </a:schemeClr>
                </a:solidFill>
              </a:ln>
              <a:effectLst/>
            </c:spPr>
          </c:marker>
          <c:cat>
            <c:strRef>
              <c:f>'Informe nº3'!$T$21:$AE$21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nº3'!$T$25:$AE$25</c:f>
              <c:numCache>
                <c:formatCode>0.00</c:formatCode>
                <c:ptCount val="12"/>
                <c:pt idx="0">
                  <c:v>13.097288131713867</c:v>
                </c:pt>
                <c:pt idx="1">
                  <c:v>14.133959770202637</c:v>
                </c:pt>
                <c:pt idx="2">
                  <c:v>10.797235012054443</c:v>
                </c:pt>
                <c:pt idx="3">
                  <c:v>7.8829631805419922</c:v>
                </c:pt>
                <c:pt idx="4">
                  <c:v>3.8976856470108032</c:v>
                </c:pt>
                <c:pt idx="5">
                  <c:v>0.81301099061965942</c:v>
                </c:pt>
                <c:pt idx="6">
                  <c:v>0.36814823746681213</c:v>
                </c:pt>
                <c:pt idx="7">
                  <c:v>0.22766569256782532</c:v>
                </c:pt>
                <c:pt idx="8">
                  <c:v>0.1996198371052742</c:v>
                </c:pt>
                <c:pt idx="9">
                  <c:v>1.5125589966773987</c:v>
                </c:pt>
                <c:pt idx="10">
                  <c:v>4.6070291996002197</c:v>
                </c:pt>
                <c:pt idx="11">
                  <c:v>8.1166329383850098</c:v>
                </c:pt>
              </c:numCache>
            </c:numRef>
          </c:val>
          <c:smooth val="0"/>
          <c:extLst>
            <c:ext xmlns:c16="http://schemas.microsoft.com/office/drawing/2014/chart" uri="{C3380CC4-5D6E-409C-BE32-E72D297353CC}">
              <c16:uniqueId val="{00000003-B3BA-47C7-ACA5-D08BE135418C}"/>
            </c:ext>
          </c:extLst>
        </c:ser>
        <c:dLbls>
          <c:showLegendKey val="0"/>
          <c:showVal val="0"/>
          <c:showCatName val="0"/>
          <c:showSerName val="0"/>
          <c:showPercent val="0"/>
          <c:showBubbleSize val="0"/>
        </c:dLbls>
        <c:marker val="1"/>
        <c:smooth val="0"/>
        <c:axId val="628083679"/>
        <c:axId val="628084095"/>
      </c:lineChart>
      <c:catAx>
        <c:axId val="628083679"/>
        <c:scaling>
          <c:orientation val="minMax"/>
        </c:scaling>
        <c:delete val="0"/>
        <c:axPos val="b"/>
        <c:numFmt formatCode="General" sourceLinked="1"/>
        <c:majorTickMark val="out"/>
        <c:minorTickMark val="none"/>
        <c:tickLblPos val="nextTo"/>
        <c:spPr>
          <a:noFill/>
          <a:ln w="15875" cap="flat" cmpd="sng" algn="ctr">
            <a:solidFill>
              <a:schemeClr val="tx1">
                <a:lumMod val="65000"/>
                <a:lumOff val="3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4095"/>
        <c:crosses val="autoZero"/>
        <c:auto val="1"/>
        <c:lblAlgn val="ctr"/>
        <c:lblOffset val="100"/>
        <c:noMultiLvlLbl val="0"/>
      </c:catAx>
      <c:valAx>
        <c:axId val="628084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in"/>
        <c:tickLblPos val="nextTo"/>
        <c:spPr>
          <a:noFill/>
          <a:ln w="15875">
            <a:solidFill>
              <a:schemeClr val="tx1">
                <a:lumMod val="65000"/>
                <a:lumOff val="3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3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nº3a'!$J$39</c:f>
          <c:strCache>
            <c:ptCount val="1"/>
            <c:pt idx="0">
              <c:v>MEDIAN CONTRIBUTIONS IN ALTERED FLOW (hm³)</c:v>
            </c:pt>
          </c:strCache>
        </c:strRef>
      </c:tx>
      <c:layout>
        <c:manualLayout>
          <c:xMode val="edge"/>
          <c:yMode val="edge"/>
          <c:x val="0.16710991380795223"/>
          <c:y val="1.42264679944667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7.5824980612653262E-2"/>
          <c:y val="9.910214162075677E-2"/>
          <c:w val="0.90417712730560107"/>
          <c:h val="0.64191159913444729"/>
        </c:manualLayout>
      </c:layout>
      <c:lineChart>
        <c:grouping val="standard"/>
        <c:varyColors val="0"/>
        <c:ser>
          <c:idx val="0"/>
          <c:order val="0"/>
          <c:tx>
            <c:v>Wet</c:v>
          </c:tx>
          <c:spPr>
            <a:ln w="28575" cap="rnd">
              <a:solidFill>
                <a:schemeClr val="accent1"/>
              </a:solidFill>
              <a:round/>
            </a:ln>
            <a:effectLst/>
          </c:spPr>
          <c:marker>
            <c:symbol val="none"/>
          </c:marker>
          <c:cat>
            <c:strRef>
              <c:f>'Informe nº3a'!$B$17:$B$28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nº3a'!$C$17:$C$28</c:f>
              <c:numCache>
                <c:formatCode>0.000</c:formatCode>
                <c:ptCount val="12"/>
                <c:pt idx="0">
                  <c:v>14.778029441833496</c:v>
                </c:pt>
                <c:pt idx="1">
                  <c:v>15.621118545532227</c:v>
                </c:pt>
                <c:pt idx="2">
                  <c:v>12.376887321472168</c:v>
                </c:pt>
                <c:pt idx="3">
                  <c:v>8.3007078170776367</c:v>
                </c:pt>
                <c:pt idx="4">
                  <c:v>5.1668405532836914</c:v>
                </c:pt>
                <c:pt idx="5">
                  <c:v>0.95200705528259277</c:v>
                </c:pt>
                <c:pt idx="6">
                  <c:v>0.3779049813747406</c:v>
                </c:pt>
                <c:pt idx="7">
                  <c:v>0.23978069424629211</c:v>
                </c:pt>
                <c:pt idx="8">
                  <c:v>0.2156284898519516</c:v>
                </c:pt>
                <c:pt idx="9">
                  <c:v>2.0616016387939453</c:v>
                </c:pt>
                <c:pt idx="10">
                  <c:v>4.9483094215393066</c:v>
                </c:pt>
                <c:pt idx="11">
                  <c:v>9.3898658752441406</c:v>
                </c:pt>
              </c:numCache>
            </c:numRef>
          </c:val>
          <c:smooth val="0"/>
          <c:extLst>
            <c:ext xmlns:c16="http://schemas.microsoft.com/office/drawing/2014/chart" uri="{C3380CC4-5D6E-409C-BE32-E72D297353CC}">
              <c16:uniqueId val="{00000000-C827-4400-B42E-2DAC07F04DDF}"/>
            </c:ext>
          </c:extLst>
        </c:ser>
        <c:ser>
          <c:idx val="1"/>
          <c:order val="1"/>
          <c:tx>
            <c:v>Average</c:v>
          </c:tx>
          <c:spPr>
            <a:ln w="28575" cap="rnd">
              <a:solidFill>
                <a:srgbClr val="00B050"/>
              </a:solidFill>
              <a:round/>
            </a:ln>
            <a:effectLst/>
          </c:spPr>
          <c:marker>
            <c:symbol val="none"/>
          </c:marker>
          <c:cat>
            <c:strRef>
              <c:f>'Informe nº3a'!$B$17:$B$28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nº3a'!$D$17:$D$28</c:f>
              <c:numCache>
                <c:formatCode>0.000</c:formatCode>
                <c:ptCount val="12"/>
                <c:pt idx="0">
                  <c:v>11.134283065795898</c:v>
                </c:pt>
                <c:pt idx="1">
                  <c:v>10.854950904846191</c:v>
                </c:pt>
                <c:pt idx="2">
                  <c:v>9.3216094970703125</c:v>
                </c:pt>
                <c:pt idx="3">
                  <c:v>6.4912319183349609</c:v>
                </c:pt>
                <c:pt idx="4">
                  <c:v>3.027153491973877</c:v>
                </c:pt>
                <c:pt idx="5">
                  <c:v>0.640647292137146</c:v>
                </c:pt>
                <c:pt idx="6">
                  <c:v>0.32523810863494873</c:v>
                </c:pt>
                <c:pt idx="7">
                  <c:v>0.19344787299633026</c:v>
                </c:pt>
                <c:pt idx="8">
                  <c:v>0.1700049489736557</c:v>
                </c:pt>
                <c:pt idx="9">
                  <c:v>0.7970806360244751</c:v>
                </c:pt>
                <c:pt idx="10">
                  <c:v>3.5252237319946289</c:v>
                </c:pt>
                <c:pt idx="11">
                  <c:v>6.6811389923095703</c:v>
                </c:pt>
              </c:numCache>
            </c:numRef>
          </c:val>
          <c:smooth val="0"/>
          <c:extLst>
            <c:ext xmlns:c16="http://schemas.microsoft.com/office/drawing/2014/chart" uri="{C3380CC4-5D6E-409C-BE32-E72D297353CC}">
              <c16:uniqueId val="{00000001-C827-4400-B42E-2DAC07F04DDF}"/>
            </c:ext>
          </c:extLst>
        </c:ser>
        <c:ser>
          <c:idx val="2"/>
          <c:order val="2"/>
          <c:tx>
            <c:v>Dry</c:v>
          </c:tx>
          <c:spPr>
            <a:ln w="28575" cap="rnd">
              <a:solidFill>
                <a:schemeClr val="accent6">
                  <a:lumMod val="75000"/>
                </a:schemeClr>
              </a:solidFill>
              <a:round/>
            </a:ln>
            <a:effectLst/>
          </c:spPr>
          <c:marker>
            <c:symbol val="none"/>
          </c:marker>
          <c:cat>
            <c:strRef>
              <c:f>'Informe nº3a'!$B$17:$B$28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nº3a'!$E$17:$E$28</c:f>
              <c:numCache>
                <c:formatCode>0.000</c:formatCode>
                <c:ptCount val="12"/>
                <c:pt idx="0">
                  <c:v>6.6452136039733887</c:v>
                </c:pt>
                <c:pt idx="1">
                  <c:v>8.7422113418579102</c:v>
                </c:pt>
                <c:pt idx="2">
                  <c:v>6.0758213996887207</c:v>
                </c:pt>
                <c:pt idx="3">
                  <c:v>3.5284464359283447</c:v>
                </c:pt>
                <c:pt idx="4">
                  <c:v>1.6329257488250732</c:v>
                </c:pt>
                <c:pt idx="5">
                  <c:v>0.4144693911075592</c:v>
                </c:pt>
                <c:pt idx="6">
                  <c:v>0.21630929410457611</c:v>
                </c:pt>
                <c:pt idx="7">
                  <c:v>0.15357428789138794</c:v>
                </c:pt>
                <c:pt idx="8">
                  <c:v>0.14149037003517151</c:v>
                </c:pt>
                <c:pt idx="9">
                  <c:v>0.46813070774078369</c:v>
                </c:pt>
                <c:pt idx="10">
                  <c:v>2.7863051891326904</c:v>
                </c:pt>
                <c:pt idx="11">
                  <c:v>4.6937408447265625</c:v>
                </c:pt>
              </c:numCache>
            </c:numRef>
          </c:val>
          <c:smooth val="0"/>
          <c:extLst>
            <c:ext xmlns:c16="http://schemas.microsoft.com/office/drawing/2014/chart" uri="{C3380CC4-5D6E-409C-BE32-E72D297353CC}">
              <c16:uniqueId val="{00000002-C827-4400-B42E-2DAC07F04DDF}"/>
            </c:ext>
          </c:extLst>
        </c:ser>
        <c:dLbls>
          <c:showLegendKey val="0"/>
          <c:showVal val="0"/>
          <c:showCatName val="0"/>
          <c:showSerName val="0"/>
          <c:showPercent val="0"/>
          <c:showBubbleSize val="0"/>
        </c:dLbls>
        <c:smooth val="0"/>
        <c:axId val="135635344"/>
        <c:axId val="1"/>
      </c:lineChart>
      <c:catAx>
        <c:axId val="135635344"/>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5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MEDIAN CONTRIBUTIONS FOR WET TYPE MONTH (hm</a:t>
            </a:r>
            <a:r>
              <a:rPr lang="es-ES" baseline="30000"/>
              <a:t>3</a:t>
            </a:r>
            <a:r>
              <a:rPr lang="es-ES"/>
              <a:t>)</a:t>
            </a:r>
          </a:p>
        </c:rich>
      </c:tx>
      <c:layout>
        <c:manualLayout>
          <c:xMode val="edge"/>
          <c:yMode val="edge"/>
          <c:x val="0.11193982886883365"/>
          <c:y val="3.62430855137053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 3b'!$L$2</c:f>
              <c:strCache>
                <c:ptCount val="1"/>
                <c:pt idx="0">
                  <c:v>NAT_F</c:v>
                </c:pt>
              </c:strCache>
            </c:strRef>
          </c:tx>
          <c:spPr>
            <a:ln w="28575" cap="rnd">
              <a:solidFill>
                <a:srgbClr val="0066FF"/>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3b'!$C$17:$C$28</c:f>
              <c:numCache>
                <c:formatCode>0.000</c:formatCode>
                <c:ptCount val="12"/>
                <c:pt idx="0">
                  <c:v>18.099506378173828</c:v>
                </c:pt>
                <c:pt idx="1">
                  <c:v>13.573872566223145</c:v>
                </c:pt>
                <c:pt idx="2">
                  <c:v>15.863386154174805</c:v>
                </c:pt>
                <c:pt idx="3">
                  <c:v>15.218755722045898</c:v>
                </c:pt>
                <c:pt idx="4">
                  <c:v>17.46221923828125</c:v>
                </c:pt>
                <c:pt idx="5">
                  <c:v>6.6775097846984863</c:v>
                </c:pt>
                <c:pt idx="6">
                  <c:v>1.5369611978530884</c:v>
                </c:pt>
                <c:pt idx="7">
                  <c:v>0.61138373613357544</c:v>
                </c:pt>
                <c:pt idx="8">
                  <c:v>0.8791201114654541</c:v>
                </c:pt>
                <c:pt idx="9">
                  <c:v>4.2686614990234375</c:v>
                </c:pt>
                <c:pt idx="10">
                  <c:v>10.988697052001953</c:v>
                </c:pt>
                <c:pt idx="11">
                  <c:v>18.874856948852539</c:v>
                </c:pt>
              </c:numCache>
            </c:numRef>
          </c:val>
          <c:smooth val="0"/>
          <c:extLst>
            <c:ext xmlns:c16="http://schemas.microsoft.com/office/drawing/2014/chart" uri="{C3380CC4-5D6E-409C-BE32-E72D297353CC}">
              <c16:uniqueId val="{00000001-ED57-481C-BB38-2FA975BE1DBB}"/>
            </c:ext>
          </c:extLst>
        </c:ser>
        <c:ser>
          <c:idx val="0"/>
          <c:order val="1"/>
          <c:tx>
            <c:strRef>
              <c:f>'Informe nº 3b'!$M$2</c:f>
              <c:strCache>
                <c:ptCount val="1"/>
                <c:pt idx="0">
                  <c:v>ALT_F</c:v>
                </c:pt>
              </c:strCache>
            </c:strRef>
          </c:tx>
          <c:spPr>
            <a:ln w="28575" cap="rnd">
              <a:solidFill>
                <a:srgbClr val="FF0000"/>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3b'!$C$35:$C$46</c:f>
              <c:numCache>
                <c:formatCode>0.000</c:formatCode>
                <c:ptCount val="12"/>
                <c:pt idx="0">
                  <c:v>14.778029441833496</c:v>
                </c:pt>
                <c:pt idx="1">
                  <c:v>15.621118545532227</c:v>
                </c:pt>
                <c:pt idx="2">
                  <c:v>12.376887321472168</c:v>
                </c:pt>
                <c:pt idx="3">
                  <c:v>8.3007078170776367</c:v>
                </c:pt>
                <c:pt idx="4">
                  <c:v>5.1668405532836914</c:v>
                </c:pt>
                <c:pt idx="5">
                  <c:v>0.95200705528259277</c:v>
                </c:pt>
                <c:pt idx="6">
                  <c:v>0.3779049813747406</c:v>
                </c:pt>
                <c:pt idx="7">
                  <c:v>0.23978069424629211</c:v>
                </c:pt>
                <c:pt idx="8">
                  <c:v>0.2156284898519516</c:v>
                </c:pt>
                <c:pt idx="9">
                  <c:v>2.0616016387939453</c:v>
                </c:pt>
                <c:pt idx="10">
                  <c:v>4.9483094215393066</c:v>
                </c:pt>
                <c:pt idx="11">
                  <c:v>9.3898658752441406</c:v>
                </c:pt>
              </c:numCache>
            </c:numRef>
          </c:val>
          <c:smooth val="0"/>
          <c:extLst>
            <c:ext xmlns:c16="http://schemas.microsoft.com/office/drawing/2014/chart" uri="{C3380CC4-5D6E-409C-BE32-E72D297353CC}">
              <c16:uniqueId val="{00000000-ED57-481C-BB38-2FA975BE1DBB}"/>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bg1">
                <a:lumMod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MEDIAN CONTRIBUTIONS FOR AVERAGE MONTH TYPE(hm</a:t>
            </a:r>
            <a:r>
              <a:rPr lang="es-ES" baseline="30000"/>
              <a:t>3</a:t>
            </a:r>
            <a:r>
              <a:rPr lang="es-ES"/>
              <a:t>)</a:t>
            </a:r>
          </a:p>
        </c:rich>
      </c:tx>
      <c:layout>
        <c:manualLayout>
          <c:xMode val="edge"/>
          <c:yMode val="edge"/>
          <c:x val="0.14331486804465163"/>
          <c:y val="3.68605992120926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 3b'!$L$2</c:f>
              <c:strCache>
                <c:ptCount val="1"/>
                <c:pt idx="0">
                  <c:v>NAT_F</c:v>
                </c:pt>
              </c:strCache>
            </c:strRef>
          </c:tx>
          <c:spPr>
            <a:ln w="28575" cap="rnd">
              <a:solidFill>
                <a:srgbClr val="0066FF"/>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3b'!$D$17:$D$28</c:f>
              <c:numCache>
                <c:formatCode>0.000</c:formatCode>
                <c:ptCount val="12"/>
                <c:pt idx="0">
                  <c:v>14.37298583984375</c:v>
                </c:pt>
                <c:pt idx="1">
                  <c:v>12.314159393310547</c:v>
                </c:pt>
                <c:pt idx="2">
                  <c:v>11.537077903747559</c:v>
                </c:pt>
                <c:pt idx="3">
                  <c:v>13.178936004638672</c:v>
                </c:pt>
                <c:pt idx="4">
                  <c:v>13.49222469329834</c:v>
                </c:pt>
                <c:pt idx="5">
                  <c:v>4.8620734214782715</c:v>
                </c:pt>
                <c:pt idx="6">
                  <c:v>1.1413267850875854</c:v>
                </c:pt>
                <c:pt idx="7">
                  <c:v>0.4883846640586853</c:v>
                </c:pt>
                <c:pt idx="8">
                  <c:v>0.55524098873138428</c:v>
                </c:pt>
                <c:pt idx="9">
                  <c:v>2.9164323806762695</c:v>
                </c:pt>
                <c:pt idx="10">
                  <c:v>7.0796847343444824</c:v>
                </c:pt>
                <c:pt idx="11">
                  <c:v>14.289956092834473</c:v>
                </c:pt>
              </c:numCache>
            </c:numRef>
          </c:val>
          <c:smooth val="0"/>
          <c:extLst>
            <c:ext xmlns:c16="http://schemas.microsoft.com/office/drawing/2014/chart" uri="{C3380CC4-5D6E-409C-BE32-E72D297353CC}">
              <c16:uniqueId val="{00000001-2DD4-40D4-91B6-CE2FA710D81F}"/>
            </c:ext>
          </c:extLst>
        </c:ser>
        <c:ser>
          <c:idx val="0"/>
          <c:order val="1"/>
          <c:tx>
            <c:strRef>
              <c:f>'Informe nº 3b'!$M$2</c:f>
              <c:strCache>
                <c:ptCount val="1"/>
                <c:pt idx="0">
                  <c:v>ALT_F</c:v>
                </c:pt>
              </c:strCache>
            </c:strRef>
          </c:tx>
          <c:spPr>
            <a:ln w="28575" cap="rnd">
              <a:solidFill>
                <a:srgbClr val="FF0000"/>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3b'!$D$35:$D$46</c:f>
              <c:numCache>
                <c:formatCode>0.000</c:formatCode>
                <c:ptCount val="12"/>
                <c:pt idx="0">
                  <c:v>11.134283065795898</c:v>
                </c:pt>
                <c:pt idx="1">
                  <c:v>10.854950904846191</c:v>
                </c:pt>
                <c:pt idx="2">
                  <c:v>9.3216094970703125</c:v>
                </c:pt>
                <c:pt idx="3">
                  <c:v>6.4912319183349609</c:v>
                </c:pt>
                <c:pt idx="4">
                  <c:v>3.027153491973877</c:v>
                </c:pt>
                <c:pt idx="5">
                  <c:v>0.640647292137146</c:v>
                </c:pt>
                <c:pt idx="6">
                  <c:v>0.32523810863494873</c:v>
                </c:pt>
                <c:pt idx="7">
                  <c:v>0.19344787299633026</c:v>
                </c:pt>
                <c:pt idx="8">
                  <c:v>0.1700049489736557</c:v>
                </c:pt>
                <c:pt idx="9">
                  <c:v>0.7970806360244751</c:v>
                </c:pt>
                <c:pt idx="10">
                  <c:v>3.5252237319946289</c:v>
                </c:pt>
                <c:pt idx="11">
                  <c:v>6.6811389923095703</c:v>
                </c:pt>
              </c:numCache>
            </c:numRef>
          </c:val>
          <c:smooth val="0"/>
          <c:extLst>
            <c:ext xmlns:c16="http://schemas.microsoft.com/office/drawing/2014/chart" uri="{C3380CC4-5D6E-409C-BE32-E72D297353CC}">
              <c16:uniqueId val="{00000000-2DD4-40D4-91B6-CE2FA710D81F}"/>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MEDIAN CONTRIBUTIONS FOR DRY MONTH TYPE (hm</a:t>
            </a:r>
            <a:r>
              <a:rPr lang="es-ES" baseline="30000"/>
              <a:t>3</a:t>
            </a:r>
            <a:r>
              <a:rPr lang="es-ES"/>
              <a:t>)</a:t>
            </a:r>
          </a:p>
        </c:rich>
      </c:tx>
      <c:layout>
        <c:manualLayout>
          <c:xMode val="edge"/>
          <c:yMode val="edge"/>
          <c:x val="0.14751791969666039"/>
          <c:y val="4.2878395703443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 3b'!$L$2</c:f>
              <c:strCache>
                <c:ptCount val="1"/>
                <c:pt idx="0">
                  <c:v>NAT_F</c:v>
                </c:pt>
              </c:strCache>
            </c:strRef>
          </c:tx>
          <c:spPr>
            <a:ln w="28575" cap="rnd">
              <a:solidFill>
                <a:srgbClr val="0066FF"/>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3b'!$E$17:$E$28</c:f>
              <c:numCache>
                <c:formatCode>0.000</c:formatCode>
                <c:ptCount val="12"/>
                <c:pt idx="0">
                  <c:v>11.507701873779297</c:v>
                </c:pt>
                <c:pt idx="1">
                  <c:v>9.3760404586791992</c:v>
                </c:pt>
                <c:pt idx="2">
                  <c:v>9.1410341262817383</c:v>
                </c:pt>
                <c:pt idx="3">
                  <c:v>10.590134620666504</c:v>
                </c:pt>
                <c:pt idx="4">
                  <c:v>10.689840316772461</c:v>
                </c:pt>
                <c:pt idx="5">
                  <c:v>3.933758020401001</c:v>
                </c:pt>
                <c:pt idx="6">
                  <c:v>0.92626851797103882</c:v>
                </c:pt>
                <c:pt idx="7">
                  <c:v>0.4232650101184845</c:v>
                </c:pt>
                <c:pt idx="8">
                  <c:v>0.37693983316421509</c:v>
                </c:pt>
                <c:pt idx="9">
                  <c:v>2.1859288215637207</c:v>
                </c:pt>
                <c:pt idx="10">
                  <c:v>3.999110221862793</c:v>
                </c:pt>
                <c:pt idx="11">
                  <c:v>11.012543678283691</c:v>
                </c:pt>
              </c:numCache>
            </c:numRef>
          </c:val>
          <c:smooth val="0"/>
          <c:extLst>
            <c:ext xmlns:c16="http://schemas.microsoft.com/office/drawing/2014/chart" uri="{C3380CC4-5D6E-409C-BE32-E72D297353CC}">
              <c16:uniqueId val="{00000001-6BCF-4CBE-A1E5-6F761256E3BD}"/>
            </c:ext>
          </c:extLst>
        </c:ser>
        <c:ser>
          <c:idx val="0"/>
          <c:order val="1"/>
          <c:tx>
            <c:strRef>
              <c:f>'Informe nº 3b'!$M$2</c:f>
              <c:strCache>
                <c:ptCount val="1"/>
                <c:pt idx="0">
                  <c:v>ALT_F</c:v>
                </c:pt>
              </c:strCache>
            </c:strRef>
          </c:tx>
          <c:spPr>
            <a:ln w="28575" cap="rnd">
              <a:solidFill>
                <a:srgbClr val="FF0000"/>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3b'!$E$35:$E$46</c:f>
              <c:numCache>
                <c:formatCode>0.000</c:formatCode>
                <c:ptCount val="12"/>
                <c:pt idx="0">
                  <c:v>6.6452136039733887</c:v>
                </c:pt>
                <c:pt idx="1">
                  <c:v>8.7422113418579102</c:v>
                </c:pt>
                <c:pt idx="2">
                  <c:v>6.0758213996887207</c:v>
                </c:pt>
                <c:pt idx="3">
                  <c:v>3.5284464359283447</c:v>
                </c:pt>
                <c:pt idx="4">
                  <c:v>1.6329257488250732</c:v>
                </c:pt>
                <c:pt idx="5">
                  <c:v>0.4144693911075592</c:v>
                </c:pt>
                <c:pt idx="6">
                  <c:v>0.21630929410457611</c:v>
                </c:pt>
                <c:pt idx="7">
                  <c:v>0.15357428789138794</c:v>
                </c:pt>
                <c:pt idx="8">
                  <c:v>0.14149037003517151</c:v>
                </c:pt>
                <c:pt idx="9">
                  <c:v>0.46813070774078369</c:v>
                </c:pt>
                <c:pt idx="10">
                  <c:v>2.7863051891326904</c:v>
                </c:pt>
                <c:pt idx="11">
                  <c:v>4.6937408447265625</c:v>
                </c:pt>
              </c:numCache>
            </c:numRef>
          </c:val>
          <c:smooth val="0"/>
          <c:extLst>
            <c:ext xmlns:c16="http://schemas.microsoft.com/office/drawing/2014/chart" uri="{C3380CC4-5D6E-409C-BE32-E72D297353CC}">
              <c16:uniqueId val="{00000000-6BCF-4CBE-A1E5-6F761256E3BD}"/>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 3b'!$D$69</c:f>
          <c:strCache>
            <c:ptCount val="1"/>
            <c:pt idx="0">
              <c:v>% Alt_F/Nat_F in median monthly contributions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 3b'!$C$51:$C$52</c:f>
              <c:strCache>
                <c:ptCount val="2"/>
                <c:pt idx="0">
                  <c:v>WET</c:v>
                </c:pt>
              </c:strCache>
            </c:strRef>
          </c:tx>
          <c:spPr>
            <a:ln w="28575" cap="rnd">
              <a:solidFill>
                <a:schemeClr val="accent1"/>
              </a:solidFill>
              <a:round/>
            </a:ln>
            <a:effectLst/>
          </c:spPr>
          <c:marker>
            <c:symbol val="none"/>
          </c:marker>
          <c:cat>
            <c:strRef>
              <c:f>'Informe nº 3b'!$B$53:$B$64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3b'!$C$53:$C$64</c:f>
              <c:numCache>
                <c:formatCode>0.0</c:formatCode>
                <c:ptCount val="12"/>
                <c:pt idx="0">
                  <c:v>81.648798221670305</c:v>
                </c:pt>
                <c:pt idx="1">
                  <c:v>115.08225430378205</c:v>
                </c:pt>
                <c:pt idx="2">
                  <c:v>78.021723742852416</c:v>
                </c:pt>
                <c:pt idx="3">
                  <c:v>54.54261812648209</c:v>
                </c:pt>
                <c:pt idx="4">
                  <c:v>29.588682187409344</c:v>
                </c:pt>
                <c:pt idx="5">
                  <c:v>14.256917413496225</c:v>
                </c:pt>
                <c:pt idx="6">
                  <c:v>24.58780234026851</c:v>
                </c:pt>
                <c:pt idx="7">
                  <c:v>39.219344590793085</c:v>
                </c:pt>
                <c:pt idx="8">
                  <c:v>24.527762138498744</c:v>
                </c:pt>
                <c:pt idx="9">
                  <c:v>48.296208056450205</c:v>
                </c:pt>
                <c:pt idx="10">
                  <c:v>45.030902190881754</c:v>
                </c:pt>
                <c:pt idx="11">
                  <c:v>49.748010809771884</c:v>
                </c:pt>
              </c:numCache>
            </c:numRef>
          </c:val>
          <c:smooth val="0"/>
          <c:extLst>
            <c:ext xmlns:c16="http://schemas.microsoft.com/office/drawing/2014/chart" uri="{C3380CC4-5D6E-409C-BE32-E72D297353CC}">
              <c16:uniqueId val="{00000000-5DD5-40D4-A691-22B0A26468A0}"/>
            </c:ext>
          </c:extLst>
        </c:ser>
        <c:ser>
          <c:idx val="1"/>
          <c:order val="1"/>
          <c:tx>
            <c:strRef>
              <c:f>'Informe nº 3b'!$D$51:$D$52</c:f>
              <c:strCache>
                <c:ptCount val="2"/>
                <c:pt idx="0">
                  <c:v>AVERAGE</c:v>
                </c:pt>
              </c:strCache>
            </c:strRef>
          </c:tx>
          <c:spPr>
            <a:ln w="28575" cap="rnd">
              <a:solidFill>
                <a:srgbClr val="00B050"/>
              </a:solidFill>
              <a:round/>
            </a:ln>
            <a:effectLst/>
          </c:spPr>
          <c:marker>
            <c:symbol val="none"/>
          </c:marker>
          <c:cat>
            <c:strRef>
              <c:f>'Informe nº 3b'!$B$53:$B$64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3b'!$D$53:$D$64</c:f>
              <c:numCache>
                <c:formatCode>0.0</c:formatCode>
                <c:ptCount val="12"/>
                <c:pt idx="0">
                  <c:v>77.466736486515174</c:v>
                </c:pt>
                <c:pt idx="1">
                  <c:v>88.150157539319778</c:v>
                </c:pt>
                <c:pt idx="2">
                  <c:v>80.796971077419869</c:v>
                </c:pt>
                <c:pt idx="3">
                  <c:v>49.254597761535543</c:v>
                </c:pt>
                <c:pt idx="4">
                  <c:v>22.436281345636651</c:v>
                </c:pt>
                <c:pt idx="5">
                  <c:v>13.176421592217805</c:v>
                </c:pt>
                <c:pt idx="6">
                  <c:v>28.496493106484834</c:v>
                </c:pt>
                <c:pt idx="7">
                  <c:v>39.609735364885488</c:v>
                </c:pt>
                <c:pt idx="8">
                  <c:v>30.618227476700405</c:v>
                </c:pt>
                <c:pt idx="9">
                  <c:v>27.330674330246126</c:v>
                </c:pt>
                <c:pt idx="10">
                  <c:v>49.793512907337586</c:v>
                </c:pt>
                <c:pt idx="11">
                  <c:v>46.754090417812741</c:v>
                </c:pt>
              </c:numCache>
            </c:numRef>
          </c:val>
          <c:smooth val="0"/>
          <c:extLst>
            <c:ext xmlns:c16="http://schemas.microsoft.com/office/drawing/2014/chart" uri="{C3380CC4-5D6E-409C-BE32-E72D297353CC}">
              <c16:uniqueId val="{00000001-5DD5-40D4-A691-22B0A26468A0}"/>
            </c:ext>
          </c:extLst>
        </c:ser>
        <c:ser>
          <c:idx val="2"/>
          <c:order val="2"/>
          <c:tx>
            <c:strRef>
              <c:f>'Informe nº 3b'!$E$51:$E$52</c:f>
              <c:strCache>
                <c:ptCount val="2"/>
                <c:pt idx="0">
                  <c:v>DRY</c:v>
                </c:pt>
              </c:strCache>
            </c:strRef>
          </c:tx>
          <c:spPr>
            <a:ln w="28575" cap="rnd">
              <a:solidFill>
                <a:schemeClr val="accent6">
                  <a:lumMod val="75000"/>
                </a:schemeClr>
              </a:solidFill>
              <a:round/>
            </a:ln>
            <a:effectLst/>
          </c:spPr>
          <c:marker>
            <c:symbol val="none"/>
          </c:marker>
          <c:cat>
            <c:strRef>
              <c:f>'Informe nº 3b'!$B$53:$B$64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3b'!$E$53:$E$64</c:f>
              <c:numCache>
                <c:formatCode>0.0</c:formatCode>
                <c:ptCount val="12"/>
                <c:pt idx="0">
                  <c:v>57.745792138695748</c:v>
                </c:pt>
                <c:pt idx="1">
                  <c:v>93.239906337706046</c:v>
                </c:pt>
                <c:pt idx="2">
                  <c:v>66.467549685870807</c:v>
                </c:pt>
                <c:pt idx="3">
                  <c:v>33.318239685476989</c:v>
                </c:pt>
                <c:pt idx="4">
                  <c:v>15.275492434278902</c:v>
                </c:pt>
                <c:pt idx="5">
                  <c:v>10.536219791813958</c:v>
                </c:pt>
                <c:pt idx="6">
                  <c:v>23.352763254697958</c:v>
                </c:pt>
                <c:pt idx="7">
                  <c:v>36.283246717794583</c:v>
                </c:pt>
                <c:pt idx="8">
                  <c:v>37.536592736149153</c:v>
                </c:pt>
                <c:pt idx="9">
                  <c:v>21.415642774951056</c:v>
                </c:pt>
                <c:pt idx="10">
                  <c:v>69.673128134858558</c:v>
                </c:pt>
                <c:pt idx="11">
                  <c:v>42.621768247625091</c:v>
                </c:pt>
              </c:numCache>
            </c:numRef>
          </c:val>
          <c:smooth val="0"/>
          <c:extLst>
            <c:ext xmlns:c16="http://schemas.microsoft.com/office/drawing/2014/chart" uri="{C3380CC4-5D6E-409C-BE32-E72D297353CC}">
              <c16:uniqueId val="{00000002-5DD5-40D4-A691-22B0A26468A0}"/>
            </c:ext>
          </c:extLst>
        </c:ser>
        <c:ser>
          <c:idx val="3"/>
          <c:order val="3"/>
          <c:tx>
            <c:strRef>
              <c:f>'Informe nº 3b'!$I$52</c:f>
              <c:strCache>
                <c:ptCount val="1"/>
                <c:pt idx="0">
                  <c:v>no change from Nat_F</c:v>
                </c:pt>
              </c:strCache>
            </c:strRef>
          </c:tx>
          <c:spPr>
            <a:ln w="19050" cap="rnd">
              <a:solidFill>
                <a:schemeClr val="bg1">
                  <a:lumMod val="50000"/>
                </a:schemeClr>
              </a:solidFill>
              <a:prstDash val="dash"/>
              <a:round/>
            </a:ln>
            <a:effectLst/>
          </c:spPr>
          <c:marker>
            <c:symbol val="none"/>
          </c:marker>
          <c:cat>
            <c:strRef>
              <c:f>'Informe nº 3b'!$B$53:$B$64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3b'!$I$53:$I$64</c:f>
              <c:numCache>
                <c:formatCode>General</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val>
          <c:smooth val="0"/>
          <c:extLst>
            <c:ext xmlns:c16="http://schemas.microsoft.com/office/drawing/2014/chart" uri="{C3380CC4-5D6E-409C-BE32-E72D297353CC}">
              <c16:uniqueId val="{00000003-5DD5-40D4-A691-22B0A26468A0}"/>
            </c:ext>
          </c:extLst>
        </c:ser>
        <c:dLbls>
          <c:showLegendKey val="0"/>
          <c:showVal val="0"/>
          <c:showCatName val="0"/>
          <c:showSerName val="0"/>
          <c:showPercent val="0"/>
          <c:showBubbleSize val="0"/>
        </c:dLbls>
        <c:smooth val="0"/>
        <c:axId val="1343821392"/>
        <c:axId val="1343822224"/>
      </c:lineChart>
      <c:catAx>
        <c:axId val="134382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43822224"/>
        <c:crosses val="autoZero"/>
        <c:auto val="1"/>
        <c:lblAlgn val="ctr"/>
        <c:lblOffset val="100"/>
        <c:noMultiLvlLbl val="0"/>
      </c:catAx>
      <c:valAx>
        <c:axId val="13438222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43821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ES" b="1"/>
              <a:t>Variability rangeP10 - P90</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nº3c'!$L$4</c:f>
              <c:strCache>
                <c:ptCount val="1"/>
                <c:pt idx="0">
                  <c:v>P10 nat</c:v>
                </c:pt>
              </c:strCache>
            </c:strRef>
          </c:tx>
          <c:spPr>
            <a:ln w="28575" cap="rnd">
              <a:solidFill>
                <a:schemeClr val="accent1"/>
              </a:solidFill>
              <a:round/>
            </a:ln>
            <a:effectLst/>
          </c:spPr>
          <c:marker>
            <c:symbol val="none"/>
          </c:marker>
          <c:cat>
            <c:strRef>
              <c:f>'Informe nº3c'!$M$3:$X$3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nº3c'!$M$4:$X$4</c:f>
              <c:numCache>
                <c:formatCode>0.00</c:formatCode>
                <c:ptCount val="12"/>
                <c:pt idx="0">
                  <c:v>18.408330535888673</c:v>
                </c:pt>
                <c:pt idx="1">
                  <c:v>13.638981819152832</c:v>
                </c:pt>
                <c:pt idx="2">
                  <c:v>16.254813766479494</c:v>
                </c:pt>
                <c:pt idx="3">
                  <c:v>16.015778732299804</c:v>
                </c:pt>
                <c:pt idx="4">
                  <c:v>17.673725891113282</c:v>
                </c:pt>
                <c:pt idx="5">
                  <c:v>6.9379540443420415</c:v>
                </c:pt>
                <c:pt idx="6">
                  <c:v>1.5648924112319946</c:v>
                </c:pt>
                <c:pt idx="7">
                  <c:v>0.62932039499282844</c:v>
                </c:pt>
                <c:pt idx="8">
                  <c:v>0.93631687164306643</c:v>
                </c:pt>
                <c:pt idx="9">
                  <c:v>5.2382213592529308</c:v>
                </c:pt>
                <c:pt idx="10">
                  <c:v>12.767155456542969</c:v>
                </c:pt>
                <c:pt idx="11">
                  <c:v>19.509172439575195</c:v>
                </c:pt>
              </c:numCache>
            </c:numRef>
          </c:val>
          <c:smooth val="0"/>
          <c:extLst>
            <c:ext xmlns:c16="http://schemas.microsoft.com/office/drawing/2014/chart" uri="{C3380CC4-5D6E-409C-BE32-E72D297353CC}">
              <c16:uniqueId val="{00000000-1625-4FEF-9EC7-4AD52CA539C5}"/>
            </c:ext>
          </c:extLst>
        </c:ser>
        <c:ser>
          <c:idx val="1"/>
          <c:order val="1"/>
          <c:tx>
            <c:strRef>
              <c:f>'Informe nº3c'!$L$5</c:f>
              <c:strCache>
                <c:ptCount val="1"/>
                <c:pt idx="0">
                  <c:v>P90 nat</c:v>
                </c:pt>
              </c:strCache>
            </c:strRef>
          </c:tx>
          <c:spPr>
            <a:ln w="28575" cap="rnd">
              <a:solidFill>
                <a:schemeClr val="accent1"/>
              </a:solidFill>
              <a:prstDash val="sysDash"/>
              <a:round/>
            </a:ln>
            <a:effectLst/>
          </c:spPr>
          <c:marker>
            <c:symbol val="none"/>
          </c:marker>
          <c:cat>
            <c:strRef>
              <c:f>'Informe nº3c'!$M$3:$X$3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nº3c'!$M$5:$X$5</c:f>
              <c:numCache>
                <c:formatCode>0.00</c:formatCode>
                <c:ptCount val="12"/>
                <c:pt idx="0">
                  <c:v>10.637412261962892</c:v>
                </c:pt>
                <c:pt idx="1">
                  <c:v>9.2117437362670902</c:v>
                </c:pt>
                <c:pt idx="2">
                  <c:v>8.6295450210571296</c:v>
                </c:pt>
                <c:pt idx="3">
                  <c:v>10.558616065979004</c:v>
                </c:pt>
                <c:pt idx="4">
                  <c:v>9.843812179565429</c:v>
                </c:pt>
                <c:pt idx="5">
                  <c:v>3.6979895114898684</c:v>
                </c:pt>
                <c:pt idx="6">
                  <c:v>0.91059907674789431</c:v>
                </c:pt>
                <c:pt idx="7">
                  <c:v>0.42211068272590635</c:v>
                </c:pt>
                <c:pt idx="8">
                  <c:v>0.36377109289169313</c:v>
                </c:pt>
                <c:pt idx="9">
                  <c:v>1.7517235755920411</c:v>
                </c:pt>
                <c:pt idx="10">
                  <c:v>3.8849176406860351</c:v>
                </c:pt>
                <c:pt idx="11">
                  <c:v>10.518405342102051</c:v>
                </c:pt>
              </c:numCache>
            </c:numRef>
          </c:val>
          <c:smooth val="0"/>
          <c:extLst>
            <c:ext xmlns:c16="http://schemas.microsoft.com/office/drawing/2014/chart" uri="{C3380CC4-5D6E-409C-BE32-E72D297353CC}">
              <c16:uniqueId val="{00000001-1625-4FEF-9EC7-4AD52CA539C5}"/>
            </c:ext>
          </c:extLst>
        </c:ser>
        <c:ser>
          <c:idx val="2"/>
          <c:order val="2"/>
          <c:tx>
            <c:strRef>
              <c:f>'Informe nº3c'!$L$6</c:f>
              <c:strCache>
                <c:ptCount val="1"/>
                <c:pt idx="0">
                  <c:v>P10 alt</c:v>
                </c:pt>
              </c:strCache>
            </c:strRef>
          </c:tx>
          <c:spPr>
            <a:ln w="28575" cap="rnd">
              <a:solidFill>
                <a:schemeClr val="accent2"/>
              </a:solidFill>
              <a:round/>
            </a:ln>
            <a:effectLst/>
          </c:spPr>
          <c:marker>
            <c:symbol val="none"/>
          </c:marker>
          <c:cat>
            <c:strRef>
              <c:f>'Informe nº3c'!$M$3:$X$3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nº3c'!$M$6:$X$6</c:f>
              <c:numCache>
                <c:formatCode>0.00</c:formatCode>
                <c:ptCount val="12"/>
                <c:pt idx="0">
                  <c:v>15.777227592468263</c:v>
                </c:pt>
                <c:pt idx="1">
                  <c:v>17.172586441040039</c:v>
                </c:pt>
                <c:pt idx="2">
                  <c:v>12.732991600036621</c:v>
                </c:pt>
                <c:pt idx="3">
                  <c:v>9.3411008834838878</c:v>
                </c:pt>
                <c:pt idx="4">
                  <c:v>5.8304349899292003</c:v>
                </c:pt>
                <c:pt idx="5">
                  <c:v>1.2011085987091066</c:v>
                </c:pt>
                <c:pt idx="6">
                  <c:v>0.41919726729393009</c:v>
                </c:pt>
                <c:pt idx="7">
                  <c:v>0.24347030520439147</c:v>
                </c:pt>
                <c:pt idx="8">
                  <c:v>0.25065712630748749</c:v>
                </c:pt>
                <c:pt idx="9">
                  <c:v>2.1289564132690431</c:v>
                </c:pt>
                <c:pt idx="10">
                  <c:v>4.9694394111633304</c:v>
                </c:pt>
                <c:pt idx="11">
                  <c:v>10.070185852050782</c:v>
                </c:pt>
              </c:numCache>
            </c:numRef>
          </c:val>
          <c:smooth val="0"/>
          <c:extLst>
            <c:ext xmlns:c16="http://schemas.microsoft.com/office/drawing/2014/chart" uri="{C3380CC4-5D6E-409C-BE32-E72D297353CC}">
              <c16:uniqueId val="{00000002-1625-4FEF-9EC7-4AD52CA539C5}"/>
            </c:ext>
          </c:extLst>
        </c:ser>
        <c:ser>
          <c:idx val="3"/>
          <c:order val="3"/>
          <c:tx>
            <c:strRef>
              <c:f>'Informe nº3c'!$L$7</c:f>
              <c:strCache>
                <c:ptCount val="1"/>
                <c:pt idx="0">
                  <c:v>P90 alt</c:v>
                </c:pt>
              </c:strCache>
            </c:strRef>
          </c:tx>
          <c:spPr>
            <a:ln w="28575" cap="rnd">
              <a:solidFill>
                <a:schemeClr val="accent2"/>
              </a:solidFill>
              <a:prstDash val="sysDash"/>
              <a:round/>
            </a:ln>
            <a:effectLst/>
          </c:spPr>
          <c:marker>
            <c:symbol val="none"/>
          </c:marker>
          <c:cat>
            <c:strRef>
              <c:f>'Informe nº3c'!$M$3:$X$3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nº3c'!$M$7:$X$7</c:f>
              <c:numCache>
                <c:formatCode>0.00</c:formatCode>
                <c:ptCount val="12"/>
                <c:pt idx="0">
                  <c:v>6.1626036643981932</c:v>
                </c:pt>
                <c:pt idx="1">
                  <c:v>6.806920051574707</c:v>
                </c:pt>
                <c:pt idx="2">
                  <c:v>5.994397449493408</c:v>
                </c:pt>
                <c:pt idx="3">
                  <c:v>3.3355598926544188</c:v>
                </c:pt>
                <c:pt idx="4">
                  <c:v>1.384639596939087</c:v>
                </c:pt>
                <c:pt idx="5">
                  <c:v>0.38648136258125304</c:v>
                </c:pt>
                <c:pt idx="6">
                  <c:v>0.19966451823711395</c:v>
                </c:pt>
                <c:pt idx="7">
                  <c:v>0.1401214599609375</c:v>
                </c:pt>
                <c:pt idx="8">
                  <c:v>0.1327563464641571</c:v>
                </c:pt>
                <c:pt idx="9">
                  <c:v>0.35272521972656251</c:v>
                </c:pt>
                <c:pt idx="10">
                  <c:v>2.3546849727630614</c:v>
                </c:pt>
                <c:pt idx="11">
                  <c:v>4.4821788787841799</c:v>
                </c:pt>
              </c:numCache>
            </c:numRef>
          </c:val>
          <c:smooth val="0"/>
          <c:extLst>
            <c:ext xmlns:c16="http://schemas.microsoft.com/office/drawing/2014/chart" uri="{C3380CC4-5D6E-409C-BE32-E72D297353CC}">
              <c16:uniqueId val="{00000003-1625-4FEF-9EC7-4AD52CA539C5}"/>
            </c:ext>
          </c:extLst>
        </c:ser>
        <c:dLbls>
          <c:showLegendKey val="0"/>
          <c:showVal val="0"/>
          <c:showCatName val="0"/>
          <c:showSerName val="0"/>
          <c:showPercent val="0"/>
          <c:showBubbleSize val="0"/>
        </c:dLbls>
        <c:smooth val="0"/>
        <c:axId val="1665810912"/>
        <c:axId val="1665808416"/>
      </c:lineChart>
      <c:catAx>
        <c:axId val="1665810912"/>
        <c:scaling>
          <c:orientation val="minMax"/>
        </c:scaling>
        <c:delete val="0"/>
        <c:axPos val="b"/>
        <c:numFmt formatCode="General" sourceLinked="1"/>
        <c:majorTickMark val="cross"/>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665808416"/>
        <c:crosses val="autoZero"/>
        <c:auto val="1"/>
        <c:lblAlgn val="ctr"/>
        <c:lblOffset val="100"/>
        <c:noMultiLvlLbl val="0"/>
      </c:catAx>
      <c:valAx>
        <c:axId val="1665808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Aportación mensual (hm</a:t>
                </a:r>
                <a:r>
                  <a:rPr lang="en-US" b="1" baseline="30000"/>
                  <a:t>3</a:t>
                </a: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E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665810912"/>
        <c:crosses val="autoZero"/>
        <c:crossBetween val="between"/>
      </c:valAx>
      <c:spPr>
        <a:noFill/>
        <a:ln>
          <a:noFill/>
        </a:ln>
        <a:effectLst/>
      </c:spPr>
    </c:plotArea>
    <c:legend>
      <c:legendPos val="b"/>
      <c:layout>
        <c:manualLayout>
          <c:xMode val="edge"/>
          <c:yMode val="edge"/>
          <c:x val="0.10222617704981359"/>
          <c:y val="0.89715715116773054"/>
          <c:w val="0.56176725609693001"/>
          <c:h val="6.5123456039828775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s-ES" sz="1400" b="1" i="1" u="none" strike="noStrike" baseline="0"/>
              <a:t>Relative Change (%) of the 10% Exceedance Percentiles</a:t>
            </a:r>
            <a:endParaRPr lang="es-ES" b="1" i="1"/>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3.4118443996537441E-2"/>
          <c:y val="0.26513741234333837"/>
          <c:w val="0.94654515043778897"/>
          <c:h val="0.64834227997329952"/>
        </c:manualLayout>
      </c:layout>
      <c:lineChart>
        <c:grouping val="standard"/>
        <c:varyColors val="0"/>
        <c:ser>
          <c:idx val="0"/>
          <c:order val="0"/>
          <c:tx>
            <c:v>" "</c:v>
          </c:tx>
          <c:spPr>
            <a:ln w="28575" cap="rnd">
              <a:solidFill>
                <a:schemeClr val="accent6">
                  <a:lumMod val="75000"/>
                </a:schemeClr>
              </a:solidFill>
              <a:round/>
            </a:ln>
            <a:effectLst/>
          </c:spPr>
          <c:marker>
            <c:symbol val="none"/>
          </c:marker>
          <c:cat>
            <c:strRef>
              <c:f>'Informe nº3c'!$M$11:$X$11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nº3c'!$M$12:$X$12</c:f>
              <c:numCache>
                <c:formatCode>0.00</c:formatCode>
                <c:ptCount val="12"/>
                <c:pt idx="0">
                  <c:v>-14.293001412001169</c:v>
                </c:pt>
                <c:pt idx="1">
                  <c:v>25.90812619843123</c:v>
                </c:pt>
                <c:pt idx="2">
                  <c:v>-21.666333536872241</c:v>
                </c:pt>
                <c:pt idx="3">
                  <c:v>-41.675637259865276</c:v>
                </c:pt>
                <c:pt idx="4">
                  <c:v>-67.010719608020722</c:v>
                </c:pt>
                <c:pt idx="5">
                  <c:v>-82.687855943804919</c:v>
                </c:pt>
                <c:pt idx="6">
                  <c:v>-73.212390558919751</c:v>
                </c:pt>
                <c:pt idx="7">
                  <c:v>-61.312185789375853</c:v>
                </c:pt>
                <c:pt idx="8">
                  <c:v>-73.229455337312288</c:v>
                </c:pt>
                <c:pt idx="9">
                  <c:v>-59.357265238354252</c:v>
                </c:pt>
                <c:pt idx="10">
                  <c:v>-61.076377364727939</c:v>
                </c:pt>
                <c:pt idx="11">
                  <c:v>-48.38230128294434</c:v>
                </c:pt>
              </c:numCache>
            </c:numRef>
          </c:val>
          <c:smooth val="0"/>
          <c:extLst>
            <c:ext xmlns:c16="http://schemas.microsoft.com/office/drawing/2014/chart" uri="{C3380CC4-5D6E-409C-BE32-E72D297353CC}">
              <c16:uniqueId val="{00000000-E14F-40D8-B0DF-7900C29A884A}"/>
            </c:ext>
          </c:extLst>
        </c:ser>
        <c:dLbls>
          <c:showLegendKey val="0"/>
          <c:showVal val="0"/>
          <c:showCatName val="0"/>
          <c:showSerName val="0"/>
          <c:showPercent val="0"/>
          <c:showBubbleSize val="0"/>
        </c:dLbls>
        <c:smooth val="0"/>
        <c:axId val="1992422032"/>
        <c:axId val="1992424112"/>
        <c:extLst>
          <c:ext xmlns:c15="http://schemas.microsoft.com/office/drawing/2012/chart" uri="{02D57815-91ED-43cb-92C2-25804820EDAC}">
            <c15:filteredLineSeries>
              <c15:ser>
                <c:idx val="1"/>
                <c:order val="1"/>
                <c:spPr>
                  <a:ln w="28575" cap="rnd">
                    <a:solidFill>
                      <a:schemeClr val="accent2"/>
                    </a:solidFill>
                    <a:round/>
                  </a:ln>
                  <a:effectLst/>
                </c:spPr>
                <c:marker>
                  <c:symbol val="none"/>
                </c:marker>
                <c:cat>
                  <c:strRef>
                    <c:extLst>
                      <c:ext uri="{02D57815-91ED-43cb-92C2-25804820EDAC}">
                        <c15:formulaRef>
                          <c15:sqref>'Informe nº3c'!$M$11:$X$11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Lit>
                    <c:formatCode>General</c:formatCode>
                    <c:ptCount val="12"/>
                  </c:numLit>
                </c:val>
                <c:smooth val="0"/>
                <c:extLst>
                  <c:ext xmlns:c16="http://schemas.microsoft.com/office/drawing/2014/chart" uri="{C3380CC4-5D6E-409C-BE32-E72D297353CC}">
                    <c16:uniqueId val="{00000001-E14F-40D8-B0DF-7900C29A884A}"/>
                  </c:ext>
                </c:extLst>
              </c15:ser>
            </c15:filteredLineSeries>
          </c:ext>
        </c:extLst>
      </c:lineChart>
      <c:catAx>
        <c:axId val="1992422032"/>
        <c:scaling>
          <c:orientation val="minMax"/>
        </c:scaling>
        <c:delete val="0"/>
        <c:axPos val="b"/>
        <c:numFmt formatCode="General" sourceLinked="1"/>
        <c:majorTickMark val="cross"/>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4112"/>
        <c:crosses val="autoZero"/>
        <c:auto val="1"/>
        <c:lblAlgn val="ctr"/>
        <c:lblOffset val="100"/>
        <c:noMultiLvlLbl val="0"/>
      </c:catAx>
      <c:valAx>
        <c:axId val="199242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1" i="1" u="none" strike="noStrike" baseline="0"/>
              <a:t>Relative Change (%) of the 90% Exceedance Percentiles</a:t>
            </a:r>
            <a:endParaRPr lang="es-E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3.4186056993866516E-2"/>
          <c:y val="0.2655087921336915"/>
          <c:w val="0.94643921821529242"/>
          <c:h val="0.64784971059508423"/>
        </c:manualLayout>
      </c:layout>
      <c:lineChart>
        <c:grouping val="standard"/>
        <c:varyColors val="0"/>
        <c:ser>
          <c:idx val="0"/>
          <c:order val="0"/>
          <c:tx>
            <c:v>" "</c:v>
          </c:tx>
          <c:spPr>
            <a:ln w="28575" cap="rnd">
              <a:solidFill>
                <a:schemeClr val="accent6">
                  <a:lumMod val="75000"/>
                </a:schemeClr>
              </a:solidFill>
              <a:round/>
            </a:ln>
            <a:effectLst/>
          </c:spPr>
          <c:marker>
            <c:symbol val="none"/>
          </c:marker>
          <c:cat>
            <c:strRef>
              <c:f>'Informe nº3c'!$M$11:$X$11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nº3c'!$M$13:$X$13</c:f>
              <c:numCache>
                <c:formatCode>0.00</c:formatCode>
                <c:ptCount val="12"/>
                <c:pt idx="0">
                  <c:v>-42.066702759708349</c:v>
                </c:pt>
                <c:pt idx="1">
                  <c:v>-26.106063667668845</c:v>
                </c:pt>
                <c:pt idx="2">
                  <c:v>-30.536344212048771</c:v>
                </c:pt>
                <c:pt idx="3">
                  <c:v>-68.409118469588535</c:v>
                </c:pt>
                <c:pt idx="4">
                  <c:v>-85.933908818237796</c:v>
                </c:pt>
                <c:pt idx="5">
                  <c:v>-89.548878887286378</c:v>
                </c:pt>
                <c:pt idx="6">
                  <c:v>-78.073279082360358</c:v>
                </c:pt>
                <c:pt idx="7">
                  <c:v>-66.804569110627298</c:v>
                </c:pt>
                <c:pt idx="8">
                  <c:v>-63.505526123901454</c:v>
                </c:pt>
                <c:pt idx="9">
                  <c:v>-79.86410500827165</c:v>
                </c:pt>
                <c:pt idx="10">
                  <c:v>-39.389063281474115</c:v>
                </c:pt>
                <c:pt idx="11">
                  <c:v>-57.387277510181612</c:v>
                </c:pt>
              </c:numCache>
            </c:numRef>
          </c:val>
          <c:smooth val="0"/>
          <c:extLst>
            <c:ext xmlns:c16="http://schemas.microsoft.com/office/drawing/2014/chart" uri="{C3380CC4-5D6E-409C-BE32-E72D297353CC}">
              <c16:uniqueId val="{00000000-4940-42F9-B555-BC16343E98BE}"/>
            </c:ext>
          </c:extLst>
        </c:ser>
        <c:dLbls>
          <c:showLegendKey val="0"/>
          <c:showVal val="0"/>
          <c:showCatName val="0"/>
          <c:showSerName val="0"/>
          <c:showPercent val="0"/>
          <c:showBubbleSize val="0"/>
        </c:dLbls>
        <c:smooth val="0"/>
        <c:axId val="1992422032"/>
        <c:axId val="1992424112"/>
        <c:extLst>
          <c:ext xmlns:c15="http://schemas.microsoft.com/office/drawing/2012/chart" uri="{02D57815-91ED-43cb-92C2-25804820EDAC}">
            <c15:filteredLineSeries>
              <c15:ser>
                <c:idx val="1"/>
                <c:order val="1"/>
                <c:spPr>
                  <a:ln w="28575" cap="rnd">
                    <a:solidFill>
                      <a:schemeClr val="accent2"/>
                    </a:solidFill>
                    <a:round/>
                  </a:ln>
                  <a:effectLst/>
                </c:spPr>
                <c:marker>
                  <c:symbol val="none"/>
                </c:marker>
                <c:cat>
                  <c:strRef>
                    <c:extLst>
                      <c:ext uri="{02D57815-91ED-43cb-92C2-25804820EDAC}">
                        <c15:formulaRef>
                          <c15:sqref>'Informe nº3c'!$M$11:$X$11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Lit>
                    <c:formatCode>General</c:formatCode>
                    <c:ptCount val="12"/>
                  </c:numLit>
                </c:val>
                <c:smooth val="0"/>
                <c:extLst>
                  <c:ext xmlns:c16="http://schemas.microsoft.com/office/drawing/2014/chart" uri="{C3380CC4-5D6E-409C-BE32-E72D297353CC}">
                    <c16:uniqueId val="{00000001-4940-42F9-B555-BC16343E98BE}"/>
                  </c:ext>
                </c:extLst>
              </c15:ser>
            </c15:filteredLineSeries>
          </c:ext>
        </c:extLst>
      </c:lineChart>
      <c:catAx>
        <c:axId val="1992422032"/>
        <c:scaling>
          <c:orientation val="minMax"/>
        </c:scaling>
        <c:delete val="0"/>
        <c:axPos val="b"/>
        <c:numFmt formatCode="General" sourceLinked="1"/>
        <c:majorTickMark val="cross"/>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4112"/>
        <c:crosses val="autoZero"/>
        <c:auto val="1"/>
        <c:lblAlgn val="ctr"/>
        <c:lblOffset val="100"/>
        <c:noMultiLvlLbl val="0"/>
      </c:catAx>
      <c:valAx>
        <c:axId val="199242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nº4'!$C$50</c:f>
          <c:strCache>
            <c:ptCount val="1"/>
            <c:pt idx="0">
              <c:v>Average nº of days per month with
 Q ≥ Q5%Nat_F</c:v>
            </c:pt>
          </c:strCache>
        </c:strRef>
      </c:tx>
      <c:layout>
        <c:manualLayout>
          <c:xMode val="edge"/>
          <c:yMode val="edge"/>
          <c:x val="0.11756046267087276"/>
          <c:y val="1.486988847583643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1"/>
          <c:order val="0"/>
          <c:tx>
            <c:strRef>
              <c:f>REPORTS!$AA$1</c:f>
              <c:strCache>
                <c:ptCount val="1"/>
                <c:pt idx="0">
                  <c:v>Nat_F</c:v>
                </c:pt>
              </c:strCache>
            </c:strRef>
          </c:tx>
          <c:spPr>
            <a:solidFill>
              <a:srgbClr val="1F497D">
                <a:lumMod val="60000"/>
                <a:lumOff val="40000"/>
              </a:srgbClr>
            </a:solidFill>
            <a:ln>
              <a:noFill/>
            </a:ln>
            <a:effectLst/>
          </c:spPr>
          <c:invertIfNegative val="0"/>
          <c:cat>
            <c:strRef>
              <c:extLst>
                <c:ext xmlns:c15="http://schemas.microsoft.com/office/drawing/2012/chart" uri="{02D57815-91ED-43cb-92C2-25804820EDAC}">
                  <c15:fullRef>
                    <c15:sqref>'Informe nº4'!$E$45:$Q$45</c15:sqref>
                  </c15:fullRef>
                </c:ext>
              </c:extLst>
              <c:f>'Informe nº4'!$E$45:$P$45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'Informe nº4'!$E$46:$Q$46</c15:sqref>
                  </c15:fullRef>
                </c:ext>
              </c:extLst>
              <c:f>'Informe nº4'!$E$46:$P$46</c:f>
              <c:numCache>
                <c:formatCode>0.0</c:formatCode>
                <c:ptCount val="12"/>
                <c:pt idx="0">
                  <c:v>4.3333334922790527</c:v>
                </c:pt>
                <c:pt idx="1">
                  <c:v>0.4285714328289032</c:v>
                </c:pt>
                <c:pt idx="2">
                  <c:v>0.4761904776096344</c:v>
                </c:pt>
                <c:pt idx="3">
                  <c:v>1.7619047164916992</c:v>
                </c:pt>
                <c:pt idx="4">
                  <c:v>3.7142856121063232</c:v>
                </c:pt>
                <c:pt idx="5">
                  <c:v>0</c:v>
                </c:pt>
                <c:pt idx="6">
                  <c:v>0</c:v>
                </c:pt>
                <c:pt idx="7">
                  <c:v>0</c:v>
                </c:pt>
                <c:pt idx="8">
                  <c:v>0</c:v>
                </c:pt>
                <c:pt idx="9">
                  <c:v>0</c:v>
                </c:pt>
                <c:pt idx="10">
                  <c:v>0.8095238208770752</c:v>
                </c:pt>
                <c:pt idx="11">
                  <c:v>7</c:v>
                </c:pt>
              </c:numCache>
            </c:numRef>
          </c:val>
          <c:extLst>
            <c:ext xmlns:c16="http://schemas.microsoft.com/office/drawing/2014/chart" uri="{C3380CC4-5D6E-409C-BE32-E72D297353CC}">
              <c16:uniqueId val="{00000000-567C-466C-9EF9-3F5D09CBBFE1}"/>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nº4'!$I$50</c:f>
          <c:strCache>
            <c:ptCount val="1"/>
            <c:pt idx="0">
              <c:v>Average nº of days per month with  Q ≤ Q95%Nat_F</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REPORTS!$AA$1</c:f>
              <c:strCache>
                <c:ptCount val="1"/>
                <c:pt idx="0">
                  <c:v>Nat_F</c:v>
                </c:pt>
              </c:strCache>
            </c:strRef>
          </c:tx>
          <c:spPr>
            <a:solidFill>
              <a:schemeClr val="accent1"/>
            </a:solidFill>
            <a:ln>
              <a:noFill/>
            </a:ln>
            <a:effectLst/>
          </c:spPr>
          <c:invertIfNegative val="0"/>
          <c:cat>
            <c:strRef>
              <c:f>'Informe nº4'!$E$45:$Q$45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nº4'!$E$47:$Q$47</c:f>
              <c:numCache>
                <c:formatCode>0.0</c:formatCode>
                <c:ptCount val="13"/>
                <c:pt idx="0">
                  <c:v>0</c:v>
                </c:pt>
                <c:pt idx="1">
                  <c:v>0</c:v>
                </c:pt>
                <c:pt idx="2">
                  <c:v>0</c:v>
                </c:pt>
                <c:pt idx="3">
                  <c:v>0</c:v>
                </c:pt>
                <c:pt idx="4">
                  <c:v>0</c:v>
                </c:pt>
                <c:pt idx="5">
                  <c:v>0</c:v>
                </c:pt>
                <c:pt idx="6">
                  <c:v>0</c:v>
                </c:pt>
                <c:pt idx="7">
                  <c:v>7.4761905670166016</c:v>
                </c:pt>
                <c:pt idx="8">
                  <c:v>13.333333015441895</c:v>
                </c:pt>
                <c:pt idx="9">
                  <c:v>4.76190485060215E-2</c:v>
                </c:pt>
                <c:pt idx="10">
                  <c:v>0</c:v>
                </c:pt>
                <c:pt idx="11">
                  <c:v>0</c:v>
                </c:pt>
              </c:numCache>
            </c:numRef>
          </c:val>
          <c:extLst>
            <c:ext xmlns:c16="http://schemas.microsoft.com/office/drawing/2014/chart" uri="{C3380CC4-5D6E-409C-BE32-E72D297353CC}">
              <c16:uniqueId val="{00000000-A714-441A-8EBD-573423016FB1}"/>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Average nº of days per month with Q=0</a:t>
            </a:r>
          </a:p>
          <a:p>
            <a:pPr>
              <a:defRPr/>
            </a:pPr>
            <a:endParaRPr lang="es-ES" sz="1200"/>
          </a:p>
        </c:rich>
      </c:tx>
      <c:layout>
        <c:manualLayout>
          <c:xMode val="edge"/>
          <c:yMode val="edge"/>
          <c:x val="0.15294117647058825"/>
          <c:y val="1.734820322180917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REPORTS!$AA$1</c:f>
              <c:strCache>
                <c:ptCount val="1"/>
                <c:pt idx="0">
                  <c:v>Nat_F</c:v>
                </c:pt>
              </c:strCache>
            </c:strRef>
          </c:tx>
          <c:spPr>
            <a:solidFill>
              <a:schemeClr val="accent1"/>
            </a:solidFill>
            <a:ln>
              <a:noFill/>
            </a:ln>
            <a:effectLst/>
          </c:spPr>
          <c:invertIfNegative val="0"/>
          <c:cat>
            <c:strRef>
              <c:extLst>
                <c:ext xmlns:c15="http://schemas.microsoft.com/office/drawing/2012/chart" uri="{02D57815-91ED-43cb-92C2-25804820EDAC}">
                  <c15:fullRef>
                    <c15:sqref>'Informe nº4'!$E$45:$Q$45</c15:sqref>
                  </c15:fullRef>
                </c:ext>
              </c:extLst>
              <c:f>'Informe nº4'!$E$45:$P$45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'Informe nº4'!$E$48:$Q$48</c15:sqref>
                  </c15:fullRef>
                </c:ext>
              </c:extLst>
              <c:f>'Informe nº4'!$E$48:$P$48</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4718-43F8-9BEB-C30643A3532B}"/>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nº5'!$C$50</c:f>
          <c:strCache>
            <c:ptCount val="1"/>
            <c:pt idx="0">
              <c:v>Average nº of days per month with
Q ≥ Q5%Nat_F</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nº5'!$F$85</c:f>
              <c:strCache>
                <c:ptCount val="1"/>
                <c:pt idx="0">
                  <c:v>NAT_F</c:v>
                </c:pt>
              </c:strCache>
            </c:strRef>
          </c:tx>
          <c:spPr>
            <a:solidFill>
              <a:schemeClr val="accent1"/>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nº4'!$E$46:$Q$46</c:f>
              <c:numCache>
                <c:formatCode>0.0</c:formatCode>
                <c:ptCount val="13"/>
                <c:pt idx="0">
                  <c:v>4.3333334922790527</c:v>
                </c:pt>
                <c:pt idx="1">
                  <c:v>0.4285714328289032</c:v>
                </c:pt>
                <c:pt idx="2">
                  <c:v>0.4761904776096344</c:v>
                </c:pt>
                <c:pt idx="3">
                  <c:v>1.7619047164916992</c:v>
                </c:pt>
                <c:pt idx="4">
                  <c:v>3.7142856121063232</c:v>
                </c:pt>
                <c:pt idx="5">
                  <c:v>0</c:v>
                </c:pt>
                <c:pt idx="6">
                  <c:v>0</c:v>
                </c:pt>
                <c:pt idx="7">
                  <c:v>0</c:v>
                </c:pt>
                <c:pt idx="8">
                  <c:v>0</c:v>
                </c:pt>
                <c:pt idx="9">
                  <c:v>0</c:v>
                </c:pt>
                <c:pt idx="10">
                  <c:v>0.8095238208770752</c:v>
                </c:pt>
                <c:pt idx="11">
                  <c:v>7</c:v>
                </c:pt>
              </c:numCache>
            </c:numRef>
          </c:val>
          <c:extLst>
            <c:ext xmlns:c16="http://schemas.microsoft.com/office/drawing/2014/chart" uri="{C3380CC4-5D6E-409C-BE32-E72D297353CC}">
              <c16:uniqueId val="{00000000-BC27-4EAF-B5CB-7B05C0326DDE}"/>
            </c:ext>
          </c:extLst>
        </c:ser>
        <c:ser>
          <c:idx val="1"/>
          <c:order val="1"/>
          <c:tx>
            <c:strRef>
              <c:f>'Informe nº5'!$G$85</c:f>
              <c:strCache>
                <c:ptCount val="1"/>
                <c:pt idx="0">
                  <c:v>ALT_F</c:v>
                </c:pt>
              </c:strCache>
            </c:strRef>
          </c:tx>
          <c:spPr>
            <a:solidFill>
              <a:schemeClr val="accent2"/>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nº5'!$E$46:$Q$46</c:f>
              <c:numCache>
                <c:formatCode>0.0</c:formatCode>
                <c:ptCount val="13"/>
                <c:pt idx="0">
                  <c:v>1.3809523582458496</c:v>
                </c:pt>
                <c:pt idx="1">
                  <c:v>2.7619047164916992</c:v>
                </c:pt>
                <c:pt idx="2">
                  <c:v>0.2380952388048172</c:v>
                </c:pt>
                <c:pt idx="3">
                  <c:v>0</c:v>
                </c:pt>
                <c:pt idx="4">
                  <c:v>0</c:v>
                </c:pt>
                <c:pt idx="5">
                  <c:v>0</c:v>
                </c:pt>
                <c:pt idx="6">
                  <c:v>0</c:v>
                </c:pt>
                <c:pt idx="7">
                  <c:v>0</c:v>
                </c:pt>
                <c:pt idx="8">
                  <c:v>0</c:v>
                </c:pt>
                <c:pt idx="9">
                  <c:v>0</c:v>
                </c:pt>
                <c:pt idx="10">
                  <c:v>0</c:v>
                </c:pt>
                <c:pt idx="11">
                  <c:v>4.76190485060215E-2</c:v>
                </c:pt>
              </c:numCache>
            </c:numRef>
          </c:val>
          <c:extLst>
            <c:ext xmlns:c16="http://schemas.microsoft.com/office/drawing/2014/chart" uri="{C3380CC4-5D6E-409C-BE32-E72D297353CC}">
              <c16:uniqueId val="{00000001-BC27-4EAF-B5CB-7B05C0326DDE}"/>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nº5'!$H$50</c:f>
          <c:strCache>
            <c:ptCount val="1"/>
            <c:pt idx="0">
              <c:v>Average nº of days per month with Q≤Q95%Nat_F</c:v>
            </c:pt>
          </c:strCache>
        </c:strRef>
      </c:tx>
      <c:layout>
        <c:manualLayout>
          <c:xMode val="edge"/>
          <c:yMode val="edge"/>
          <c:x val="0.13945304155592539"/>
          <c:y val="1.734820322180917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nº5'!$F$85</c:f>
              <c:strCache>
                <c:ptCount val="1"/>
                <c:pt idx="0">
                  <c:v>NAT_F</c:v>
                </c:pt>
              </c:strCache>
            </c:strRef>
          </c:tx>
          <c:spPr>
            <a:solidFill>
              <a:schemeClr val="accent1"/>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nº4'!$E$47:$Q$47</c:f>
              <c:numCache>
                <c:formatCode>0.0</c:formatCode>
                <c:ptCount val="13"/>
                <c:pt idx="0">
                  <c:v>0</c:v>
                </c:pt>
                <c:pt idx="1">
                  <c:v>0</c:v>
                </c:pt>
                <c:pt idx="2">
                  <c:v>0</c:v>
                </c:pt>
                <c:pt idx="3">
                  <c:v>0</c:v>
                </c:pt>
                <c:pt idx="4">
                  <c:v>0</c:v>
                </c:pt>
                <c:pt idx="5">
                  <c:v>0</c:v>
                </c:pt>
                <c:pt idx="6">
                  <c:v>0</c:v>
                </c:pt>
                <c:pt idx="7">
                  <c:v>7.4761905670166016</c:v>
                </c:pt>
                <c:pt idx="8">
                  <c:v>13.333333015441895</c:v>
                </c:pt>
                <c:pt idx="9">
                  <c:v>4.76190485060215E-2</c:v>
                </c:pt>
                <c:pt idx="10">
                  <c:v>0</c:v>
                </c:pt>
                <c:pt idx="11">
                  <c:v>0</c:v>
                </c:pt>
              </c:numCache>
            </c:numRef>
          </c:val>
          <c:extLst>
            <c:ext xmlns:c16="http://schemas.microsoft.com/office/drawing/2014/chart" uri="{C3380CC4-5D6E-409C-BE32-E72D297353CC}">
              <c16:uniqueId val="{00000000-AC8E-4368-AD76-77B97293652E}"/>
            </c:ext>
          </c:extLst>
        </c:ser>
        <c:ser>
          <c:idx val="1"/>
          <c:order val="1"/>
          <c:tx>
            <c:strRef>
              <c:f>'Informe nº5'!$G$85</c:f>
              <c:strCache>
                <c:ptCount val="1"/>
                <c:pt idx="0">
                  <c:v>ALT_F</c:v>
                </c:pt>
              </c:strCache>
            </c:strRef>
          </c:tx>
          <c:spPr>
            <a:solidFill>
              <a:schemeClr val="accent2"/>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nº5'!$E$47:$Q$47</c:f>
              <c:numCache>
                <c:formatCode>0.0</c:formatCode>
                <c:ptCount val="13"/>
                <c:pt idx="0">
                  <c:v>0</c:v>
                </c:pt>
                <c:pt idx="1">
                  <c:v>0</c:v>
                </c:pt>
                <c:pt idx="2">
                  <c:v>0</c:v>
                </c:pt>
                <c:pt idx="3">
                  <c:v>0</c:v>
                </c:pt>
                <c:pt idx="4">
                  <c:v>0</c:v>
                </c:pt>
                <c:pt idx="5">
                  <c:v>4.7619047164916992</c:v>
                </c:pt>
                <c:pt idx="6">
                  <c:v>26.476190567016602</c:v>
                </c:pt>
                <c:pt idx="7">
                  <c:v>30.952381134033203</c:v>
                </c:pt>
                <c:pt idx="8">
                  <c:v>29.285715103149414</c:v>
                </c:pt>
                <c:pt idx="9">
                  <c:v>13.095237731933594</c:v>
                </c:pt>
                <c:pt idx="10">
                  <c:v>0.1428571492433548</c:v>
                </c:pt>
                <c:pt idx="11">
                  <c:v>0</c:v>
                </c:pt>
              </c:numCache>
            </c:numRef>
          </c:val>
          <c:extLst>
            <c:ext xmlns:c16="http://schemas.microsoft.com/office/drawing/2014/chart" uri="{C3380CC4-5D6E-409C-BE32-E72D297353CC}">
              <c16:uniqueId val="{00000001-AC8E-4368-AD76-77B97293652E}"/>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r>
              <a:rPr lang="es-ES" sz="1200" b="0" i="0" u="none" strike="noStrike" kern="1200" cap="none" spc="0" normalizeH="0" baseline="0">
                <a:solidFill>
                  <a:sysClr val="windowText" lastClr="000000">
                    <a:lumMod val="65000"/>
                    <a:lumOff val="35000"/>
                  </a:sysClr>
                </a:solidFill>
              </a:rPr>
              <a:t>Average nº of days per month </a:t>
            </a:r>
          </a:p>
          <a:p>
            <a:pPr>
              <a:defRPr sz="1200"/>
            </a:pPr>
            <a:r>
              <a:rPr lang="es-ES" sz="1200" b="0" i="0" u="none" strike="noStrike" kern="1200" cap="none" spc="0" normalizeH="0" baseline="0">
                <a:solidFill>
                  <a:sysClr val="windowText" lastClr="000000">
                    <a:lumMod val="65000"/>
                    <a:lumOff val="35000"/>
                  </a:sysClr>
                </a:solidFill>
              </a:rPr>
              <a:t>with Q=0</a:t>
            </a:r>
          </a:p>
        </c:rich>
      </c:tx>
      <c:layout>
        <c:manualLayout>
          <c:xMode val="edge"/>
          <c:yMode val="edge"/>
          <c:x val="0.11792413545206074"/>
          <c:y val="1.486988847583643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nº5'!$F$85</c:f>
              <c:strCache>
                <c:ptCount val="1"/>
                <c:pt idx="0">
                  <c:v>NAT_F</c:v>
                </c:pt>
              </c:strCache>
            </c:strRef>
          </c:tx>
          <c:spPr>
            <a:solidFill>
              <a:schemeClr val="accent1"/>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nº4'!$E$48:$Q$48</c:f>
              <c:numCache>
                <c:formatCode>0.0</c:formatCode>
                <c:ptCount val="13"/>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147C-4995-B5C1-035CD06AF7C6}"/>
            </c:ext>
          </c:extLst>
        </c:ser>
        <c:ser>
          <c:idx val="1"/>
          <c:order val="1"/>
          <c:tx>
            <c:strRef>
              <c:f>'Informe nº5'!$G$85</c:f>
              <c:strCache>
                <c:ptCount val="1"/>
                <c:pt idx="0">
                  <c:v>ALT_F</c:v>
                </c:pt>
              </c:strCache>
            </c:strRef>
          </c:tx>
          <c:spPr>
            <a:solidFill>
              <a:schemeClr val="accent2"/>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nº5'!$E$48:$Q$48</c:f>
              <c:numCache>
                <c:formatCode>0.0</c:formatCode>
                <c:ptCount val="13"/>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147C-4995-B5C1-035CD06AF7C6}"/>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nº5'!$S$45:$U$45</c:f>
          <c:strCache>
            <c:ptCount val="3"/>
            <c:pt idx="0">
              <c:v>STATIONALITY: Difference Alt_F - Nat_F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nº5'!$S$46:$U$46</c:f>
              <c:strCache>
                <c:ptCount val="3"/>
                <c:pt idx="0">
                  <c:v>AVERAGE Nº OF DAYS PER MONTH WITH Q≥Q5%NAT_F</c:v>
                </c:pt>
              </c:strCache>
            </c:strRef>
          </c:tx>
          <c:spPr>
            <a:ln w="28575" cap="rnd">
              <a:solidFill>
                <a:srgbClr val="00B050"/>
              </a:solidFill>
              <a:round/>
            </a:ln>
            <a:effectLst/>
          </c:spPr>
          <c:marker>
            <c:symbol val="none"/>
          </c:marker>
          <c:cat>
            <c:strRef>
              <c:f>'Informe nº5'!$V$45:$AG$45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nº5'!$V$46:$AG$46</c:f>
              <c:numCache>
                <c:formatCode>0.0</c:formatCode>
                <c:ptCount val="12"/>
                <c:pt idx="0">
                  <c:v>-2.9523811340332031</c:v>
                </c:pt>
                <c:pt idx="1">
                  <c:v>2.333333283662796</c:v>
                </c:pt>
                <c:pt idx="2">
                  <c:v>-0.2380952388048172</c:v>
                </c:pt>
                <c:pt idx="3">
                  <c:v>-1.7619047164916992</c:v>
                </c:pt>
                <c:pt idx="4">
                  <c:v>-3.7142856121063232</c:v>
                </c:pt>
                <c:pt idx="5">
                  <c:v>0</c:v>
                </c:pt>
                <c:pt idx="6">
                  <c:v>0</c:v>
                </c:pt>
                <c:pt idx="7">
                  <c:v>0</c:v>
                </c:pt>
                <c:pt idx="8">
                  <c:v>0</c:v>
                </c:pt>
                <c:pt idx="9">
                  <c:v>0</c:v>
                </c:pt>
                <c:pt idx="10">
                  <c:v>-0.8095238208770752</c:v>
                </c:pt>
                <c:pt idx="11">
                  <c:v>-6.9523809514939785</c:v>
                </c:pt>
              </c:numCache>
            </c:numRef>
          </c:val>
          <c:smooth val="0"/>
          <c:extLst>
            <c:ext xmlns:c16="http://schemas.microsoft.com/office/drawing/2014/chart" uri="{C3380CC4-5D6E-409C-BE32-E72D297353CC}">
              <c16:uniqueId val="{00000000-D680-489E-B2F0-7BFBD7247580}"/>
            </c:ext>
          </c:extLst>
        </c:ser>
        <c:ser>
          <c:idx val="1"/>
          <c:order val="1"/>
          <c:tx>
            <c:strRef>
              <c:f>'Informe nº5'!$S$47:$U$47</c:f>
              <c:strCache>
                <c:ptCount val="3"/>
                <c:pt idx="0">
                  <c:v>AVERAGE Nº OF DAYS PER MONTH WITH Q≤Q95%NAT_F</c:v>
                </c:pt>
              </c:strCache>
            </c:strRef>
          </c:tx>
          <c:spPr>
            <a:ln w="28575" cap="rnd">
              <a:solidFill>
                <a:schemeClr val="accent6">
                  <a:lumMod val="75000"/>
                </a:schemeClr>
              </a:solidFill>
              <a:round/>
            </a:ln>
            <a:effectLst/>
          </c:spPr>
          <c:marker>
            <c:symbol val="none"/>
          </c:marker>
          <c:cat>
            <c:strRef>
              <c:f>'Informe nº5'!$V$45:$AG$45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nº5'!$V$47:$AG$47</c:f>
              <c:numCache>
                <c:formatCode>0.0</c:formatCode>
                <c:ptCount val="12"/>
                <c:pt idx="0">
                  <c:v>0</c:v>
                </c:pt>
                <c:pt idx="1">
                  <c:v>0</c:v>
                </c:pt>
                <c:pt idx="2">
                  <c:v>0</c:v>
                </c:pt>
                <c:pt idx="3">
                  <c:v>0</c:v>
                </c:pt>
                <c:pt idx="4">
                  <c:v>0</c:v>
                </c:pt>
                <c:pt idx="5">
                  <c:v>4.7619047164916992</c:v>
                </c:pt>
                <c:pt idx="6">
                  <c:v>26.476190567016602</c:v>
                </c:pt>
                <c:pt idx="7">
                  <c:v>23.476190567016602</c:v>
                </c:pt>
                <c:pt idx="8">
                  <c:v>15.95238208770752</c:v>
                </c:pt>
                <c:pt idx="9">
                  <c:v>13.047618683427572</c:v>
                </c:pt>
                <c:pt idx="10">
                  <c:v>0.1428571492433548</c:v>
                </c:pt>
                <c:pt idx="11">
                  <c:v>0</c:v>
                </c:pt>
              </c:numCache>
            </c:numRef>
          </c:val>
          <c:smooth val="0"/>
          <c:extLst>
            <c:ext xmlns:c16="http://schemas.microsoft.com/office/drawing/2014/chart" uri="{C3380CC4-5D6E-409C-BE32-E72D297353CC}">
              <c16:uniqueId val="{00000001-D680-489E-B2F0-7BFBD7247580}"/>
            </c:ext>
          </c:extLst>
        </c:ser>
        <c:ser>
          <c:idx val="2"/>
          <c:order val="2"/>
          <c:tx>
            <c:strRef>
              <c:f>'Informe nº5'!$S$48:$U$48</c:f>
              <c:strCache>
                <c:ptCount val="3"/>
                <c:pt idx="0">
                  <c:v>AVERAGE Nº OF DAYS WITH  Q ZERO</c:v>
                </c:pt>
              </c:strCache>
            </c:strRef>
          </c:tx>
          <c:spPr>
            <a:ln w="28575" cap="rnd">
              <a:solidFill>
                <a:srgbClr val="FFC000"/>
              </a:solidFill>
              <a:round/>
            </a:ln>
            <a:effectLst/>
          </c:spPr>
          <c:marker>
            <c:symbol val="none"/>
          </c:marker>
          <c:cat>
            <c:strRef>
              <c:f>'Informe nº5'!$V$45:$AG$45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nº5'!$V$48:$AG$48</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D680-489E-B2F0-7BFBD7247580}"/>
            </c:ext>
          </c:extLst>
        </c:ser>
        <c:dLbls>
          <c:showLegendKey val="0"/>
          <c:showVal val="0"/>
          <c:showCatName val="0"/>
          <c:showSerName val="0"/>
          <c:showPercent val="0"/>
          <c:showBubbleSize val="0"/>
        </c:dLbls>
        <c:smooth val="0"/>
        <c:axId val="981350880"/>
        <c:axId val="981346944"/>
      </c:lineChart>
      <c:catAx>
        <c:axId val="98135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46944"/>
        <c:crossesAt val="0"/>
        <c:auto val="1"/>
        <c:lblAlgn val="ctr"/>
        <c:lblOffset val="100"/>
        <c:noMultiLvlLbl val="0"/>
      </c:catAx>
      <c:valAx>
        <c:axId val="9813469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50880"/>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3175" cap="flat" cmpd="sng" algn="ctr">
      <a:solidFill>
        <a:srgbClr val="0066FF"/>
      </a:solidFill>
      <a:round/>
    </a:ln>
    <a:effectLst/>
  </c:spPr>
  <c:txPr>
    <a:bodyPr/>
    <a:lstStyle/>
    <a:p>
      <a:pPr>
        <a:defRPr/>
      </a:pPr>
      <a:endParaRPr lang="es-E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 6'!$C$42</c:f>
          <c:strCache>
            <c:ptCount val="1"/>
            <c:pt idx="0">
              <c:v>RATED FLOW CURVE. NATURAL FLOW</c:v>
            </c:pt>
          </c:strCache>
        </c:strRef>
      </c:tx>
      <c:layout>
        <c:manualLayout>
          <c:xMode val="edge"/>
          <c:yMode val="edge"/>
          <c:x val="0.22008862629246675"/>
          <c:y val="3.1460830909649809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v>RÉGIMEN NATURAL</c:v>
          </c:tx>
          <c:spPr>
            <a:ln w="25400">
              <a:solidFill>
                <a:srgbClr val="0000FF"/>
              </a:solidFill>
              <a:prstDash val="solid"/>
            </a:ln>
          </c:spPr>
          <c:marker>
            <c:symbol val="none"/>
          </c:marker>
          <c:xVal>
            <c:numRef>
              <c:f>'Informe nº 6'!$E$18:$E$40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 6'!$F$18:$F$40</c:f>
              <c:numCache>
                <c:formatCode>0.00</c:formatCode>
                <c:ptCount val="23"/>
                <c:pt idx="0">
                  <c:v>8.5795046520233189</c:v>
                </c:pt>
                <c:pt idx="1">
                  <c:v>8.211554317474361</c:v>
                </c:pt>
                <c:pt idx="2">
                  <c:v>6.8822472572326649</c:v>
                </c:pt>
                <c:pt idx="3">
                  <c:v>6.1284955024719245</c:v>
                </c:pt>
                <c:pt idx="4">
                  <c:v>5.6725666046142571</c:v>
                </c:pt>
                <c:pt idx="5">
                  <c:v>5.3030953407287598</c:v>
                </c:pt>
                <c:pt idx="6">
                  <c:v>4.9659044742584229</c:v>
                </c:pt>
                <c:pt idx="7">
                  <c:v>4.685971736907959</c:v>
                </c:pt>
                <c:pt idx="8">
                  <c:v>4.3629427433013914</c:v>
                </c:pt>
                <c:pt idx="9">
                  <c:v>4.0462668418884276</c:v>
                </c:pt>
                <c:pt idx="10">
                  <c:v>3.7285141944885254</c:v>
                </c:pt>
                <c:pt idx="11">
                  <c:v>3.3207619190216064</c:v>
                </c:pt>
                <c:pt idx="12">
                  <c:v>2.792437958717346</c:v>
                </c:pt>
                <c:pt idx="13">
                  <c:v>1.9749999761581423</c:v>
                </c:pt>
                <c:pt idx="14">
                  <c:v>1.390375208854675</c:v>
                </c:pt>
                <c:pt idx="15">
                  <c:v>0.94160853624343899</c:v>
                </c:pt>
                <c:pt idx="16">
                  <c:v>0.6150762140750885</c:v>
                </c:pt>
                <c:pt idx="17">
                  <c:v>0.39250190258026113</c:v>
                </c:pt>
                <c:pt idx="18">
                  <c:v>0.2585333198308945</c:v>
                </c:pt>
                <c:pt idx="19">
                  <c:v>0.19184284806251525</c:v>
                </c:pt>
                <c:pt idx="20">
                  <c:v>0.15465763509273531</c:v>
                </c:pt>
                <c:pt idx="21">
                  <c:v>0.1258209538459778</c:v>
                </c:pt>
                <c:pt idx="22">
                  <c:v>0.11998990334570409</c:v>
                </c:pt>
              </c:numCache>
            </c:numRef>
          </c:yVal>
          <c:smooth val="1"/>
          <c:extLst>
            <c:ext xmlns:c16="http://schemas.microsoft.com/office/drawing/2014/chart" uri="{C3380CC4-5D6E-409C-BE32-E72D297353CC}">
              <c16:uniqueId val="{00000000-B31E-4E71-A1AB-290096AFE6E8}"/>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42688329887967541"/>
              <c:y val="0.8808997539004730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 6a'!$C$42</c:f>
          <c:strCache>
            <c:ptCount val="1"/>
            <c:pt idx="0">
              <c:v>RATED FLOW CURVE. ALTERED FLOW</c:v>
            </c:pt>
          </c:strCache>
        </c:strRef>
      </c:tx>
      <c:layout>
        <c:manualLayout>
          <c:xMode val="edge"/>
          <c:yMode val="edge"/>
          <c:x val="0.21676910510667491"/>
          <c:y val="3.1460841588349844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v>Régimen alterado</c:v>
          </c:tx>
          <c:spPr>
            <a:ln w="25400">
              <a:solidFill>
                <a:srgbClr val="FF0000"/>
              </a:solidFill>
              <a:prstDash val="solid"/>
            </a:ln>
          </c:spPr>
          <c:marker>
            <c:symbol val="none"/>
          </c:marker>
          <c:xVal>
            <c:numRef>
              <c:f>'Informe nº 6a'!$E$18:$E$40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 6a'!$F$18:$F$40</c:f>
              <c:numCache>
                <c:formatCode>0.00</c:formatCode>
                <c:ptCount val="23"/>
                <c:pt idx="0">
                  <c:v>6.7730229187011766</c:v>
                </c:pt>
                <c:pt idx="1">
                  <c:v>6.4699947738647419</c:v>
                </c:pt>
                <c:pt idx="2">
                  <c:v>5.2555333137512203</c:v>
                </c:pt>
                <c:pt idx="3">
                  <c:v>4.5649522781372083</c:v>
                </c:pt>
                <c:pt idx="4">
                  <c:v>3.9982052087783804</c:v>
                </c:pt>
                <c:pt idx="5">
                  <c:v>3.415447330474854</c:v>
                </c:pt>
                <c:pt idx="6">
                  <c:v>2.9222614765167236</c:v>
                </c:pt>
                <c:pt idx="7">
                  <c:v>2.4889334201812741</c:v>
                </c:pt>
                <c:pt idx="8">
                  <c:v>2.1204906463623048</c:v>
                </c:pt>
                <c:pt idx="9">
                  <c:v>1.8078953504562376</c:v>
                </c:pt>
                <c:pt idx="10">
                  <c:v>1.4833919644355775</c:v>
                </c:pt>
                <c:pt idx="11">
                  <c:v>1.165357232093811</c:v>
                </c:pt>
                <c:pt idx="12">
                  <c:v>0.77912665605545006</c:v>
                </c:pt>
                <c:pt idx="13">
                  <c:v>0.44463809728622444</c:v>
                </c:pt>
                <c:pt idx="14">
                  <c:v>0.26924380064010617</c:v>
                </c:pt>
                <c:pt idx="15">
                  <c:v>0.17793836593627935</c:v>
                </c:pt>
                <c:pt idx="16">
                  <c:v>0.12717024981975555</c:v>
                </c:pt>
                <c:pt idx="17">
                  <c:v>9.9078476428985582E-2</c:v>
                </c:pt>
                <c:pt idx="18">
                  <c:v>8.174913451075555E-2</c:v>
                </c:pt>
                <c:pt idx="19">
                  <c:v>7.0125046372413624E-2</c:v>
                </c:pt>
                <c:pt idx="20">
                  <c:v>5.9231094643473634E-2</c:v>
                </c:pt>
                <c:pt idx="21">
                  <c:v>4.8281905874609947E-2</c:v>
                </c:pt>
                <c:pt idx="22">
                  <c:v>4.6310820467770103E-2</c:v>
                </c:pt>
              </c:numCache>
            </c:numRef>
          </c:yVal>
          <c:smooth val="1"/>
          <c:extLst>
            <c:ext xmlns:c16="http://schemas.microsoft.com/office/drawing/2014/chart" uri="{C3380CC4-5D6E-409C-BE32-E72D297353CC}">
              <c16:uniqueId val="{00000000-1B8B-4E8D-820D-E00177A28A3D}"/>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34845187443224862"/>
              <c:y val="0.8808997237790691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nº6b'!$C$42</c:f>
          <c:strCache>
            <c:ptCount val="1"/>
            <c:pt idx="0">
              <c:v>RATED FLOW CURVE. NATURAL FLOW Y ALTERED FLOW</c:v>
            </c:pt>
          </c:strCache>
        </c:strRef>
      </c:tx>
      <c:layout>
        <c:manualLayout>
          <c:xMode val="edge"/>
          <c:yMode val="edge"/>
          <c:x val="0.22008862629246675"/>
          <c:y val="3.1460830909649809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strRef>
              <c:f>'Informe nº6b'!$E$17</c:f>
              <c:strCache>
                <c:ptCount val="1"/>
                <c:pt idx="0">
                  <c:v>NAT_F</c:v>
                </c:pt>
              </c:strCache>
            </c:strRef>
          </c:tx>
          <c:marker>
            <c:symbol val="none"/>
          </c:marker>
          <c:xVal>
            <c:numRef>
              <c:f>'Informe nº6b'!$D$18:$D$40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nº6b'!$E$18:$E$40</c:f>
              <c:numCache>
                <c:formatCode>0.00</c:formatCode>
                <c:ptCount val="23"/>
                <c:pt idx="0">
                  <c:v>8.5795046520233189</c:v>
                </c:pt>
                <c:pt idx="1">
                  <c:v>8.211554317474361</c:v>
                </c:pt>
                <c:pt idx="2">
                  <c:v>6.8822472572326649</c:v>
                </c:pt>
                <c:pt idx="3">
                  <c:v>6.1284955024719245</c:v>
                </c:pt>
                <c:pt idx="4">
                  <c:v>5.6725666046142571</c:v>
                </c:pt>
                <c:pt idx="5">
                  <c:v>5.3030953407287598</c:v>
                </c:pt>
                <c:pt idx="6">
                  <c:v>4.9659044742584229</c:v>
                </c:pt>
                <c:pt idx="7">
                  <c:v>4.685971736907959</c:v>
                </c:pt>
                <c:pt idx="8">
                  <c:v>4.3629427433013914</c:v>
                </c:pt>
                <c:pt idx="9">
                  <c:v>4.0462668418884276</c:v>
                </c:pt>
                <c:pt idx="10">
                  <c:v>3.7285141944885254</c:v>
                </c:pt>
                <c:pt idx="11">
                  <c:v>3.3207619190216064</c:v>
                </c:pt>
                <c:pt idx="12">
                  <c:v>2.792437958717346</c:v>
                </c:pt>
                <c:pt idx="13">
                  <c:v>1.9749999761581423</c:v>
                </c:pt>
                <c:pt idx="14">
                  <c:v>1.390375208854675</c:v>
                </c:pt>
                <c:pt idx="15">
                  <c:v>0.94160853624343899</c:v>
                </c:pt>
                <c:pt idx="16">
                  <c:v>0.6150762140750885</c:v>
                </c:pt>
                <c:pt idx="17">
                  <c:v>0.39250190258026113</c:v>
                </c:pt>
                <c:pt idx="18">
                  <c:v>0.2585333198308945</c:v>
                </c:pt>
                <c:pt idx="19">
                  <c:v>0.19184284806251525</c:v>
                </c:pt>
                <c:pt idx="20">
                  <c:v>0.15465763509273531</c:v>
                </c:pt>
                <c:pt idx="21">
                  <c:v>0.1258209538459778</c:v>
                </c:pt>
                <c:pt idx="22">
                  <c:v>0.11998990334570409</c:v>
                </c:pt>
              </c:numCache>
            </c:numRef>
          </c:yVal>
          <c:smooth val="1"/>
          <c:extLst>
            <c:ext xmlns:c16="http://schemas.microsoft.com/office/drawing/2014/chart" uri="{C3380CC4-5D6E-409C-BE32-E72D297353CC}">
              <c16:uniqueId val="{00000000-9A2D-4D4F-8294-436D5BD42E1A}"/>
            </c:ext>
          </c:extLst>
        </c:ser>
        <c:ser>
          <c:idx val="1"/>
          <c:order val="1"/>
          <c:tx>
            <c:strRef>
              <c:f>'Informe nº6b'!$F$17</c:f>
              <c:strCache>
                <c:ptCount val="1"/>
                <c:pt idx="0">
                  <c:v>ALT_F</c:v>
                </c:pt>
              </c:strCache>
            </c:strRef>
          </c:tx>
          <c:marker>
            <c:symbol val="none"/>
          </c:marker>
          <c:xVal>
            <c:numRef>
              <c:f>'Informe nº6b'!$D$18:$D$40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nº6b'!$F$18:$F$40</c:f>
              <c:numCache>
                <c:formatCode>0.00</c:formatCode>
                <c:ptCount val="23"/>
                <c:pt idx="0">
                  <c:v>6.7730229187011766</c:v>
                </c:pt>
                <c:pt idx="1">
                  <c:v>6.4699947738647419</c:v>
                </c:pt>
                <c:pt idx="2">
                  <c:v>5.2555333137512203</c:v>
                </c:pt>
                <c:pt idx="3">
                  <c:v>4.5649522781372083</c:v>
                </c:pt>
                <c:pt idx="4">
                  <c:v>3.9982052087783804</c:v>
                </c:pt>
                <c:pt idx="5">
                  <c:v>3.415447330474854</c:v>
                </c:pt>
                <c:pt idx="6">
                  <c:v>2.9222614765167236</c:v>
                </c:pt>
                <c:pt idx="7">
                  <c:v>2.4889334201812741</c:v>
                </c:pt>
                <c:pt idx="8">
                  <c:v>2.1204906463623048</c:v>
                </c:pt>
                <c:pt idx="9">
                  <c:v>1.8078953504562376</c:v>
                </c:pt>
                <c:pt idx="10">
                  <c:v>1.4833919644355775</c:v>
                </c:pt>
                <c:pt idx="11">
                  <c:v>1.165357232093811</c:v>
                </c:pt>
                <c:pt idx="12">
                  <c:v>0.77912665605545006</c:v>
                </c:pt>
                <c:pt idx="13">
                  <c:v>0.44463809728622444</c:v>
                </c:pt>
                <c:pt idx="14">
                  <c:v>0.26924380064010617</c:v>
                </c:pt>
                <c:pt idx="15">
                  <c:v>0.17793836593627935</c:v>
                </c:pt>
                <c:pt idx="16">
                  <c:v>0.12717024981975555</c:v>
                </c:pt>
                <c:pt idx="17">
                  <c:v>9.9078476428985582E-2</c:v>
                </c:pt>
                <c:pt idx="18">
                  <c:v>8.174913451075555E-2</c:v>
                </c:pt>
                <c:pt idx="19">
                  <c:v>7.0125046372413624E-2</c:v>
                </c:pt>
                <c:pt idx="20">
                  <c:v>5.9231094643473634E-2</c:v>
                </c:pt>
                <c:pt idx="21">
                  <c:v>4.8281905874609947E-2</c:v>
                </c:pt>
                <c:pt idx="22">
                  <c:v>4.6310820467770103E-2</c:v>
                </c:pt>
              </c:numCache>
            </c:numRef>
          </c:yVal>
          <c:smooth val="1"/>
          <c:extLst>
            <c:ext xmlns:c16="http://schemas.microsoft.com/office/drawing/2014/chart" uri="{C3380CC4-5D6E-409C-BE32-E72D297353CC}">
              <c16:uniqueId val="{00000001-9A2D-4D4F-8294-436D5BD42E1A}"/>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31926810790238086"/>
              <c:y val="0.87798851562768643"/>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26141516852117153"/>
          <c:y val="0.92293249528019528"/>
          <c:w val="0.45599635202918376"/>
          <c:h val="7.4156265401322655E-2"/>
        </c:manualLayout>
      </c:layout>
      <c:overlay val="0"/>
      <c:spPr>
        <a:solidFill>
          <a:srgbClr val="FFFFFF"/>
        </a:solidFill>
        <a:ln w="3175">
          <a:noFill/>
          <a:prstDash val="solid"/>
        </a:ln>
      </c:spPr>
      <c:txPr>
        <a:bodyPr/>
        <a:lstStyle/>
        <a:p>
          <a:pPr>
            <a:defRPr sz="900" b="0" i="0" u="none" strike="noStrike" baseline="0">
              <a:solidFill>
                <a:srgbClr val="000000"/>
              </a:solidFill>
              <a:latin typeface="Calibri" panose="020F0502020204030204" pitchFamily="34" charset="0"/>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nº6c'!$E$42</c:f>
          <c:strCache>
            <c:ptCount val="1"/>
            <c:pt idx="0">
              <c:v>MONTHLY RATED FLOW CURVES. NATURAL FLOW</c:v>
            </c:pt>
          </c:strCache>
        </c:strRef>
      </c:tx>
      <c:layout>
        <c:manualLayout>
          <c:xMode val="edge"/>
          <c:yMode val="edge"/>
          <c:x val="0.3464456852406213"/>
          <c:y val="3.4799680917029466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1"/>
          <c:order val="0"/>
          <c:tx>
            <c:strRef>
              <c:f>'Informe nº6c'!$E$16</c:f>
              <c:strCache>
                <c:ptCount val="1"/>
                <c:pt idx="0">
                  <c:v>OCTOBER</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nº6c'!$E$18:$E$36</c:f>
              <c:numCache>
                <c:formatCode>0.00</c:formatCode>
                <c:ptCount val="19"/>
                <c:pt idx="0">
                  <c:v>2.1101618937083653</c:v>
                </c:pt>
                <c:pt idx="1">
                  <c:v>1.94207238810403</c:v>
                </c:pt>
                <c:pt idx="2">
                  <c:v>1.8017028547468641</c:v>
                </c:pt>
                <c:pt idx="3">
                  <c:v>1.6730876099495664</c:v>
                </c:pt>
                <c:pt idx="4">
                  <c:v>1.5583380943252927</c:v>
                </c:pt>
                <c:pt idx="5">
                  <c:v>1.4657380995296294</c:v>
                </c:pt>
                <c:pt idx="6">
                  <c:v>1.3785999973615013</c:v>
                </c:pt>
                <c:pt idx="7">
                  <c:v>1.2889200000535872</c:v>
                </c:pt>
                <c:pt idx="8">
                  <c:v>1.20425618773415</c:v>
                </c:pt>
                <c:pt idx="9">
                  <c:v>1.1168142897742137</c:v>
                </c:pt>
                <c:pt idx="10">
                  <c:v>1.0292428624062309</c:v>
                </c:pt>
                <c:pt idx="11">
                  <c:v>0.93533809525626066</c:v>
                </c:pt>
                <c:pt idx="12">
                  <c:v>0.86789808954511372</c:v>
                </c:pt>
                <c:pt idx="13">
                  <c:v>0.80035904731069296</c:v>
                </c:pt>
                <c:pt idx="14">
                  <c:v>0.73893332907131737</c:v>
                </c:pt>
                <c:pt idx="15">
                  <c:v>0.64107713656766074</c:v>
                </c:pt>
                <c:pt idx="16">
                  <c:v>0.57822094886075881</c:v>
                </c:pt>
                <c:pt idx="17">
                  <c:v>0.50716190465859001</c:v>
                </c:pt>
                <c:pt idx="18">
                  <c:v>0.4260638079472952</c:v>
                </c:pt>
              </c:numCache>
            </c:numRef>
          </c:yVal>
          <c:smooth val="1"/>
          <c:extLst>
            <c:ext xmlns:c16="http://schemas.microsoft.com/office/drawing/2014/chart" uri="{C3380CC4-5D6E-409C-BE32-E72D297353CC}">
              <c16:uniqueId val="{00000003-8AA9-4CB2-B281-E94A4AC3B536}"/>
            </c:ext>
          </c:extLst>
        </c:ser>
        <c:ser>
          <c:idx val="2"/>
          <c:order val="1"/>
          <c:tx>
            <c:strRef>
              <c:f>'Informe nº6c'!$F$16</c:f>
              <c:strCache>
                <c:ptCount val="1"/>
                <c:pt idx="0">
                  <c:v>NOVEMBER</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nº6c'!$F$18:$F$36</c:f>
              <c:numCache>
                <c:formatCode>0.00</c:formatCode>
                <c:ptCount val="19"/>
                <c:pt idx="0">
                  <c:v>4.6877475942884175</c:v>
                </c:pt>
                <c:pt idx="1">
                  <c:v>4.3405380759920389</c:v>
                </c:pt>
                <c:pt idx="2">
                  <c:v>4.065549992095856</c:v>
                </c:pt>
                <c:pt idx="3">
                  <c:v>3.8862380765733269</c:v>
                </c:pt>
                <c:pt idx="4">
                  <c:v>3.722404783680326</c:v>
                </c:pt>
                <c:pt idx="5">
                  <c:v>3.56450473126911</c:v>
                </c:pt>
                <c:pt idx="6">
                  <c:v>3.4608928680419924</c:v>
                </c:pt>
                <c:pt idx="7">
                  <c:v>3.3260571332204907</c:v>
                </c:pt>
                <c:pt idx="8">
                  <c:v>3.1669761887618475</c:v>
                </c:pt>
                <c:pt idx="9">
                  <c:v>2.9638095072337558</c:v>
                </c:pt>
                <c:pt idx="10">
                  <c:v>2.7749238269669672</c:v>
                </c:pt>
                <c:pt idx="11">
                  <c:v>2.5650361935297648</c:v>
                </c:pt>
                <c:pt idx="12">
                  <c:v>2.3901916620277222</c:v>
                </c:pt>
                <c:pt idx="13">
                  <c:v>2.1241180973393576</c:v>
                </c:pt>
                <c:pt idx="14">
                  <c:v>1.9271047441732316</c:v>
                </c:pt>
                <c:pt idx="15">
                  <c:v>1.8168971532867069</c:v>
                </c:pt>
                <c:pt idx="16">
                  <c:v>1.639973809747469</c:v>
                </c:pt>
                <c:pt idx="17">
                  <c:v>1.4703699832870849</c:v>
                </c:pt>
                <c:pt idx="18">
                  <c:v>1.2889073865754268</c:v>
                </c:pt>
              </c:numCache>
            </c:numRef>
          </c:yVal>
          <c:smooth val="1"/>
          <c:extLst>
            <c:ext xmlns:c16="http://schemas.microsoft.com/office/drawing/2014/chart" uri="{C3380CC4-5D6E-409C-BE32-E72D297353CC}">
              <c16:uniqueId val="{00000004-8AA9-4CB2-B281-E94A4AC3B536}"/>
            </c:ext>
          </c:extLst>
        </c:ser>
        <c:ser>
          <c:idx val="3"/>
          <c:order val="2"/>
          <c:tx>
            <c:strRef>
              <c:f>'Informe nº6c'!$G$16</c:f>
              <c:strCache>
                <c:ptCount val="1"/>
                <c:pt idx="0">
                  <c:v>DECEMBER</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nº6c'!$G$18:$G$36</c:f>
              <c:numCache>
                <c:formatCode>0.00</c:formatCode>
                <c:ptCount val="19"/>
                <c:pt idx="0">
                  <c:v>7.6451619216373992</c:v>
                </c:pt>
                <c:pt idx="1">
                  <c:v>7.2930285726274775</c:v>
                </c:pt>
                <c:pt idx="2">
                  <c:v>6.9550856953575497</c:v>
                </c:pt>
                <c:pt idx="3">
                  <c:v>6.7596666381472623</c:v>
                </c:pt>
                <c:pt idx="4">
                  <c:v>6.4722857929411388</c:v>
                </c:pt>
                <c:pt idx="5">
                  <c:v>6.3162476108187713</c:v>
                </c:pt>
                <c:pt idx="6">
                  <c:v>6.1113808881668827</c:v>
                </c:pt>
                <c:pt idx="7">
                  <c:v>5.8796095098767971</c:v>
                </c:pt>
                <c:pt idx="8">
                  <c:v>5.6603047302791056</c:v>
                </c:pt>
                <c:pt idx="9">
                  <c:v>5.4275238059815907</c:v>
                </c:pt>
                <c:pt idx="10">
                  <c:v>5.2173523823420203</c:v>
                </c:pt>
                <c:pt idx="11">
                  <c:v>5.0741428068705963</c:v>
                </c:pt>
                <c:pt idx="12">
                  <c:v>4.8875142926261539</c:v>
                </c:pt>
                <c:pt idx="13">
                  <c:v>4.7143714019230432</c:v>
                </c:pt>
                <c:pt idx="14">
                  <c:v>4.4666666643960138</c:v>
                </c:pt>
                <c:pt idx="15">
                  <c:v>4.2986857016881315</c:v>
                </c:pt>
                <c:pt idx="16">
                  <c:v>4.0498952354703635</c:v>
                </c:pt>
                <c:pt idx="17">
                  <c:v>3.8364857071921938</c:v>
                </c:pt>
                <c:pt idx="18">
                  <c:v>3.5973904995691215</c:v>
                </c:pt>
              </c:numCache>
            </c:numRef>
          </c:yVal>
          <c:smooth val="1"/>
          <c:extLst>
            <c:ext xmlns:c16="http://schemas.microsoft.com/office/drawing/2014/chart" uri="{C3380CC4-5D6E-409C-BE32-E72D297353CC}">
              <c16:uniqueId val="{00000005-8AA9-4CB2-B281-E94A4AC3B536}"/>
            </c:ext>
          </c:extLst>
        </c:ser>
        <c:ser>
          <c:idx val="4"/>
          <c:order val="3"/>
          <c:tx>
            <c:strRef>
              <c:f>'Informe nº6c'!$H$16</c:f>
              <c:strCache>
                <c:ptCount val="1"/>
                <c:pt idx="0">
                  <c:v>JANUARY</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nº6c'!$H$18:$H$36</c:f>
              <c:numCache>
                <c:formatCode>0.00</c:formatCode>
                <c:ptCount val="19"/>
                <c:pt idx="0">
                  <c:v>7.1677047457013812</c:v>
                </c:pt>
                <c:pt idx="1">
                  <c:v>6.8261999811444971</c:v>
                </c:pt>
                <c:pt idx="2">
                  <c:v>6.6003714107331772</c:v>
                </c:pt>
                <c:pt idx="3">
                  <c:v>6.427495247977121</c:v>
                </c:pt>
                <c:pt idx="4">
                  <c:v>6.2127619470868787</c:v>
                </c:pt>
                <c:pt idx="5">
                  <c:v>6.0270190238952637</c:v>
                </c:pt>
                <c:pt idx="6">
                  <c:v>5.816171409970238</c:v>
                </c:pt>
                <c:pt idx="7">
                  <c:v>5.6284761882963634</c:v>
                </c:pt>
                <c:pt idx="8">
                  <c:v>5.4215429033551903</c:v>
                </c:pt>
                <c:pt idx="9">
                  <c:v>5.2772381078629271</c:v>
                </c:pt>
                <c:pt idx="10">
                  <c:v>5.1458475953056704</c:v>
                </c:pt>
                <c:pt idx="11">
                  <c:v>4.9962095419565822</c:v>
                </c:pt>
                <c:pt idx="12">
                  <c:v>4.8948761871882835</c:v>
                </c:pt>
                <c:pt idx="13">
                  <c:v>4.7878571215130048</c:v>
                </c:pt>
                <c:pt idx="14">
                  <c:v>4.6648095221746537</c:v>
                </c:pt>
                <c:pt idx="15">
                  <c:v>4.5566094716389971</c:v>
                </c:pt>
                <c:pt idx="16">
                  <c:v>4.4372856957571845</c:v>
                </c:pt>
                <c:pt idx="17">
                  <c:v>4.2995333353678387</c:v>
                </c:pt>
                <c:pt idx="18">
                  <c:v>4.122704769316174</c:v>
                </c:pt>
              </c:numCache>
            </c:numRef>
          </c:yVal>
          <c:smooth val="1"/>
          <c:extLst>
            <c:ext xmlns:c16="http://schemas.microsoft.com/office/drawing/2014/chart" uri="{C3380CC4-5D6E-409C-BE32-E72D297353CC}">
              <c16:uniqueId val="{00000006-8AA9-4CB2-B281-E94A4AC3B536}"/>
            </c:ext>
          </c:extLst>
        </c:ser>
        <c:ser>
          <c:idx val="5"/>
          <c:order val="4"/>
          <c:tx>
            <c:strRef>
              <c:f>'Informe nº6c'!$I$16</c:f>
              <c:strCache>
                <c:ptCount val="1"/>
                <c:pt idx="0">
                  <c:v>FEBRUARY</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nº6c'!$I$18:$I$36</c:f>
              <c:numCache>
                <c:formatCode>0.00</c:formatCode>
                <c:ptCount val="19"/>
                <c:pt idx="0">
                  <c:v>6.0750904855274017</c:v>
                </c:pt>
                <c:pt idx="1">
                  <c:v>5.8310999961126422</c:v>
                </c:pt>
                <c:pt idx="2">
                  <c:v>5.619569043886095</c:v>
                </c:pt>
                <c:pt idx="3">
                  <c:v>5.5137523878188368</c:v>
                </c:pt>
                <c:pt idx="4">
                  <c:v>5.3353095537140254</c:v>
                </c:pt>
                <c:pt idx="5">
                  <c:v>5.1963857423691513</c:v>
                </c:pt>
                <c:pt idx="6">
                  <c:v>5.1008666787828725</c:v>
                </c:pt>
                <c:pt idx="7">
                  <c:v>4.9981809252784366</c:v>
                </c:pt>
                <c:pt idx="8">
                  <c:v>4.8864237898872016</c:v>
                </c:pt>
                <c:pt idx="9">
                  <c:v>4.7661666245687568</c:v>
                </c:pt>
                <c:pt idx="10">
                  <c:v>4.6374500416574032</c:v>
                </c:pt>
                <c:pt idx="11">
                  <c:v>4.5162666298094249</c:v>
                </c:pt>
                <c:pt idx="12">
                  <c:v>4.4303809722264615</c:v>
                </c:pt>
                <c:pt idx="13">
                  <c:v>4.3264667045502438</c:v>
                </c:pt>
                <c:pt idx="14">
                  <c:v>4.2506547541845423</c:v>
                </c:pt>
                <c:pt idx="15">
                  <c:v>4.1490667002541679</c:v>
                </c:pt>
                <c:pt idx="16">
                  <c:v>4.0539499947002957</c:v>
                </c:pt>
                <c:pt idx="17">
                  <c:v>3.9554047629946751</c:v>
                </c:pt>
                <c:pt idx="18">
                  <c:v>3.8019118973187038</c:v>
                </c:pt>
              </c:numCache>
            </c:numRef>
          </c:yVal>
          <c:smooth val="1"/>
          <c:extLst>
            <c:ext xmlns:c16="http://schemas.microsoft.com/office/drawing/2014/chart" uri="{C3380CC4-5D6E-409C-BE32-E72D297353CC}">
              <c16:uniqueId val="{00000007-8AA9-4CB2-B281-E94A4AC3B536}"/>
            </c:ext>
          </c:extLst>
        </c:ser>
        <c:ser>
          <c:idx val="6"/>
          <c:order val="5"/>
          <c:tx>
            <c:strRef>
              <c:f>'Informe nº6c'!$J$16</c:f>
              <c:strCache>
                <c:ptCount val="1"/>
                <c:pt idx="0">
                  <c:v>MARCH</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nº6c'!$J$18:$J$36</c:f>
              <c:numCache>
                <c:formatCode>0.00</c:formatCode>
                <c:ptCount val="19"/>
                <c:pt idx="0">
                  <c:v>5.5898761840093707</c:v>
                </c:pt>
                <c:pt idx="1">
                  <c:v>5.3337143284933903</c:v>
                </c:pt>
                <c:pt idx="2">
                  <c:v>5.1118095284416549</c:v>
                </c:pt>
                <c:pt idx="3">
                  <c:v>4.9668761821020215</c:v>
                </c:pt>
                <c:pt idx="4">
                  <c:v>4.8526666391463511</c:v>
                </c:pt>
                <c:pt idx="5">
                  <c:v>4.7447713965461364</c:v>
                </c:pt>
                <c:pt idx="6">
                  <c:v>4.6624476228441516</c:v>
                </c:pt>
                <c:pt idx="7">
                  <c:v>4.5805809679485501</c:v>
                </c:pt>
                <c:pt idx="8">
                  <c:v>4.4899333340781071</c:v>
                </c:pt>
                <c:pt idx="9">
                  <c:v>4.3769523870377309</c:v>
                </c:pt>
                <c:pt idx="10">
                  <c:v>4.2751904805501306</c:v>
                </c:pt>
                <c:pt idx="11">
                  <c:v>4.1977428640638079</c:v>
                </c:pt>
                <c:pt idx="12">
                  <c:v>4.0904285726093113</c:v>
                </c:pt>
                <c:pt idx="13">
                  <c:v>4.0147999945141022</c:v>
                </c:pt>
                <c:pt idx="14">
                  <c:v>3.9283333392370312</c:v>
                </c:pt>
                <c:pt idx="15">
                  <c:v>3.8065618832906081</c:v>
                </c:pt>
                <c:pt idx="16">
                  <c:v>3.6885618981860939</c:v>
                </c:pt>
                <c:pt idx="17">
                  <c:v>3.5703524044581822</c:v>
                </c:pt>
                <c:pt idx="18">
                  <c:v>3.4347904886518208</c:v>
                </c:pt>
              </c:numCache>
            </c:numRef>
          </c:yVal>
          <c:smooth val="1"/>
          <c:extLst>
            <c:ext xmlns:c16="http://schemas.microsoft.com/office/drawing/2014/chart" uri="{C3380CC4-5D6E-409C-BE32-E72D297353CC}">
              <c16:uniqueId val="{00000008-8AA9-4CB2-B281-E94A4AC3B536}"/>
            </c:ext>
          </c:extLst>
        </c:ser>
        <c:ser>
          <c:idx val="7"/>
          <c:order val="6"/>
          <c:tx>
            <c:strRef>
              <c:f>'Informe nº6c'!$K$16</c:f>
              <c:strCache>
                <c:ptCount val="1"/>
                <c:pt idx="0">
                  <c:v>APRIL</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nº6c'!$K$18:$K$36</c:f>
              <c:numCache>
                <c:formatCode>0.00</c:formatCode>
                <c:ptCount val="19"/>
                <c:pt idx="0">
                  <c:v>6.4911809637433002</c:v>
                </c:pt>
                <c:pt idx="1">
                  <c:v>6.2202428533917393</c:v>
                </c:pt>
                <c:pt idx="2">
                  <c:v>6.0155690670013424</c:v>
                </c:pt>
                <c:pt idx="3">
                  <c:v>5.8469809305100213</c:v>
                </c:pt>
                <c:pt idx="4">
                  <c:v>5.6572738147917239</c:v>
                </c:pt>
                <c:pt idx="5">
                  <c:v>5.4911476464498614</c:v>
                </c:pt>
                <c:pt idx="6">
                  <c:v>5.3686833404359362</c:v>
                </c:pt>
                <c:pt idx="7">
                  <c:v>5.2478666759672619</c:v>
                </c:pt>
                <c:pt idx="8">
                  <c:v>5.1220595405215308</c:v>
                </c:pt>
                <c:pt idx="9">
                  <c:v>4.963523819333032</c:v>
                </c:pt>
                <c:pt idx="10">
                  <c:v>4.8296166539192198</c:v>
                </c:pt>
                <c:pt idx="11">
                  <c:v>4.7423618884313674</c:v>
                </c:pt>
                <c:pt idx="12">
                  <c:v>4.6448428256171095</c:v>
                </c:pt>
                <c:pt idx="13">
                  <c:v>4.5083333367393132</c:v>
                </c:pt>
                <c:pt idx="14">
                  <c:v>4.3602737614086697</c:v>
                </c:pt>
                <c:pt idx="15">
                  <c:v>4.2015047618321013</c:v>
                </c:pt>
                <c:pt idx="16">
                  <c:v>4.069280961013976</c:v>
                </c:pt>
                <c:pt idx="17">
                  <c:v>3.8230285780770439</c:v>
                </c:pt>
                <c:pt idx="18">
                  <c:v>3.6281523721558715</c:v>
                </c:pt>
              </c:numCache>
            </c:numRef>
          </c:yVal>
          <c:smooth val="1"/>
          <c:extLst>
            <c:ext xmlns:c16="http://schemas.microsoft.com/office/drawing/2014/chart" uri="{C3380CC4-5D6E-409C-BE32-E72D297353CC}">
              <c16:uniqueId val="{00000009-8AA9-4CB2-B281-E94A4AC3B536}"/>
            </c:ext>
          </c:extLst>
        </c:ser>
        <c:ser>
          <c:idx val="8"/>
          <c:order val="7"/>
          <c:tx>
            <c:strRef>
              <c:f>'Informe nº6c'!$L$16</c:f>
              <c:strCache>
                <c:ptCount val="1"/>
                <c:pt idx="0">
                  <c:v>MAY</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nº6c'!$L$18:$L$36</c:f>
              <c:numCache>
                <c:formatCode>0.00</c:formatCode>
                <c:ptCount val="19"/>
                <c:pt idx="0">
                  <c:v>6.7139238175891691</c:v>
                </c:pt>
                <c:pt idx="1">
                  <c:v>6.483704744066511</c:v>
                </c:pt>
                <c:pt idx="2">
                  <c:v>6.2480476424807589</c:v>
                </c:pt>
                <c:pt idx="3">
                  <c:v>6.0276666891007196</c:v>
                </c:pt>
                <c:pt idx="4">
                  <c:v>5.8173333803812666</c:v>
                </c:pt>
                <c:pt idx="5">
                  <c:v>5.6670857293265211</c:v>
                </c:pt>
                <c:pt idx="6">
                  <c:v>5.4960000219799223</c:v>
                </c:pt>
                <c:pt idx="7">
                  <c:v>5.377066644032797</c:v>
                </c:pt>
                <c:pt idx="8">
                  <c:v>5.225409507751464</c:v>
                </c:pt>
                <c:pt idx="9">
                  <c:v>5.0698570978073842</c:v>
                </c:pt>
                <c:pt idx="10">
                  <c:v>4.9521809532528831</c:v>
                </c:pt>
                <c:pt idx="11">
                  <c:v>4.7574857053302582</c:v>
                </c:pt>
                <c:pt idx="12">
                  <c:v>4.5804190295083185</c:v>
                </c:pt>
                <c:pt idx="13">
                  <c:v>4.4367333730061844</c:v>
                </c:pt>
                <c:pt idx="14">
                  <c:v>4.2961904889061344</c:v>
                </c:pt>
                <c:pt idx="15">
                  <c:v>4.1699904850551048</c:v>
                </c:pt>
                <c:pt idx="16">
                  <c:v>3.9769047918773834</c:v>
                </c:pt>
                <c:pt idx="17">
                  <c:v>3.7860856964474627</c:v>
                </c:pt>
                <c:pt idx="18">
                  <c:v>3.6286857287089029</c:v>
                </c:pt>
              </c:numCache>
            </c:numRef>
          </c:yVal>
          <c:smooth val="1"/>
          <c:extLst>
            <c:ext xmlns:c16="http://schemas.microsoft.com/office/drawing/2014/chart" uri="{C3380CC4-5D6E-409C-BE32-E72D297353CC}">
              <c16:uniqueId val="{0000000A-8AA9-4CB2-B281-E94A4AC3B536}"/>
            </c:ext>
          </c:extLst>
        </c:ser>
        <c:ser>
          <c:idx val="9"/>
          <c:order val="8"/>
          <c:tx>
            <c:strRef>
              <c:f>'Informe nº6c'!$M$16</c:f>
              <c:strCache>
                <c:ptCount val="1"/>
                <c:pt idx="0">
                  <c:v>JUNE</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nº6c'!$M$18:$M$36</c:f>
              <c:numCache>
                <c:formatCode>0.00</c:formatCode>
                <c:ptCount val="19"/>
                <c:pt idx="0">
                  <c:v>3.926611919062478</c:v>
                </c:pt>
                <c:pt idx="1">
                  <c:v>3.5849619002569297</c:v>
                </c:pt>
                <c:pt idx="2">
                  <c:v>3.3211690562111986</c:v>
                </c:pt>
                <c:pt idx="3">
                  <c:v>3.0773523762112571</c:v>
                </c:pt>
                <c:pt idx="4">
                  <c:v>2.8342499747162773</c:v>
                </c:pt>
                <c:pt idx="5">
                  <c:v>2.5767523822330287</c:v>
                </c:pt>
                <c:pt idx="6">
                  <c:v>2.3532071448507765</c:v>
                </c:pt>
                <c:pt idx="7">
                  <c:v>2.1581238031387326</c:v>
                </c:pt>
                <c:pt idx="8">
                  <c:v>1.9609118952637627</c:v>
                </c:pt>
                <c:pt idx="9">
                  <c:v>1.7881904868852523</c:v>
                </c:pt>
                <c:pt idx="10">
                  <c:v>1.6276021411021548</c:v>
                </c:pt>
                <c:pt idx="11">
                  <c:v>1.4793533404668171</c:v>
                </c:pt>
                <c:pt idx="12">
                  <c:v>1.3396771377041223</c:v>
                </c:pt>
                <c:pt idx="13">
                  <c:v>1.2259000054427558</c:v>
                </c:pt>
                <c:pt idx="14">
                  <c:v>1.1291642863126028</c:v>
                </c:pt>
                <c:pt idx="15">
                  <c:v>1.0354599952697754</c:v>
                </c:pt>
                <c:pt idx="16">
                  <c:v>0.9557402375198546</c:v>
                </c:pt>
                <c:pt idx="17">
                  <c:v>0.88229238334156201</c:v>
                </c:pt>
                <c:pt idx="18">
                  <c:v>0.81687809555303492</c:v>
                </c:pt>
              </c:numCache>
            </c:numRef>
          </c:yVal>
          <c:smooth val="1"/>
          <c:extLst>
            <c:ext xmlns:c16="http://schemas.microsoft.com/office/drawing/2014/chart" uri="{C3380CC4-5D6E-409C-BE32-E72D297353CC}">
              <c16:uniqueId val="{0000000B-8AA9-4CB2-B281-E94A4AC3B536}"/>
            </c:ext>
          </c:extLst>
        </c:ser>
        <c:ser>
          <c:idx val="10"/>
          <c:order val="9"/>
          <c:tx>
            <c:strRef>
              <c:f>'Informe nº6c'!$N$16</c:f>
              <c:strCache>
                <c:ptCount val="1"/>
                <c:pt idx="0">
                  <c:v>JULY</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nº6c'!$N$18:$N$36</c:f>
              <c:numCache>
                <c:formatCode>0.00</c:formatCode>
                <c:ptCount val="19"/>
                <c:pt idx="0">
                  <c:v>0.73829238187699087</c:v>
                </c:pt>
                <c:pt idx="1">
                  <c:v>0.68369714731261855</c:v>
                </c:pt>
                <c:pt idx="2">
                  <c:v>0.6402419042019617</c:v>
                </c:pt>
                <c:pt idx="3">
                  <c:v>0.60010285774866734</c:v>
                </c:pt>
                <c:pt idx="4">
                  <c:v>0.55804761818477089</c:v>
                </c:pt>
                <c:pt idx="5">
                  <c:v>0.52515523660750607</c:v>
                </c:pt>
                <c:pt idx="6">
                  <c:v>0.49522381055922732</c:v>
                </c:pt>
                <c:pt idx="7">
                  <c:v>0.46536476157960438</c:v>
                </c:pt>
                <c:pt idx="8">
                  <c:v>0.43874285930678963</c:v>
                </c:pt>
                <c:pt idx="9">
                  <c:v>0.4176190481299446</c:v>
                </c:pt>
                <c:pt idx="10">
                  <c:v>0.39219333075341717</c:v>
                </c:pt>
                <c:pt idx="11">
                  <c:v>0.37119618881316413</c:v>
                </c:pt>
                <c:pt idx="12">
                  <c:v>0.35335618938718522</c:v>
                </c:pt>
                <c:pt idx="13">
                  <c:v>0.33440666681244258</c:v>
                </c:pt>
                <c:pt idx="14">
                  <c:v>0.31669047616776957</c:v>
                </c:pt>
                <c:pt idx="15">
                  <c:v>0.29995333396253132</c:v>
                </c:pt>
                <c:pt idx="16">
                  <c:v>0.28529809713363646</c:v>
                </c:pt>
                <c:pt idx="17">
                  <c:v>0.26996857268469671</c:v>
                </c:pt>
                <c:pt idx="18">
                  <c:v>0.25613714413983485</c:v>
                </c:pt>
              </c:numCache>
            </c:numRef>
          </c:yVal>
          <c:smooth val="1"/>
          <c:extLst>
            <c:ext xmlns:c16="http://schemas.microsoft.com/office/drawing/2014/chart" uri="{C3380CC4-5D6E-409C-BE32-E72D297353CC}">
              <c16:uniqueId val="{0000000C-8AA9-4CB2-B281-E94A4AC3B536}"/>
            </c:ext>
          </c:extLst>
        </c:ser>
        <c:ser>
          <c:idx val="11"/>
          <c:order val="10"/>
          <c:tx>
            <c:strRef>
              <c:f>'Informe nº6c'!$O$16</c:f>
              <c:strCache>
                <c:ptCount val="1"/>
                <c:pt idx="0">
                  <c:v>AUGUST</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nº6c'!$O$18:$O$36</c:f>
              <c:numCache>
                <c:formatCode>0.00</c:formatCode>
                <c:ptCount val="19"/>
                <c:pt idx="0">
                  <c:v>0.24842571516831713</c:v>
                </c:pt>
                <c:pt idx="1">
                  <c:v>0.23702762027581536</c:v>
                </c:pt>
                <c:pt idx="2">
                  <c:v>0.22813238203525543</c:v>
                </c:pt>
                <c:pt idx="3">
                  <c:v>0.22050571470033556</c:v>
                </c:pt>
                <c:pt idx="4">
                  <c:v>0.21312857241857622</c:v>
                </c:pt>
                <c:pt idx="5">
                  <c:v>0.20574095277559187</c:v>
                </c:pt>
                <c:pt idx="6">
                  <c:v>0.20015809535980225</c:v>
                </c:pt>
                <c:pt idx="7">
                  <c:v>0.19543428591319492</c:v>
                </c:pt>
                <c:pt idx="8">
                  <c:v>0.19066476311002459</c:v>
                </c:pt>
                <c:pt idx="9">
                  <c:v>0.18663809554917474</c:v>
                </c:pt>
                <c:pt idx="10">
                  <c:v>0.18093237976233162</c:v>
                </c:pt>
                <c:pt idx="11">
                  <c:v>0.17412000000476835</c:v>
                </c:pt>
                <c:pt idx="12">
                  <c:v>0.16936571385179247</c:v>
                </c:pt>
                <c:pt idx="13">
                  <c:v>0.16576380985123773</c:v>
                </c:pt>
                <c:pt idx="14">
                  <c:v>0.16203809387627099</c:v>
                </c:pt>
                <c:pt idx="15">
                  <c:v>0.15886190512350629</c:v>
                </c:pt>
                <c:pt idx="16">
                  <c:v>0.1535104751586914</c:v>
                </c:pt>
                <c:pt idx="17">
                  <c:v>0.14876380846613926</c:v>
                </c:pt>
                <c:pt idx="18">
                  <c:v>0.14354857170865651</c:v>
                </c:pt>
              </c:numCache>
            </c:numRef>
          </c:yVal>
          <c:smooth val="1"/>
          <c:extLst>
            <c:ext xmlns:c16="http://schemas.microsoft.com/office/drawing/2014/chart" uri="{C3380CC4-5D6E-409C-BE32-E72D297353CC}">
              <c16:uniqueId val="{0000000D-8AA9-4CB2-B281-E94A4AC3B536}"/>
            </c:ext>
          </c:extLst>
        </c:ser>
        <c:ser>
          <c:idx val="12"/>
          <c:order val="11"/>
          <c:tx>
            <c:strRef>
              <c:f>'Informe nº6c'!$P$16</c:f>
              <c:strCache>
                <c:ptCount val="1"/>
                <c:pt idx="0">
                  <c:v>SEPTEMBER</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nº6c'!$P$18:$P$36</c:f>
              <c:numCache>
                <c:formatCode>0.00</c:formatCode>
                <c:ptCount val="19"/>
                <c:pt idx="0">
                  <c:v>0.5596795236425739</c:v>
                </c:pt>
                <c:pt idx="1">
                  <c:v>0.48073476006587357</c:v>
                </c:pt>
                <c:pt idx="2">
                  <c:v>0.39870095160745422</c:v>
                </c:pt>
                <c:pt idx="3">
                  <c:v>0.34162380894025168</c:v>
                </c:pt>
                <c:pt idx="4">
                  <c:v>0.30160118994258711</c:v>
                </c:pt>
                <c:pt idx="5">
                  <c:v>0.26321809412468045</c:v>
                </c:pt>
                <c:pt idx="6">
                  <c:v>0.23916023692914423</c:v>
                </c:pt>
                <c:pt idx="7">
                  <c:v>0.21570285750286919</c:v>
                </c:pt>
                <c:pt idx="8">
                  <c:v>0.20111833314100905</c:v>
                </c:pt>
                <c:pt idx="9">
                  <c:v>0.18675000096360844</c:v>
                </c:pt>
                <c:pt idx="10">
                  <c:v>0.17247785782175404</c:v>
                </c:pt>
                <c:pt idx="11">
                  <c:v>0.16091428732588176</c:v>
                </c:pt>
                <c:pt idx="12">
                  <c:v>0.1541414295456239</c:v>
                </c:pt>
                <c:pt idx="13">
                  <c:v>0.14431809545272872</c:v>
                </c:pt>
                <c:pt idx="14">
                  <c:v>0.13901309571450665</c:v>
                </c:pt>
                <c:pt idx="15">
                  <c:v>0.13320380946000412</c:v>
                </c:pt>
                <c:pt idx="16">
                  <c:v>0.12879866622388361</c:v>
                </c:pt>
                <c:pt idx="17">
                  <c:v>0.12425866794018518</c:v>
                </c:pt>
                <c:pt idx="18">
                  <c:v>0.11807862011094888</c:v>
                </c:pt>
              </c:numCache>
            </c:numRef>
          </c:yVal>
          <c:smooth val="1"/>
          <c:extLst>
            <c:ext xmlns:c16="http://schemas.microsoft.com/office/drawing/2014/chart" uri="{C3380CC4-5D6E-409C-BE32-E72D297353CC}">
              <c16:uniqueId val="{0000000E-8AA9-4CB2-B281-E94A4AC3B536}"/>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4268833158860923"/>
              <c:y val="0.9046035578885971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65000"/>
                </a:schemeClr>
              </a:solidFill>
              <a:prstDash val="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1.7725284339457567E-2"/>
              <c:y val="0.37078699238319041"/>
            </c:manualLayout>
          </c:layout>
          <c:overlay val="0"/>
          <c:spPr>
            <a:noFill/>
            <a:ln w="25400">
              <a:noFill/>
            </a:ln>
          </c:spPr>
        </c:title>
        <c:numFmt formatCode="0" sourceLinked="0"/>
        <c:majorTickMark val="out"/>
        <c:minorTickMark val="in"/>
        <c:tickLblPos val="nextTo"/>
        <c:spPr>
          <a:ln w="15875">
            <a:solidFill>
              <a:schemeClr val="tx1">
                <a:lumMod val="50000"/>
                <a:lumOff val="50000"/>
              </a:schemeClr>
            </a:solidFill>
            <a:prstDash val="solid"/>
          </a:ln>
        </c:spPr>
        <c:txPr>
          <a:bodyPr rot="0" vert="horz"/>
          <a:lstStyle/>
          <a:p>
            <a:pPr>
              <a:defRPr sz="825" b="0" i="0" u="none" strike="noStrike" baseline="0">
                <a:solidFill>
                  <a:schemeClr val="tx1">
                    <a:lumMod val="65000"/>
                    <a:lumOff val="35000"/>
                  </a:schemeClr>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84733693572545732"/>
          <c:y val="3.1073107970800162E-2"/>
          <c:w val="7.7026240610536562E-2"/>
          <c:h val="0.43435455030272613"/>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nº6d'!$E$42</c:f>
          <c:strCache>
            <c:ptCount val="1"/>
            <c:pt idx="0">
              <c:v>MONTHLY RATED FLOW CURVES. ALTERED FLOW</c:v>
            </c:pt>
          </c:strCache>
        </c:strRef>
      </c:tx>
      <c:layout>
        <c:manualLayout>
          <c:xMode val="edge"/>
          <c:yMode val="edge"/>
          <c:x val="0.3464456852406213"/>
          <c:y val="3.4799680917029466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1"/>
          <c:order val="0"/>
          <c:tx>
            <c:strRef>
              <c:f>'Informe nº6d'!$E$16</c:f>
              <c:strCache>
                <c:ptCount val="1"/>
                <c:pt idx="0">
                  <c:v>OCTOBER</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nº6d'!$E$18:$E$36</c:f>
              <c:numCache>
                <c:formatCode>0.00</c:formatCode>
                <c:ptCount val="19"/>
                <c:pt idx="0">
                  <c:v>1.1599552361738112</c:v>
                </c:pt>
                <c:pt idx="1">
                  <c:v>0.94163810213406884</c:v>
                </c:pt>
                <c:pt idx="2">
                  <c:v>0.86367237709817424</c:v>
                </c:pt>
                <c:pt idx="3">
                  <c:v>0.76233142458257219</c:v>
                </c:pt>
                <c:pt idx="4">
                  <c:v>0.62584285509018667</c:v>
                </c:pt>
                <c:pt idx="5">
                  <c:v>0.52857523553428187</c:v>
                </c:pt>
                <c:pt idx="6">
                  <c:v>0.4377849512156986</c:v>
                </c:pt>
                <c:pt idx="7">
                  <c:v>0.39510685957613445</c:v>
                </c:pt>
                <c:pt idx="8">
                  <c:v>0.32874323832137253</c:v>
                </c:pt>
                <c:pt idx="9">
                  <c:v>0.27224380913234897</c:v>
                </c:pt>
                <c:pt idx="10">
                  <c:v>0.24162066883984062</c:v>
                </c:pt>
                <c:pt idx="11">
                  <c:v>0.21920885773641724</c:v>
                </c:pt>
                <c:pt idx="12">
                  <c:v>0.18653800051127159</c:v>
                </c:pt>
                <c:pt idx="13">
                  <c:v>0.14077057224654019</c:v>
                </c:pt>
                <c:pt idx="14">
                  <c:v>0.11247999948405082</c:v>
                </c:pt>
                <c:pt idx="15">
                  <c:v>8.9507618759359628E-2</c:v>
                </c:pt>
                <c:pt idx="16">
                  <c:v>7.932657070812725E-2</c:v>
                </c:pt>
                <c:pt idx="17">
                  <c:v>6.654180951771281E-2</c:v>
                </c:pt>
                <c:pt idx="18">
                  <c:v>5.7455428441365572E-2</c:v>
                </c:pt>
              </c:numCache>
            </c:numRef>
          </c:yVal>
          <c:smooth val="1"/>
          <c:extLst>
            <c:ext xmlns:c16="http://schemas.microsoft.com/office/drawing/2014/chart" uri="{C3380CC4-5D6E-409C-BE32-E72D297353CC}">
              <c16:uniqueId val="{00000002-CA88-4242-B6DF-3A40CABD8DB2}"/>
            </c:ext>
          </c:extLst>
        </c:ser>
        <c:ser>
          <c:idx val="2"/>
          <c:order val="1"/>
          <c:tx>
            <c:strRef>
              <c:f>'Informe nº6d'!$F$16</c:f>
              <c:strCache>
                <c:ptCount val="1"/>
                <c:pt idx="0">
                  <c:v>NOVEMBER</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nº6d'!$F$18:$F$36</c:f>
              <c:numCache>
                <c:formatCode>0.00</c:formatCode>
                <c:ptCount val="19"/>
                <c:pt idx="0">
                  <c:v>2.4471904811404999</c:v>
                </c:pt>
                <c:pt idx="1">
                  <c:v>2.1379285585312617</c:v>
                </c:pt>
                <c:pt idx="2">
                  <c:v>2.018549998885109</c:v>
                </c:pt>
                <c:pt idx="3">
                  <c:v>1.8880171350070412</c:v>
                </c:pt>
                <c:pt idx="4">
                  <c:v>1.7931916656948268</c:v>
                </c:pt>
                <c:pt idx="5">
                  <c:v>1.7134923841272083</c:v>
                </c:pt>
                <c:pt idx="6">
                  <c:v>1.6341395122664319</c:v>
                </c:pt>
                <c:pt idx="7">
                  <c:v>1.5459009613309589</c:v>
                </c:pt>
                <c:pt idx="8">
                  <c:v>1.4835454769077754</c:v>
                </c:pt>
                <c:pt idx="9">
                  <c:v>1.4138404684407369</c:v>
                </c:pt>
                <c:pt idx="10">
                  <c:v>1.338223322516396</c:v>
                </c:pt>
                <c:pt idx="11">
                  <c:v>1.2471314259937831</c:v>
                </c:pt>
                <c:pt idx="12">
                  <c:v>1.1797369038774852</c:v>
                </c:pt>
                <c:pt idx="13">
                  <c:v>1.0842847585678101</c:v>
                </c:pt>
                <c:pt idx="14">
                  <c:v>0.94354404473588582</c:v>
                </c:pt>
                <c:pt idx="15">
                  <c:v>0.88494476165090286</c:v>
                </c:pt>
                <c:pt idx="16">
                  <c:v>0.80991595692577811</c:v>
                </c:pt>
                <c:pt idx="17">
                  <c:v>0.71741428268807272</c:v>
                </c:pt>
                <c:pt idx="18">
                  <c:v>0.58581409165192233</c:v>
                </c:pt>
              </c:numCache>
            </c:numRef>
          </c:yVal>
          <c:smooth val="1"/>
          <c:extLst>
            <c:ext xmlns:c16="http://schemas.microsoft.com/office/drawing/2014/chart" uri="{C3380CC4-5D6E-409C-BE32-E72D297353CC}">
              <c16:uniqueId val="{00000003-CA88-4242-B6DF-3A40CABD8DB2}"/>
            </c:ext>
          </c:extLst>
        </c:ser>
        <c:ser>
          <c:idx val="3"/>
          <c:order val="2"/>
          <c:tx>
            <c:strRef>
              <c:f>'Informe nº6d'!$G$16</c:f>
              <c:strCache>
                <c:ptCount val="1"/>
                <c:pt idx="0">
                  <c:v>DECEMBER</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nº6d'!$G$18:$G$36</c:f>
              <c:numCache>
                <c:formatCode>0.00</c:formatCode>
                <c:ptCount val="19"/>
                <c:pt idx="0">
                  <c:v>4.2454000018891831</c:v>
                </c:pt>
                <c:pt idx="1">
                  <c:v>3.8914476326533727</c:v>
                </c:pt>
                <c:pt idx="2">
                  <c:v>3.6596761907849999</c:v>
                </c:pt>
                <c:pt idx="3">
                  <c:v>3.43522857938494</c:v>
                </c:pt>
                <c:pt idx="4">
                  <c:v>3.1844285783313566</c:v>
                </c:pt>
                <c:pt idx="5">
                  <c:v>3.0086095287686305</c:v>
                </c:pt>
                <c:pt idx="6">
                  <c:v>2.8269333396639147</c:v>
                </c:pt>
                <c:pt idx="7">
                  <c:v>2.7233142954962597</c:v>
                </c:pt>
                <c:pt idx="8">
                  <c:v>2.5995143016179405</c:v>
                </c:pt>
                <c:pt idx="9">
                  <c:v>2.4997618993123374</c:v>
                </c:pt>
                <c:pt idx="10">
                  <c:v>2.3618095227650238</c:v>
                </c:pt>
                <c:pt idx="11">
                  <c:v>2.2687809592201598</c:v>
                </c:pt>
                <c:pt idx="12">
                  <c:v>2.1526285727818806</c:v>
                </c:pt>
                <c:pt idx="13">
                  <c:v>2.0392800013224286</c:v>
                </c:pt>
                <c:pt idx="14">
                  <c:v>1.867457140059698</c:v>
                </c:pt>
                <c:pt idx="15">
                  <c:v>1.7489352419262838</c:v>
                </c:pt>
                <c:pt idx="16">
                  <c:v>1.6199847715241567</c:v>
                </c:pt>
                <c:pt idx="17">
                  <c:v>1.4661980895769029</c:v>
                </c:pt>
                <c:pt idx="18">
                  <c:v>1.3191314203398568</c:v>
                </c:pt>
              </c:numCache>
            </c:numRef>
          </c:yVal>
          <c:smooth val="1"/>
          <c:extLst>
            <c:ext xmlns:c16="http://schemas.microsoft.com/office/drawing/2014/chart" uri="{C3380CC4-5D6E-409C-BE32-E72D297353CC}">
              <c16:uniqueId val="{00000004-CA88-4242-B6DF-3A40CABD8DB2}"/>
            </c:ext>
          </c:extLst>
        </c:ser>
        <c:ser>
          <c:idx val="4"/>
          <c:order val="3"/>
          <c:tx>
            <c:strRef>
              <c:f>'Informe nº6d'!$H$16</c:f>
              <c:strCache>
                <c:ptCount val="1"/>
                <c:pt idx="0">
                  <c:v>JANUARY</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nº6d'!$H$18:$H$36</c:f>
              <c:numCache>
                <c:formatCode>0.00</c:formatCode>
                <c:ptCount val="19"/>
                <c:pt idx="0">
                  <c:v>5.6672476450602218</c:v>
                </c:pt>
                <c:pt idx="1">
                  <c:v>5.3387332961672831</c:v>
                </c:pt>
                <c:pt idx="2">
                  <c:v>5.1177428608848921</c:v>
                </c:pt>
                <c:pt idx="3">
                  <c:v>4.9155237561180485</c:v>
                </c:pt>
                <c:pt idx="4">
                  <c:v>4.7604761691320512</c:v>
                </c:pt>
                <c:pt idx="5">
                  <c:v>4.6524285884130574</c:v>
                </c:pt>
                <c:pt idx="6">
                  <c:v>4.503380932126726</c:v>
                </c:pt>
                <c:pt idx="7">
                  <c:v>4.3471904777345198</c:v>
                </c:pt>
                <c:pt idx="8">
                  <c:v>4.2022380919683551</c:v>
                </c:pt>
                <c:pt idx="9">
                  <c:v>4.064857130958921</c:v>
                </c:pt>
                <c:pt idx="10">
                  <c:v>3.912866671880086</c:v>
                </c:pt>
                <c:pt idx="11">
                  <c:v>3.7918761889139811</c:v>
                </c:pt>
                <c:pt idx="12">
                  <c:v>3.6874952180044991</c:v>
                </c:pt>
                <c:pt idx="13">
                  <c:v>3.5594952333541143</c:v>
                </c:pt>
                <c:pt idx="14">
                  <c:v>3.4480000109899609</c:v>
                </c:pt>
                <c:pt idx="15">
                  <c:v>3.3170666615168249</c:v>
                </c:pt>
                <c:pt idx="16">
                  <c:v>3.1664476360593521</c:v>
                </c:pt>
                <c:pt idx="17">
                  <c:v>3.0334571168536235</c:v>
                </c:pt>
                <c:pt idx="18">
                  <c:v>2.8539228626659936</c:v>
                </c:pt>
              </c:numCache>
            </c:numRef>
          </c:yVal>
          <c:smooth val="1"/>
          <c:extLst>
            <c:ext xmlns:c16="http://schemas.microsoft.com/office/drawing/2014/chart" uri="{C3380CC4-5D6E-409C-BE32-E72D297353CC}">
              <c16:uniqueId val="{00000005-CA88-4242-B6DF-3A40CABD8DB2}"/>
            </c:ext>
          </c:extLst>
        </c:ser>
        <c:ser>
          <c:idx val="5"/>
          <c:order val="4"/>
          <c:tx>
            <c:strRef>
              <c:f>'Informe nº6d'!$I$16</c:f>
              <c:strCache>
                <c:ptCount val="1"/>
                <c:pt idx="0">
                  <c:v>FEBRUARY</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nº6d'!$I$18:$I$36</c:f>
              <c:numCache>
                <c:formatCode>0.00</c:formatCode>
                <c:ptCount val="19"/>
                <c:pt idx="0">
                  <c:v>6.1194166240237999</c:v>
                </c:pt>
                <c:pt idx="1">
                  <c:v>5.8425095262981595</c:v>
                </c:pt>
                <c:pt idx="2">
                  <c:v>5.687166663010915</c:v>
                </c:pt>
                <c:pt idx="3">
                  <c:v>5.5222571509225027</c:v>
                </c:pt>
                <c:pt idx="4">
                  <c:v>5.3940357140132367</c:v>
                </c:pt>
                <c:pt idx="5">
                  <c:v>5.2637952498027252</c:v>
                </c:pt>
                <c:pt idx="6">
                  <c:v>5.1515619544755848</c:v>
                </c:pt>
                <c:pt idx="7">
                  <c:v>5.0127523762839177</c:v>
                </c:pt>
                <c:pt idx="8">
                  <c:v>4.8895690265155984</c:v>
                </c:pt>
                <c:pt idx="9">
                  <c:v>4.7536428599130547</c:v>
                </c:pt>
                <c:pt idx="10">
                  <c:v>4.5996214077586233</c:v>
                </c:pt>
                <c:pt idx="11">
                  <c:v>4.4694666953313913</c:v>
                </c:pt>
                <c:pt idx="12">
                  <c:v>4.3531595383371622</c:v>
                </c:pt>
                <c:pt idx="13">
                  <c:v>4.2321571531749909</c:v>
                </c:pt>
                <c:pt idx="14">
                  <c:v>4.1054761721974335</c:v>
                </c:pt>
                <c:pt idx="15">
                  <c:v>4.0000952221098389</c:v>
                </c:pt>
                <c:pt idx="16">
                  <c:v>3.825569044692176</c:v>
                </c:pt>
                <c:pt idx="17">
                  <c:v>3.6280238236699787</c:v>
                </c:pt>
                <c:pt idx="18">
                  <c:v>3.4214452377387459</c:v>
                </c:pt>
              </c:numCache>
            </c:numRef>
          </c:yVal>
          <c:smooth val="1"/>
          <c:extLst>
            <c:ext xmlns:c16="http://schemas.microsoft.com/office/drawing/2014/chart" uri="{C3380CC4-5D6E-409C-BE32-E72D297353CC}">
              <c16:uniqueId val="{00000006-CA88-4242-B6DF-3A40CABD8DB2}"/>
            </c:ext>
          </c:extLst>
        </c:ser>
        <c:ser>
          <c:idx val="6"/>
          <c:order val="5"/>
          <c:tx>
            <c:strRef>
              <c:f>'Informe nº6d'!$J$16</c:f>
              <c:strCache>
                <c:ptCount val="1"/>
                <c:pt idx="0">
                  <c:v>MARCH</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nº6d'!$J$18:$J$36</c:f>
              <c:numCache>
                <c:formatCode>0.00</c:formatCode>
                <c:ptCount val="19"/>
                <c:pt idx="0">
                  <c:v>5.1412380967821383</c:v>
                </c:pt>
                <c:pt idx="1">
                  <c:v>4.8692952383132209</c:v>
                </c:pt>
                <c:pt idx="2">
                  <c:v>4.5633142743791844</c:v>
                </c:pt>
                <c:pt idx="3">
                  <c:v>4.3361618814014262</c:v>
                </c:pt>
                <c:pt idx="4">
                  <c:v>4.1630475804919289</c:v>
                </c:pt>
                <c:pt idx="5">
                  <c:v>3.9713904834928955</c:v>
                </c:pt>
                <c:pt idx="6">
                  <c:v>3.8142190195265271</c:v>
                </c:pt>
                <c:pt idx="7">
                  <c:v>3.6770380780810399</c:v>
                </c:pt>
                <c:pt idx="8">
                  <c:v>3.5420381023770284</c:v>
                </c:pt>
                <c:pt idx="9">
                  <c:v>3.4189523855845132</c:v>
                </c:pt>
                <c:pt idx="10">
                  <c:v>3.3071428719021023</c:v>
                </c:pt>
                <c:pt idx="11">
                  <c:v>3.1997809546334408</c:v>
                </c:pt>
                <c:pt idx="12">
                  <c:v>3.0504857381184896</c:v>
                </c:pt>
                <c:pt idx="13">
                  <c:v>2.9176095417567667</c:v>
                </c:pt>
                <c:pt idx="14">
                  <c:v>2.7762857051122749</c:v>
                </c:pt>
                <c:pt idx="15">
                  <c:v>2.6601200012933641</c:v>
                </c:pt>
                <c:pt idx="16">
                  <c:v>2.4879152212824143</c:v>
                </c:pt>
                <c:pt idx="17">
                  <c:v>2.2879685634658449</c:v>
                </c:pt>
                <c:pt idx="18">
                  <c:v>2.0711933453877771</c:v>
                </c:pt>
              </c:numCache>
            </c:numRef>
          </c:yVal>
          <c:smooth val="1"/>
          <c:extLst>
            <c:ext xmlns:c16="http://schemas.microsoft.com/office/drawing/2014/chart" uri="{C3380CC4-5D6E-409C-BE32-E72D297353CC}">
              <c16:uniqueId val="{00000007-CA88-4242-B6DF-3A40CABD8DB2}"/>
            </c:ext>
          </c:extLst>
        </c:ser>
        <c:ser>
          <c:idx val="7"/>
          <c:order val="6"/>
          <c:tx>
            <c:strRef>
              <c:f>'Informe nº6d'!$K$16</c:f>
              <c:strCache>
                <c:ptCount val="1"/>
                <c:pt idx="0">
                  <c:v>APRIL</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nº6d'!$K$18:$K$36</c:f>
              <c:numCache>
                <c:formatCode>0.00</c:formatCode>
                <c:ptCount val="19"/>
                <c:pt idx="0">
                  <c:v>3.5384523732321607</c:v>
                </c:pt>
                <c:pt idx="1">
                  <c:v>3.3341428699947544</c:v>
                </c:pt>
                <c:pt idx="2">
                  <c:v>3.1637190353302724</c:v>
                </c:pt>
                <c:pt idx="3">
                  <c:v>3.0530190570013862</c:v>
                </c:pt>
                <c:pt idx="4">
                  <c:v>2.9187738171645572</c:v>
                </c:pt>
                <c:pt idx="5">
                  <c:v>2.7757000128428144</c:v>
                </c:pt>
                <c:pt idx="6">
                  <c:v>2.6841976412705013</c:v>
                </c:pt>
                <c:pt idx="7">
                  <c:v>2.5927809488205682</c:v>
                </c:pt>
                <c:pt idx="8">
                  <c:v>2.4858237922191626</c:v>
                </c:pt>
                <c:pt idx="9">
                  <c:v>2.3864047669229054</c:v>
                </c:pt>
                <c:pt idx="10">
                  <c:v>2.3056904577073598</c:v>
                </c:pt>
                <c:pt idx="11">
                  <c:v>2.1777438004811609</c:v>
                </c:pt>
                <c:pt idx="12">
                  <c:v>2.0689588051466719</c:v>
                </c:pt>
                <c:pt idx="13">
                  <c:v>1.9932352369739896</c:v>
                </c:pt>
                <c:pt idx="14">
                  <c:v>1.9201821542921518</c:v>
                </c:pt>
                <c:pt idx="15">
                  <c:v>1.8051695204916456</c:v>
                </c:pt>
                <c:pt idx="16">
                  <c:v>1.7117321315265839</c:v>
                </c:pt>
                <c:pt idx="17">
                  <c:v>1.6223823836871558</c:v>
                </c:pt>
                <c:pt idx="18">
                  <c:v>1.513724994659424</c:v>
                </c:pt>
              </c:numCache>
            </c:numRef>
          </c:yVal>
          <c:smooth val="1"/>
          <c:extLst>
            <c:ext xmlns:c16="http://schemas.microsoft.com/office/drawing/2014/chart" uri="{C3380CC4-5D6E-409C-BE32-E72D297353CC}">
              <c16:uniqueId val="{00000008-CA88-4242-B6DF-3A40CABD8DB2}"/>
            </c:ext>
          </c:extLst>
        </c:ser>
        <c:ser>
          <c:idx val="8"/>
          <c:order val="7"/>
          <c:tx>
            <c:strRef>
              <c:f>'Informe nº6d'!$L$16</c:f>
              <c:strCache>
                <c:ptCount val="1"/>
                <c:pt idx="0">
                  <c:v>MAY</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nº6d'!$L$18:$L$36</c:f>
              <c:numCache>
                <c:formatCode>0.00</c:formatCode>
                <c:ptCount val="19"/>
                <c:pt idx="0">
                  <c:v>2.2453076317196796</c:v>
                </c:pt>
                <c:pt idx="1">
                  <c:v>2.024013343879155</c:v>
                </c:pt>
                <c:pt idx="2">
                  <c:v>1.8746990447952636</c:v>
                </c:pt>
                <c:pt idx="3">
                  <c:v>1.7423504732903983</c:v>
                </c:pt>
                <c:pt idx="4">
                  <c:v>1.6280190490541004</c:v>
                </c:pt>
                <c:pt idx="5">
                  <c:v>1.514067627134777</c:v>
                </c:pt>
                <c:pt idx="6">
                  <c:v>1.4036942728928159</c:v>
                </c:pt>
                <c:pt idx="7">
                  <c:v>1.2871609605493999</c:v>
                </c:pt>
                <c:pt idx="8">
                  <c:v>1.1619104833829972</c:v>
                </c:pt>
                <c:pt idx="9">
                  <c:v>1.0564476251602173</c:v>
                </c:pt>
                <c:pt idx="10">
                  <c:v>0.96513047757602888</c:v>
                </c:pt>
                <c:pt idx="11">
                  <c:v>0.89055619154657639</c:v>
                </c:pt>
                <c:pt idx="12">
                  <c:v>0.81691429416338601</c:v>
                </c:pt>
                <c:pt idx="13">
                  <c:v>0.74002191282454</c:v>
                </c:pt>
                <c:pt idx="14">
                  <c:v>0.68380000193913781</c:v>
                </c:pt>
                <c:pt idx="15">
                  <c:v>0.61758381043161659</c:v>
                </c:pt>
                <c:pt idx="16">
                  <c:v>0.57631809725647876</c:v>
                </c:pt>
                <c:pt idx="17">
                  <c:v>0.53641333083311715</c:v>
                </c:pt>
                <c:pt idx="18">
                  <c:v>0.49557142498947332</c:v>
                </c:pt>
              </c:numCache>
            </c:numRef>
          </c:yVal>
          <c:smooth val="1"/>
          <c:extLst>
            <c:ext xmlns:c16="http://schemas.microsoft.com/office/drawing/2014/chart" uri="{C3380CC4-5D6E-409C-BE32-E72D297353CC}">
              <c16:uniqueId val="{00000009-CA88-4242-B6DF-3A40CABD8DB2}"/>
            </c:ext>
          </c:extLst>
        </c:ser>
        <c:ser>
          <c:idx val="9"/>
          <c:order val="8"/>
          <c:tx>
            <c:strRef>
              <c:f>'Informe nº6d'!$M$16</c:f>
              <c:strCache>
                <c:ptCount val="1"/>
                <c:pt idx="0">
                  <c:v>JUNE</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nº6d'!$M$18:$M$36</c:f>
              <c:numCache>
                <c:formatCode>0.00</c:formatCode>
                <c:ptCount val="19"/>
                <c:pt idx="0">
                  <c:v>0.43915190466103105</c:v>
                </c:pt>
                <c:pt idx="1">
                  <c:v>0.40375809123118722</c:v>
                </c:pt>
                <c:pt idx="2">
                  <c:v>0.37773666637284409</c:v>
                </c:pt>
                <c:pt idx="3">
                  <c:v>0.35295714012214113</c:v>
                </c:pt>
                <c:pt idx="4">
                  <c:v>0.32884643173643524</c:v>
                </c:pt>
                <c:pt idx="5">
                  <c:v>0.31275571279582531</c:v>
                </c:pt>
                <c:pt idx="6">
                  <c:v>0.29603452338349262</c:v>
                </c:pt>
                <c:pt idx="7">
                  <c:v>0.28324190576871233</c:v>
                </c:pt>
                <c:pt idx="8">
                  <c:v>0.26842142982142314</c:v>
                </c:pt>
                <c:pt idx="9">
                  <c:v>0.25680476107767658</c:v>
                </c:pt>
                <c:pt idx="10">
                  <c:v>0.2443666630912395</c:v>
                </c:pt>
                <c:pt idx="11">
                  <c:v>0.23368000075930642</c:v>
                </c:pt>
                <c:pt idx="12">
                  <c:v>0.22050642827082248</c:v>
                </c:pt>
                <c:pt idx="13">
                  <c:v>0.20993428499925704</c:v>
                </c:pt>
                <c:pt idx="14">
                  <c:v>0.19917499903766883</c:v>
                </c:pt>
                <c:pt idx="15">
                  <c:v>0.18973523804119652</c:v>
                </c:pt>
                <c:pt idx="16">
                  <c:v>0.18137592880853581</c:v>
                </c:pt>
                <c:pt idx="17">
                  <c:v>0.17228409502477873</c:v>
                </c:pt>
                <c:pt idx="18">
                  <c:v>0.16445816602735294</c:v>
                </c:pt>
              </c:numCache>
            </c:numRef>
          </c:yVal>
          <c:smooth val="1"/>
          <c:extLst>
            <c:ext xmlns:c16="http://schemas.microsoft.com/office/drawing/2014/chart" uri="{C3380CC4-5D6E-409C-BE32-E72D297353CC}">
              <c16:uniqueId val="{0000000A-CA88-4242-B6DF-3A40CABD8DB2}"/>
            </c:ext>
          </c:extLst>
        </c:ser>
        <c:ser>
          <c:idx val="10"/>
          <c:order val="9"/>
          <c:tx>
            <c:strRef>
              <c:f>'Informe nº6d'!$N$16</c:f>
              <c:strCache>
                <c:ptCount val="1"/>
                <c:pt idx="0">
                  <c:v>JULY</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nº6d'!$N$18:$N$36</c:f>
              <c:numCache>
                <c:formatCode>0.00</c:formatCode>
                <c:ptCount val="19"/>
                <c:pt idx="0">
                  <c:v>0.16234838004623139</c:v>
                </c:pt>
                <c:pt idx="1">
                  <c:v>0.1520352371391796</c:v>
                </c:pt>
                <c:pt idx="2">
                  <c:v>0.1461415247548194</c:v>
                </c:pt>
                <c:pt idx="3">
                  <c:v>0.14052200118700664</c:v>
                </c:pt>
                <c:pt idx="4">
                  <c:v>0.13571190514734813</c:v>
                </c:pt>
                <c:pt idx="5">
                  <c:v>0.13086914299499419</c:v>
                </c:pt>
                <c:pt idx="6">
                  <c:v>0.1256453330318133</c:v>
                </c:pt>
                <c:pt idx="7">
                  <c:v>0.12164457106874103</c:v>
                </c:pt>
                <c:pt idx="8">
                  <c:v>0.11786762036028363</c:v>
                </c:pt>
                <c:pt idx="9">
                  <c:v>0.11470952452648255</c:v>
                </c:pt>
                <c:pt idx="10">
                  <c:v>0.11150704742897125</c:v>
                </c:pt>
                <c:pt idx="11">
                  <c:v>0.10825495201916921</c:v>
                </c:pt>
                <c:pt idx="12">
                  <c:v>0.10489495275985626</c:v>
                </c:pt>
                <c:pt idx="13">
                  <c:v>0.10191552365819614</c:v>
                </c:pt>
                <c:pt idx="14">
                  <c:v>9.9200000897759502E-2</c:v>
                </c:pt>
                <c:pt idx="15">
                  <c:v>9.6537999844267253E-2</c:v>
                </c:pt>
                <c:pt idx="16">
                  <c:v>9.3572571554354278E-2</c:v>
                </c:pt>
                <c:pt idx="17">
                  <c:v>9.1016762277909696E-2</c:v>
                </c:pt>
                <c:pt idx="18">
                  <c:v>8.8657047670511982E-2</c:v>
                </c:pt>
              </c:numCache>
            </c:numRef>
          </c:yVal>
          <c:smooth val="1"/>
          <c:extLst>
            <c:ext xmlns:c16="http://schemas.microsoft.com/office/drawing/2014/chart" uri="{C3380CC4-5D6E-409C-BE32-E72D297353CC}">
              <c16:uniqueId val="{0000000B-CA88-4242-B6DF-3A40CABD8DB2}"/>
            </c:ext>
          </c:extLst>
        </c:ser>
        <c:ser>
          <c:idx val="11"/>
          <c:order val="10"/>
          <c:tx>
            <c:strRef>
              <c:f>'Informe nº6d'!$O$16</c:f>
              <c:strCache>
                <c:ptCount val="1"/>
                <c:pt idx="0">
                  <c:v>AUGUST</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nº6d'!$O$18:$O$36</c:f>
              <c:numCache>
                <c:formatCode>0.00</c:formatCode>
                <c:ptCount val="19"/>
                <c:pt idx="0">
                  <c:v>9.605895273742221E-2</c:v>
                </c:pt>
                <c:pt idx="1">
                  <c:v>8.7569238103571395E-2</c:v>
                </c:pt>
                <c:pt idx="2">
                  <c:v>8.4245047328018005E-2</c:v>
                </c:pt>
                <c:pt idx="3">
                  <c:v>8.2477428764104854E-2</c:v>
                </c:pt>
                <c:pt idx="4">
                  <c:v>8.0813334101722353E-2</c:v>
                </c:pt>
                <c:pt idx="5">
                  <c:v>7.9586381323280789E-2</c:v>
                </c:pt>
                <c:pt idx="6">
                  <c:v>7.8066380605811156E-2</c:v>
                </c:pt>
                <c:pt idx="7">
                  <c:v>7.690561960140864E-2</c:v>
                </c:pt>
                <c:pt idx="8">
                  <c:v>7.5272857149442027E-2</c:v>
                </c:pt>
                <c:pt idx="9">
                  <c:v>7.3476667382887439E-2</c:v>
                </c:pt>
                <c:pt idx="10">
                  <c:v>7.2206189944630572E-2</c:v>
                </c:pt>
                <c:pt idx="11">
                  <c:v>7.0648380759216478E-2</c:v>
                </c:pt>
                <c:pt idx="12">
                  <c:v>6.8758475567613345E-2</c:v>
                </c:pt>
                <c:pt idx="13">
                  <c:v>6.7457619096551624E-2</c:v>
                </c:pt>
                <c:pt idx="14">
                  <c:v>6.5968095724071779E-2</c:v>
                </c:pt>
                <c:pt idx="15">
                  <c:v>6.4468095238719658E-2</c:v>
                </c:pt>
                <c:pt idx="16">
                  <c:v>6.3052762051423406E-2</c:v>
                </c:pt>
                <c:pt idx="17">
                  <c:v>6.152400040910358E-2</c:v>
                </c:pt>
                <c:pt idx="18">
                  <c:v>5.9767619201115209E-2</c:v>
                </c:pt>
              </c:numCache>
            </c:numRef>
          </c:yVal>
          <c:smooth val="1"/>
          <c:extLst>
            <c:ext xmlns:c16="http://schemas.microsoft.com/office/drawing/2014/chart" uri="{C3380CC4-5D6E-409C-BE32-E72D297353CC}">
              <c16:uniqueId val="{0000000C-CA88-4242-B6DF-3A40CABD8DB2}"/>
            </c:ext>
          </c:extLst>
        </c:ser>
        <c:ser>
          <c:idx val="12"/>
          <c:order val="11"/>
          <c:tx>
            <c:strRef>
              <c:f>'Informe nº6d'!$P$16</c:f>
              <c:strCache>
                <c:ptCount val="1"/>
                <c:pt idx="0">
                  <c:v>SEPTEMBER</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nº6d'!$P$18:$P$36</c:f>
              <c:numCache>
                <c:formatCode>0.00</c:formatCode>
                <c:ptCount val="19"/>
                <c:pt idx="0">
                  <c:v>0.13448368970836908</c:v>
                </c:pt>
                <c:pt idx="1">
                  <c:v>0.10938461916077706</c:v>
                </c:pt>
                <c:pt idx="2">
                  <c:v>9.7495714495224609E-2</c:v>
                </c:pt>
                <c:pt idx="3">
                  <c:v>8.7617333588146051E-2</c:v>
                </c:pt>
                <c:pt idx="4">
                  <c:v>7.9427381046116352E-2</c:v>
                </c:pt>
                <c:pt idx="5">
                  <c:v>7.5523999794608082E-2</c:v>
                </c:pt>
                <c:pt idx="6">
                  <c:v>7.1049833404166374E-2</c:v>
                </c:pt>
                <c:pt idx="7">
                  <c:v>6.8575619232086896E-2</c:v>
                </c:pt>
                <c:pt idx="8">
                  <c:v>6.5127428390440487E-2</c:v>
                </c:pt>
                <c:pt idx="9">
                  <c:v>6.2824523785994166E-2</c:v>
                </c:pt>
                <c:pt idx="10">
                  <c:v>6.0586976437341594E-2</c:v>
                </c:pt>
                <c:pt idx="11">
                  <c:v>5.9028857414211558E-2</c:v>
                </c:pt>
                <c:pt idx="12">
                  <c:v>5.7387500247430237E-2</c:v>
                </c:pt>
                <c:pt idx="13">
                  <c:v>5.5770333945041613E-2</c:v>
                </c:pt>
                <c:pt idx="14">
                  <c:v>5.419999986354794E-2</c:v>
                </c:pt>
                <c:pt idx="15">
                  <c:v>5.2627047825427278E-2</c:v>
                </c:pt>
                <c:pt idx="16">
                  <c:v>5.0980309219587412E-2</c:v>
                </c:pt>
                <c:pt idx="17">
                  <c:v>4.933495243035612E-2</c:v>
                </c:pt>
                <c:pt idx="18">
                  <c:v>4.7183595158691916E-2</c:v>
                </c:pt>
              </c:numCache>
            </c:numRef>
          </c:yVal>
          <c:smooth val="1"/>
          <c:extLst>
            <c:ext xmlns:c16="http://schemas.microsoft.com/office/drawing/2014/chart" uri="{C3380CC4-5D6E-409C-BE32-E72D297353CC}">
              <c16:uniqueId val="{0000000D-CA88-4242-B6DF-3A40CABD8DB2}"/>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4268833158860923"/>
              <c:y val="0.9046035578885971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65000"/>
                </a:schemeClr>
              </a:solidFill>
              <a:prstDash val="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1.7725284339457567E-2"/>
              <c:y val="0.37078699238319041"/>
            </c:manualLayout>
          </c:layout>
          <c:overlay val="0"/>
          <c:spPr>
            <a:noFill/>
            <a:ln w="25400">
              <a:noFill/>
            </a:ln>
          </c:spPr>
        </c:title>
        <c:numFmt formatCode="0" sourceLinked="0"/>
        <c:majorTickMark val="out"/>
        <c:minorTickMark val="in"/>
        <c:tickLblPos val="nextTo"/>
        <c:spPr>
          <a:ln w="15875">
            <a:solidFill>
              <a:schemeClr val="tx1">
                <a:lumMod val="50000"/>
                <a:lumOff val="50000"/>
              </a:schemeClr>
            </a:solidFill>
            <a:prstDash val="solid"/>
          </a:ln>
        </c:spPr>
        <c:txPr>
          <a:bodyPr rot="0" vert="horz"/>
          <a:lstStyle/>
          <a:p>
            <a:pPr>
              <a:defRPr sz="825" b="0" i="0" u="none" strike="noStrike" baseline="0">
                <a:solidFill>
                  <a:schemeClr val="tx1">
                    <a:lumMod val="65000"/>
                    <a:lumOff val="35000"/>
                  </a:schemeClr>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90009101849080342"/>
          <c:y val="2.5792676905485826E-2"/>
          <c:w val="7.7026240610536562E-2"/>
          <c:h val="0.43609196850393706"/>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OCTOBER. </a:t>
            </a:r>
            <a:r>
              <a:rPr lang="es-ES" sz="600">
                <a:solidFill>
                  <a:schemeClr val="tx1">
                    <a:lumMod val="65000"/>
                    <a:lumOff val="35000"/>
                  </a:schemeClr>
                </a:solidFill>
              </a:rPr>
              <a:t>RATED FLOW CURVES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184962453711413"/>
          <c:y val="8.9686098654708543E-2"/>
          <c:w val="0.83379974784118749"/>
          <c:h val="0.75560538116591924"/>
        </c:manualLayout>
      </c:layout>
      <c:scatterChart>
        <c:scatterStyle val="smoothMarker"/>
        <c:varyColors val="0"/>
        <c:ser>
          <c:idx val="0"/>
          <c:order val="0"/>
          <c:tx>
            <c:strRef>
              <c:f>'Informe nº6e'!$E$17</c:f>
              <c:strCache>
                <c:ptCount val="1"/>
                <c:pt idx="0">
                  <c:v>NAT_F</c:v>
                </c:pt>
              </c:strCache>
            </c:strRef>
          </c:tx>
          <c:spPr>
            <a:ln w="25400">
              <a:solidFill>
                <a:srgbClr val="0000FF"/>
              </a:solidFill>
              <a:prstDash val="solid"/>
            </a:ln>
          </c:spPr>
          <c:marker>
            <c:symbol val="none"/>
          </c:marker>
          <c:xVal>
            <c:numRef>
              <c:f>'Informe nº6e'!$D$18:$D$36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nº6e'!$E$18:$E$36</c:f>
              <c:numCache>
                <c:formatCode>0.00</c:formatCode>
                <c:ptCount val="19"/>
                <c:pt idx="0">
                  <c:v>2.1101618937083653</c:v>
                </c:pt>
                <c:pt idx="1">
                  <c:v>1.94207238810403</c:v>
                </c:pt>
                <c:pt idx="2">
                  <c:v>1.8017028547468641</c:v>
                </c:pt>
                <c:pt idx="3">
                  <c:v>1.6730876099495664</c:v>
                </c:pt>
                <c:pt idx="4">
                  <c:v>1.5583380943252927</c:v>
                </c:pt>
                <c:pt idx="5">
                  <c:v>1.4657380995296294</c:v>
                </c:pt>
                <c:pt idx="6">
                  <c:v>1.3785999973615013</c:v>
                </c:pt>
                <c:pt idx="7">
                  <c:v>1.2889200000535872</c:v>
                </c:pt>
                <c:pt idx="8">
                  <c:v>1.20425618773415</c:v>
                </c:pt>
                <c:pt idx="9">
                  <c:v>1.1168142897742137</c:v>
                </c:pt>
                <c:pt idx="10">
                  <c:v>1.0292428624062309</c:v>
                </c:pt>
                <c:pt idx="11">
                  <c:v>0.93533809525626066</c:v>
                </c:pt>
                <c:pt idx="12">
                  <c:v>0.86789808954511372</c:v>
                </c:pt>
                <c:pt idx="13">
                  <c:v>0.80035904731069296</c:v>
                </c:pt>
                <c:pt idx="14">
                  <c:v>0.73893332907131737</c:v>
                </c:pt>
                <c:pt idx="15">
                  <c:v>0.64107713656766074</c:v>
                </c:pt>
                <c:pt idx="16">
                  <c:v>0.57822094886075881</c:v>
                </c:pt>
                <c:pt idx="17">
                  <c:v>0.50716190465859001</c:v>
                </c:pt>
                <c:pt idx="18">
                  <c:v>0.4260638079472952</c:v>
                </c:pt>
              </c:numCache>
            </c:numRef>
          </c:yVal>
          <c:smooth val="1"/>
          <c:extLst>
            <c:ext xmlns:c16="http://schemas.microsoft.com/office/drawing/2014/chart" uri="{C3380CC4-5D6E-409C-BE32-E72D297353CC}">
              <c16:uniqueId val="{00000000-D4CE-440B-9632-29A0DC99562E}"/>
            </c:ext>
          </c:extLst>
        </c:ser>
        <c:ser>
          <c:idx val="1"/>
          <c:order val="1"/>
          <c:tx>
            <c:strRef>
              <c:f>'Informe nº6e'!$F$17</c:f>
              <c:strCache>
                <c:ptCount val="1"/>
                <c:pt idx="0">
                  <c:v>ALT_F</c:v>
                </c:pt>
              </c:strCache>
            </c:strRef>
          </c:tx>
          <c:spPr>
            <a:ln w="25400">
              <a:solidFill>
                <a:srgbClr val="FF0000"/>
              </a:solidFill>
              <a:prstDash val="solid"/>
            </a:ln>
          </c:spPr>
          <c:marker>
            <c:symbol val="none"/>
          </c:marker>
          <c:xVal>
            <c:numRef>
              <c:f>'Informe nº6e'!$D$18:$D$36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nº6e'!$F$18:$F$36</c:f>
              <c:numCache>
                <c:formatCode>0.00</c:formatCode>
                <c:ptCount val="19"/>
                <c:pt idx="0">
                  <c:v>1.1599552361738112</c:v>
                </c:pt>
                <c:pt idx="1">
                  <c:v>0.94163810213406884</c:v>
                </c:pt>
                <c:pt idx="2">
                  <c:v>0.86367237709817424</c:v>
                </c:pt>
                <c:pt idx="3">
                  <c:v>0.76233142458257219</c:v>
                </c:pt>
                <c:pt idx="4">
                  <c:v>0.62584285509018667</c:v>
                </c:pt>
                <c:pt idx="5">
                  <c:v>0.52857523553428187</c:v>
                </c:pt>
                <c:pt idx="6">
                  <c:v>0.4377849512156986</c:v>
                </c:pt>
                <c:pt idx="7">
                  <c:v>0.39510685957613445</c:v>
                </c:pt>
                <c:pt idx="8">
                  <c:v>0.32874323832137253</c:v>
                </c:pt>
                <c:pt idx="9">
                  <c:v>0.27224380913234897</c:v>
                </c:pt>
                <c:pt idx="10">
                  <c:v>0.24162066883984062</c:v>
                </c:pt>
                <c:pt idx="11">
                  <c:v>0.21920885773641724</c:v>
                </c:pt>
                <c:pt idx="12">
                  <c:v>0.18653800051127159</c:v>
                </c:pt>
                <c:pt idx="13">
                  <c:v>0.14077057224654019</c:v>
                </c:pt>
                <c:pt idx="14">
                  <c:v>0.11247999948405082</c:v>
                </c:pt>
                <c:pt idx="15">
                  <c:v>8.9507618759359628E-2</c:v>
                </c:pt>
                <c:pt idx="16">
                  <c:v>7.932657070812725E-2</c:v>
                </c:pt>
                <c:pt idx="17">
                  <c:v>6.654180951771281E-2</c:v>
                </c:pt>
                <c:pt idx="18">
                  <c:v>5.7455428441365572E-2</c:v>
                </c:pt>
              </c:numCache>
            </c:numRef>
          </c:yVal>
          <c:smooth val="1"/>
          <c:extLst>
            <c:ext xmlns:c16="http://schemas.microsoft.com/office/drawing/2014/chart" uri="{C3380CC4-5D6E-409C-BE32-E72D297353CC}">
              <c16:uniqueId val="{00000001-D4CE-440B-9632-29A0DC99562E}"/>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1804648286033734"/>
              <c:y val="0.91062592217599359"/>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NOVEMBER. </a:t>
            </a:r>
            <a:r>
              <a:rPr lang="es-ES" sz="600">
                <a:solidFill>
                  <a:schemeClr val="tx1">
                    <a:lumMod val="65000"/>
                    <a:lumOff val="35000"/>
                  </a:schemeClr>
                </a:solidFill>
              </a:rPr>
              <a:t>RATED FLOW CURVES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0977654820174505"/>
          <c:y val="8.9686098654708543E-2"/>
          <c:w val="0.84280595556186111"/>
          <c:h val="0.75560538116591924"/>
        </c:manualLayout>
      </c:layout>
      <c:scatterChart>
        <c:scatterStyle val="smoothMarker"/>
        <c:varyColors val="0"/>
        <c:ser>
          <c:idx val="0"/>
          <c:order val="0"/>
          <c:tx>
            <c:strRef>
              <c:f>'Informe nº6e'!$I$17</c:f>
              <c:strCache>
                <c:ptCount val="1"/>
                <c:pt idx="0">
                  <c:v>NAT_F</c:v>
                </c:pt>
              </c:strCache>
            </c:strRef>
          </c:tx>
          <c:spPr>
            <a:ln w="25400">
              <a:solidFill>
                <a:srgbClr val="0000FF"/>
              </a:solidFill>
              <a:prstDash val="solid"/>
            </a:ln>
          </c:spPr>
          <c:marker>
            <c:symbol val="none"/>
          </c:marker>
          <c:xVal>
            <c:numRef>
              <c:f>'Informe nº6e'!$H$18:$H$36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nº6e'!$I$18:$I$36</c:f>
              <c:numCache>
                <c:formatCode>0.00</c:formatCode>
                <c:ptCount val="19"/>
                <c:pt idx="0">
                  <c:v>4.6877475942884175</c:v>
                </c:pt>
                <c:pt idx="1">
                  <c:v>4.3405380759920389</c:v>
                </c:pt>
                <c:pt idx="2">
                  <c:v>4.065549992095856</c:v>
                </c:pt>
                <c:pt idx="3">
                  <c:v>3.8862380765733269</c:v>
                </c:pt>
                <c:pt idx="4">
                  <c:v>3.722404783680326</c:v>
                </c:pt>
                <c:pt idx="5">
                  <c:v>3.56450473126911</c:v>
                </c:pt>
                <c:pt idx="6">
                  <c:v>3.4608928680419924</c:v>
                </c:pt>
                <c:pt idx="7">
                  <c:v>3.3260571332204907</c:v>
                </c:pt>
                <c:pt idx="8">
                  <c:v>3.1669761887618475</c:v>
                </c:pt>
                <c:pt idx="9">
                  <c:v>2.9638095072337558</c:v>
                </c:pt>
                <c:pt idx="10">
                  <c:v>2.7749238269669672</c:v>
                </c:pt>
                <c:pt idx="11">
                  <c:v>2.5650361935297648</c:v>
                </c:pt>
                <c:pt idx="12">
                  <c:v>2.3901916620277222</c:v>
                </c:pt>
                <c:pt idx="13">
                  <c:v>2.1241180973393576</c:v>
                </c:pt>
                <c:pt idx="14">
                  <c:v>1.9271047441732316</c:v>
                </c:pt>
                <c:pt idx="15">
                  <c:v>1.8168971532867069</c:v>
                </c:pt>
                <c:pt idx="16">
                  <c:v>1.639973809747469</c:v>
                </c:pt>
                <c:pt idx="17">
                  <c:v>1.4703699832870849</c:v>
                </c:pt>
                <c:pt idx="18">
                  <c:v>1.2889073865754268</c:v>
                </c:pt>
              </c:numCache>
            </c:numRef>
          </c:yVal>
          <c:smooth val="1"/>
          <c:extLst>
            <c:ext xmlns:c16="http://schemas.microsoft.com/office/drawing/2014/chart" uri="{C3380CC4-5D6E-409C-BE32-E72D297353CC}">
              <c16:uniqueId val="{00000000-EBA8-47F3-A3C7-9A418B160630}"/>
            </c:ext>
          </c:extLst>
        </c:ser>
        <c:ser>
          <c:idx val="1"/>
          <c:order val="1"/>
          <c:tx>
            <c:strRef>
              <c:f>'Informe nº6e'!$J$17</c:f>
              <c:strCache>
                <c:ptCount val="1"/>
                <c:pt idx="0">
                  <c:v>ALT_F</c:v>
                </c:pt>
              </c:strCache>
            </c:strRef>
          </c:tx>
          <c:spPr>
            <a:ln w="25400">
              <a:solidFill>
                <a:srgbClr val="FF0000"/>
              </a:solidFill>
              <a:prstDash val="solid"/>
            </a:ln>
          </c:spPr>
          <c:marker>
            <c:symbol val="none"/>
          </c:marker>
          <c:xVal>
            <c:numRef>
              <c:f>'Informe nº6e'!$H$18:$H$36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nº6e'!$J$18:$J$36</c:f>
              <c:numCache>
                <c:formatCode>0.00</c:formatCode>
                <c:ptCount val="19"/>
                <c:pt idx="0">
                  <c:v>2.4471904811404999</c:v>
                </c:pt>
                <c:pt idx="1">
                  <c:v>2.1379285585312617</c:v>
                </c:pt>
                <c:pt idx="2">
                  <c:v>2.018549998885109</c:v>
                </c:pt>
                <c:pt idx="3">
                  <c:v>1.8880171350070412</c:v>
                </c:pt>
                <c:pt idx="4">
                  <c:v>1.7931916656948268</c:v>
                </c:pt>
                <c:pt idx="5">
                  <c:v>1.7134923841272083</c:v>
                </c:pt>
                <c:pt idx="6">
                  <c:v>1.6341395122664319</c:v>
                </c:pt>
                <c:pt idx="7">
                  <c:v>1.5459009613309589</c:v>
                </c:pt>
                <c:pt idx="8">
                  <c:v>1.4835454769077754</c:v>
                </c:pt>
                <c:pt idx="9">
                  <c:v>1.4138404684407369</c:v>
                </c:pt>
                <c:pt idx="10">
                  <c:v>1.338223322516396</c:v>
                </c:pt>
                <c:pt idx="11">
                  <c:v>1.2471314259937831</c:v>
                </c:pt>
                <c:pt idx="12">
                  <c:v>1.1797369038774852</c:v>
                </c:pt>
                <c:pt idx="13">
                  <c:v>1.0842847585678101</c:v>
                </c:pt>
                <c:pt idx="14">
                  <c:v>0.94354404473588582</c:v>
                </c:pt>
                <c:pt idx="15">
                  <c:v>0.88494476165090286</c:v>
                </c:pt>
                <c:pt idx="16">
                  <c:v>0.80991595692577811</c:v>
                </c:pt>
                <c:pt idx="17">
                  <c:v>0.71741428268807272</c:v>
                </c:pt>
                <c:pt idx="18">
                  <c:v>0.58581409165192233</c:v>
                </c:pt>
              </c:numCache>
            </c:numRef>
          </c:yVal>
          <c:smooth val="1"/>
          <c:extLst>
            <c:ext xmlns:c16="http://schemas.microsoft.com/office/drawing/2014/chart" uri="{C3380CC4-5D6E-409C-BE32-E72D297353CC}">
              <c16:uniqueId val="{00000001-EBA8-47F3-A3C7-9A418B160630}"/>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sz="830" b="1" i="0" baseline="0">
                    <a:effectLst/>
                  </a:rPr>
                  <a:t>% </a:t>
                </a:r>
                <a:r>
                  <a:rPr lang="en-GB" sz="900"/>
                  <a:t>of time with equal or exceeded flow rate</a:t>
                </a:r>
                <a:endParaRPr lang="es-ES" sz="830">
                  <a:effectLst/>
                </a:endParaRPr>
              </a:p>
            </c:rich>
          </c:tx>
          <c:layout>
            <c:manualLayout>
              <c:xMode val="edge"/>
              <c:yMode val="edge"/>
              <c:x val="0.12314298550519025"/>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DECEMBER. </a:t>
            </a:r>
            <a:r>
              <a:rPr lang="es-ES" sz="600">
                <a:solidFill>
                  <a:schemeClr val="tx1">
                    <a:lumMod val="65000"/>
                    <a:lumOff val="35000"/>
                  </a:schemeClr>
                </a:solidFill>
              </a:rPr>
              <a:t>RATED FLOW CURVES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2178856021375706"/>
          <c:y val="8.9686098654708543E-2"/>
          <c:w val="0.83079394354984903"/>
          <c:h val="0.75560538116591924"/>
        </c:manualLayout>
      </c:layout>
      <c:scatterChart>
        <c:scatterStyle val="smoothMarker"/>
        <c:varyColors val="0"/>
        <c:ser>
          <c:idx val="0"/>
          <c:order val="0"/>
          <c:tx>
            <c:strRef>
              <c:f>'Informe nº6e'!$M$17</c:f>
              <c:strCache>
                <c:ptCount val="1"/>
                <c:pt idx="0">
                  <c:v>NAT_F</c:v>
                </c:pt>
              </c:strCache>
            </c:strRef>
          </c:tx>
          <c:spPr>
            <a:ln w="25400">
              <a:solidFill>
                <a:srgbClr val="0000FF"/>
              </a:solidFill>
              <a:prstDash val="solid"/>
            </a:ln>
          </c:spPr>
          <c:marker>
            <c:symbol val="none"/>
          </c:marker>
          <c:xVal>
            <c:numRef>
              <c:f>'Informe nº6e'!$L$18:$L$36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nº6e'!$M$18:$M$36</c:f>
              <c:numCache>
                <c:formatCode>0.00</c:formatCode>
                <c:ptCount val="19"/>
                <c:pt idx="0">
                  <c:v>7.6451619216373992</c:v>
                </c:pt>
                <c:pt idx="1">
                  <c:v>7.2930285726274775</c:v>
                </c:pt>
                <c:pt idx="2">
                  <c:v>6.9550856953575497</c:v>
                </c:pt>
                <c:pt idx="3">
                  <c:v>6.7596666381472623</c:v>
                </c:pt>
                <c:pt idx="4">
                  <c:v>6.4722857929411388</c:v>
                </c:pt>
                <c:pt idx="5">
                  <c:v>6.3162476108187713</c:v>
                </c:pt>
                <c:pt idx="6">
                  <c:v>6.1113808881668827</c:v>
                </c:pt>
                <c:pt idx="7">
                  <c:v>5.8796095098767971</c:v>
                </c:pt>
                <c:pt idx="8">
                  <c:v>5.6603047302791056</c:v>
                </c:pt>
                <c:pt idx="9">
                  <c:v>5.4275238059815907</c:v>
                </c:pt>
                <c:pt idx="10">
                  <c:v>5.2173523823420203</c:v>
                </c:pt>
                <c:pt idx="11">
                  <c:v>5.0741428068705963</c:v>
                </c:pt>
                <c:pt idx="12">
                  <c:v>4.8875142926261539</c:v>
                </c:pt>
                <c:pt idx="13">
                  <c:v>4.7143714019230432</c:v>
                </c:pt>
                <c:pt idx="14">
                  <c:v>4.4666666643960138</c:v>
                </c:pt>
                <c:pt idx="15">
                  <c:v>4.2986857016881315</c:v>
                </c:pt>
                <c:pt idx="16">
                  <c:v>4.0498952354703635</c:v>
                </c:pt>
                <c:pt idx="17">
                  <c:v>3.8364857071921938</c:v>
                </c:pt>
                <c:pt idx="18">
                  <c:v>3.5973904995691215</c:v>
                </c:pt>
              </c:numCache>
            </c:numRef>
          </c:yVal>
          <c:smooth val="1"/>
          <c:extLst>
            <c:ext xmlns:c16="http://schemas.microsoft.com/office/drawing/2014/chart" uri="{C3380CC4-5D6E-409C-BE32-E72D297353CC}">
              <c16:uniqueId val="{00000000-B3FD-4065-8B5C-34C021ADA82D}"/>
            </c:ext>
          </c:extLst>
        </c:ser>
        <c:ser>
          <c:idx val="1"/>
          <c:order val="1"/>
          <c:tx>
            <c:strRef>
              <c:f>'Informe nº6e'!$N$17</c:f>
              <c:strCache>
                <c:ptCount val="1"/>
                <c:pt idx="0">
                  <c:v>ALT_F</c:v>
                </c:pt>
              </c:strCache>
            </c:strRef>
          </c:tx>
          <c:spPr>
            <a:ln w="25400">
              <a:solidFill>
                <a:srgbClr val="FF0000"/>
              </a:solidFill>
              <a:prstDash val="solid"/>
            </a:ln>
          </c:spPr>
          <c:marker>
            <c:symbol val="none"/>
          </c:marker>
          <c:xVal>
            <c:numRef>
              <c:f>'Informe nº6e'!$L$18:$L$36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nº6e'!$N$18:$N$36</c:f>
              <c:numCache>
                <c:formatCode>0.00</c:formatCode>
                <c:ptCount val="19"/>
                <c:pt idx="0">
                  <c:v>4.2454000018891831</c:v>
                </c:pt>
                <c:pt idx="1">
                  <c:v>3.8914476326533727</c:v>
                </c:pt>
                <c:pt idx="2">
                  <c:v>3.6596761907849999</c:v>
                </c:pt>
                <c:pt idx="3">
                  <c:v>3.43522857938494</c:v>
                </c:pt>
                <c:pt idx="4">
                  <c:v>3.1844285783313566</c:v>
                </c:pt>
                <c:pt idx="5">
                  <c:v>3.0086095287686305</c:v>
                </c:pt>
                <c:pt idx="6">
                  <c:v>2.8269333396639147</c:v>
                </c:pt>
                <c:pt idx="7">
                  <c:v>2.7233142954962597</c:v>
                </c:pt>
                <c:pt idx="8">
                  <c:v>2.5995143016179405</c:v>
                </c:pt>
                <c:pt idx="9">
                  <c:v>2.4997618993123374</c:v>
                </c:pt>
                <c:pt idx="10">
                  <c:v>2.3618095227650238</c:v>
                </c:pt>
                <c:pt idx="11">
                  <c:v>2.2687809592201598</c:v>
                </c:pt>
                <c:pt idx="12">
                  <c:v>2.1526285727818806</c:v>
                </c:pt>
                <c:pt idx="13">
                  <c:v>2.0392800013224286</c:v>
                </c:pt>
                <c:pt idx="14">
                  <c:v>1.867457140059698</c:v>
                </c:pt>
                <c:pt idx="15">
                  <c:v>1.7489352419262838</c:v>
                </c:pt>
                <c:pt idx="16">
                  <c:v>1.6199847715241567</c:v>
                </c:pt>
                <c:pt idx="17">
                  <c:v>1.4661980895769029</c:v>
                </c:pt>
                <c:pt idx="18">
                  <c:v>1.3191314203398568</c:v>
                </c:pt>
              </c:numCache>
            </c:numRef>
          </c:yVal>
          <c:smooth val="1"/>
          <c:extLst>
            <c:ext xmlns:c16="http://schemas.microsoft.com/office/drawing/2014/chart" uri="{C3380CC4-5D6E-409C-BE32-E72D297353CC}">
              <c16:uniqueId val="{00000001-B3FD-4065-8B5C-34C021ADA82D}"/>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3651635887856362"/>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JANUARY. </a:t>
            </a:r>
            <a:r>
              <a:rPr lang="es-ES" sz="600">
                <a:solidFill>
                  <a:schemeClr val="tx1">
                    <a:lumMod val="65000"/>
                    <a:lumOff val="35000"/>
                  </a:schemeClr>
                </a:solidFill>
              </a:rPr>
              <a:t>RATED FLOW CURVES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0577254419774104"/>
          <c:y val="8.9686098654708543E-2"/>
          <c:w val="0.84680995956586502"/>
          <c:h val="0.75560538116591924"/>
        </c:manualLayout>
      </c:layout>
      <c:scatterChart>
        <c:scatterStyle val="smoothMarker"/>
        <c:varyColors val="0"/>
        <c:ser>
          <c:idx val="0"/>
          <c:order val="0"/>
          <c:tx>
            <c:strRef>
              <c:f>'Informe nº6e'!$Q$17</c:f>
              <c:strCache>
                <c:ptCount val="1"/>
                <c:pt idx="0">
                  <c:v>NAT_F</c:v>
                </c:pt>
              </c:strCache>
            </c:strRef>
          </c:tx>
          <c:spPr>
            <a:ln w="25400">
              <a:solidFill>
                <a:srgbClr val="0000FF"/>
              </a:solidFill>
              <a:prstDash val="solid"/>
            </a:ln>
          </c:spPr>
          <c:marker>
            <c:symbol val="none"/>
          </c:marker>
          <c:xVal>
            <c:numRef>
              <c:f>'Informe nº6e'!$P$18:$P$36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nº6e'!$Q$18:$Q$36</c:f>
              <c:numCache>
                <c:formatCode>0.00</c:formatCode>
                <c:ptCount val="19"/>
                <c:pt idx="0">
                  <c:v>7.1677047457013812</c:v>
                </c:pt>
                <c:pt idx="1">
                  <c:v>6.8261999811444971</c:v>
                </c:pt>
                <c:pt idx="2">
                  <c:v>6.6003714107331772</c:v>
                </c:pt>
                <c:pt idx="3">
                  <c:v>6.427495247977121</c:v>
                </c:pt>
                <c:pt idx="4">
                  <c:v>6.2127619470868787</c:v>
                </c:pt>
                <c:pt idx="5">
                  <c:v>6.0270190238952637</c:v>
                </c:pt>
                <c:pt idx="6">
                  <c:v>5.816171409970238</c:v>
                </c:pt>
                <c:pt idx="7">
                  <c:v>5.6284761882963634</c:v>
                </c:pt>
                <c:pt idx="8">
                  <c:v>5.4215429033551903</c:v>
                </c:pt>
                <c:pt idx="9">
                  <c:v>5.2772381078629271</c:v>
                </c:pt>
                <c:pt idx="10">
                  <c:v>5.1458475953056704</c:v>
                </c:pt>
                <c:pt idx="11">
                  <c:v>4.9962095419565822</c:v>
                </c:pt>
                <c:pt idx="12">
                  <c:v>4.8948761871882835</c:v>
                </c:pt>
                <c:pt idx="13">
                  <c:v>4.7878571215130048</c:v>
                </c:pt>
                <c:pt idx="14">
                  <c:v>4.6648095221746537</c:v>
                </c:pt>
                <c:pt idx="15">
                  <c:v>4.5566094716389971</c:v>
                </c:pt>
                <c:pt idx="16">
                  <c:v>4.4372856957571845</c:v>
                </c:pt>
                <c:pt idx="17">
                  <c:v>4.2995333353678387</c:v>
                </c:pt>
                <c:pt idx="18">
                  <c:v>4.122704769316174</c:v>
                </c:pt>
              </c:numCache>
            </c:numRef>
          </c:yVal>
          <c:smooth val="1"/>
          <c:extLst>
            <c:ext xmlns:c16="http://schemas.microsoft.com/office/drawing/2014/chart" uri="{C3380CC4-5D6E-409C-BE32-E72D297353CC}">
              <c16:uniqueId val="{00000000-8CD6-4B6D-A100-61E3A4165008}"/>
            </c:ext>
          </c:extLst>
        </c:ser>
        <c:ser>
          <c:idx val="1"/>
          <c:order val="1"/>
          <c:tx>
            <c:strRef>
              <c:f>'Informe nº6e'!$R$17</c:f>
              <c:strCache>
                <c:ptCount val="1"/>
                <c:pt idx="0">
                  <c:v>ALT_F</c:v>
                </c:pt>
              </c:strCache>
            </c:strRef>
          </c:tx>
          <c:spPr>
            <a:ln w="25400">
              <a:solidFill>
                <a:srgbClr val="FF0000"/>
              </a:solidFill>
              <a:prstDash val="solid"/>
            </a:ln>
          </c:spPr>
          <c:marker>
            <c:symbol val="none"/>
          </c:marker>
          <c:xVal>
            <c:numRef>
              <c:f>'Informe nº6e'!$P$18:$P$36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nº6e'!$R$18:$R$36</c:f>
              <c:numCache>
                <c:formatCode>0.00</c:formatCode>
                <c:ptCount val="19"/>
                <c:pt idx="0">
                  <c:v>5.6672476450602218</c:v>
                </c:pt>
                <c:pt idx="1">
                  <c:v>5.3387332961672831</c:v>
                </c:pt>
                <c:pt idx="2">
                  <c:v>5.1177428608848921</c:v>
                </c:pt>
                <c:pt idx="3">
                  <c:v>4.9155237561180485</c:v>
                </c:pt>
                <c:pt idx="4">
                  <c:v>4.7604761691320512</c:v>
                </c:pt>
                <c:pt idx="5">
                  <c:v>4.6524285884130574</c:v>
                </c:pt>
                <c:pt idx="6">
                  <c:v>4.503380932126726</c:v>
                </c:pt>
                <c:pt idx="7">
                  <c:v>4.3471904777345198</c:v>
                </c:pt>
                <c:pt idx="8">
                  <c:v>4.2022380919683551</c:v>
                </c:pt>
                <c:pt idx="9">
                  <c:v>4.064857130958921</c:v>
                </c:pt>
                <c:pt idx="10">
                  <c:v>3.912866671880086</c:v>
                </c:pt>
                <c:pt idx="11">
                  <c:v>3.7918761889139811</c:v>
                </c:pt>
                <c:pt idx="12">
                  <c:v>3.6874952180044991</c:v>
                </c:pt>
                <c:pt idx="13">
                  <c:v>3.5594952333541143</c:v>
                </c:pt>
                <c:pt idx="14">
                  <c:v>3.4480000109899609</c:v>
                </c:pt>
                <c:pt idx="15">
                  <c:v>3.3170666615168249</c:v>
                </c:pt>
                <c:pt idx="16">
                  <c:v>3.1664476360593521</c:v>
                </c:pt>
                <c:pt idx="17">
                  <c:v>3.0334571168536235</c:v>
                </c:pt>
                <c:pt idx="18">
                  <c:v>2.8539228626659936</c:v>
                </c:pt>
              </c:numCache>
            </c:numRef>
          </c:yVal>
          <c:smooth val="1"/>
          <c:extLst>
            <c:ext xmlns:c16="http://schemas.microsoft.com/office/drawing/2014/chart" uri="{C3380CC4-5D6E-409C-BE32-E72D297353CC}">
              <c16:uniqueId val="{00000001-8CD6-4B6D-A100-61E3A4165008}"/>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3535551299330828"/>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FEBRUARY. </a:t>
            </a:r>
            <a:r>
              <a:rPr lang="es-ES" sz="600">
                <a:solidFill>
                  <a:schemeClr val="tx1">
                    <a:lumMod val="65000"/>
                    <a:lumOff val="35000"/>
                  </a:schemeClr>
                </a:solidFill>
              </a:rPr>
              <a:t>RATED FLOW CURVES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0461301348959287"/>
          <c:y val="8.9686098654708543E-2"/>
          <c:w val="0.84948574742110727"/>
          <c:h val="0.75560538116591924"/>
        </c:manualLayout>
      </c:layout>
      <c:scatterChart>
        <c:scatterStyle val="smoothMarker"/>
        <c:varyColors val="0"/>
        <c:ser>
          <c:idx val="0"/>
          <c:order val="0"/>
          <c:tx>
            <c:strRef>
              <c:f>'Informe nº6e'!$U$17</c:f>
              <c:strCache>
                <c:ptCount val="1"/>
                <c:pt idx="0">
                  <c:v>NAT_F</c:v>
                </c:pt>
              </c:strCache>
            </c:strRef>
          </c:tx>
          <c:spPr>
            <a:ln w="25400">
              <a:solidFill>
                <a:srgbClr val="0000FF"/>
              </a:solidFill>
              <a:prstDash val="solid"/>
            </a:ln>
          </c:spPr>
          <c:marker>
            <c:symbol val="none"/>
          </c:marker>
          <c:xVal>
            <c:numRef>
              <c:f>'Informe nº6e'!$T$18:$T$36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nº6e'!$U$18:$U$36</c:f>
              <c:numCache>
                <c:formatCode>0.00</c:formatCode>
                <c:ptCount val="19"/>
                <c:pt idx="0">
                  <c:v>6.0750904855274017</c:v>
                </c:pt>
                <c:pt idx="1">
                  <c:v>5.8310999961126422</c:v>
                </c:pt>
                <c:pt idx="2">
                  <c:v>5.619569043886095</c:v>
                </c:pt>
                <c:pt idx="3">
                  <c:v>5.5137523878188368</c:v>
                </c:pt>
                <c:pt idx="4">
                  <c:v>5.3353095537140254</c:v>
                </c:pt>
                <c:pt idx="5">
                  <c:v>5.1963857423691513</c:v>
                </c:pt>
                <c:pt idx="6">
                  <c:v>5.1008666787828725</c:v>
                </c:pt>
                <c:pt idx="7">
                  <c:v>4.9981809252784366</c:v>
                </c:pt>
                <c:pt idx="8">
                  <c:v>4.8864237898872016</c:v>
                </c:pt>
                <c:pt idx="9">
                  <c:v>4.7661666245687568</c:v>
                </c:pt>
                <c:pt idx="10">
                  <c:v>4.6374500416574032</c:v>
                </c:pt>
                <c:pt idx="11">
                  <c:v>4.5162666298094249</c:v>
                </c:pt>
                <c:pt idx="12">
                  <c:v>4.4303809722264615</c:v>
                </c:pt>
                <c:pt idx="13">
                  <c:v>4.3264667045502438</c:v>
                </c:pt>
                <c:pt idx="14">
                  <c:v>4.2506547541845423</c:v>
                </c:pt>
                <c:pt idx="15">
                  <c:v>4.1490667002541679</c:v>
                </c:pt>
                <c:pt idx="16">
                  <c:v>4.0539499947002957</c:v>
                </c:pt>
                <c:pt idx="17">
                  <c:v>3.9554047629946751</c:v>
                </c:pt>
                <c:pt idx="18">
                  <c:v>3.8019118973187038</c:v>
                </c:pt>
              </c:numCache>
            </c:numRef>
          </c:yVal>
          <c:smooth val="1"/>
          <c:extLst>
            <c:ext xmlns:c16="http://schemas.microsoft.com/office/drawing/2014/chart" uri="{C3380CC4-5D6E-409C-BE32-E72D297353CC}">
              <c16:uniqueId val="{00000000-106B-4359-A49B-62B282FABC79}"/>
            </c:ext>
          </c:extLst>
        </c:ser>
        <c:ser>
          <c:idx val="1"/>
          <c:order val="1"/>
          <c:tx>
            <c:strRef>
              <c:f>'Informe nº6e'!$V$17</c:f>
              <c:strCache>
                <c:ptCount val="1"/>
                <c:pt idx="0">
                  <c:v>ALT_F</c:v>
                </c:pt>
              </c:strCache>
            </c:strRef>
          </c:tx>
          <c:spPr>
            <a:ln w="25400">
              <a:solidFill>
                <a:srgbClr val="FF0000"/>
              </a:solidFill>
              <a:prstDash val="solid"/>
            </a:ln>
          </c:spPr>
          <c:marker>
            <c:symbol val="none"/>
          </c:marker>
          <c:xVal>
            <c:numRef>
              <c:f>'Informe nº6e'!$T$18:$T$36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nº6e'!$V$18:$V$36</c:f>
              <c:numCache>
                <c:formatCode>0.00</c:formatCode>
                <c:ptCount val="19"/>
                <c:pt idx="0">
                  <c:v>6.1194166240237999</c:v>
                </c:pt>
                <c:pt idx="1">
                  <c:v>5.8425095262981595</c:v>
                </c:pt>
                <c:pt idx="2">
                  <c:v>5.687166663010915</c:v>
                </c:pt>
                <c:pt idx="3">
                  <c:v>5.5222571509225027</c:v>
                </c:pt>
                <c:pt idx="4">
                  <c:v>5.3940357140132367</c:v>
                </c:pt>
                <c:pt idx="5">
                  <c:v>5.2637952498027252</c:v>
                </c:pt>
                <c:pt idx="6">
                  <c:v>5.1515619544755848</c:v>
                </c:pt>
                <c:pt idx="7">
                  <c:v>5.0127523762839177</c:v>
                </c:pt>
                <c:pt idx="8">
                  <c:v>4.8895690265155984</c:v>
                </c:pt>
                <c:pt idx="9">
                  <c:v>4.7536428599130547</c:v>
                </c:pt>
                <c:pt idx="10">
                  <c:v>4.5996214077586233</c:v>
                </c:pt>
                <c:pt idx="11">
                  <c:v>4.4694666953313913</c:v>
                </c:pt>
                <c:pt idx="12">
                  <c:v>4.3531595383371622</c:v>
                </c:pt>
                <c:pt idx="13">
                  <c:v>4.2321571531749909</c:v>
                </c:pt>
                <c:pt idx="14">
                  <c:v>4.1054761721974335</c:v>
                </c:pt>
                <c:pt idx="15">
                  <c:v>4.0000952221098389</c:v>
                </c:pt>
                <c:pt idx="16">
                  <c:v>3.825569044692176</c:v>
                </c:pt>
                <c:pt idx="17">
                  <c:v>3.6280238236699787</c:v>
                </c:pt>
                <c:pt idx="18">
                  <c:v>3.4214452377387459</c:v>
                </c:pt>
              </c:numCache>
            </c:numRef>
          </c:yVal>
          <c:smooth val="1"/>
          <c:extLst>
            <c:ext xmlns:c16="http://schemas.microsoft.com/office/drawing/2014/chart" uri="{C3380CC4-5D6E-409C-BE32-E72D297353CC}">
              <c16:uniqueId val="{00000001-106B-4359-A49B-62B282FABC79}"/>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4336352100131627"/>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489043520722697"/>
          <c:y val="0.15998495439300381"/>
          <c:w val="0.3529881584569371"/>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MARCH. </a:t>
            </a:r>
            <a:r>
              <a:rPr lang="es-ES" sz="600">
                <a:solidFill>
                  <a:schemeClr val="tx1">
                    <a:lumMod val="65000"/>
                    <a:lumOff val="35000"/>
                  </a:schemeClr>
                </a:solidFill>
              </a:rPr>
              <a:t>RATED FLOW CURVES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2682857562589009"/>
        </c:manualLayout>
      </c:layout>
      <c:scatterChart>
        <c:scatterStyle val="smoothMarker"/>
        <c:varyColors val="0"/>
        <c:ser>
          <c:idx val="0"/>
          <c:order val="0"/>
          <c:tx>
            <c:strRef>
              <c:f>'Informe nº6e'!$Y$17</c:f>
              <c:strCache>
                <c:ptCount val="1"/>
                <c:pt idx="0">
                  <c:v>NAT_F</c:v>
                </c:pt>
              </c:strCache>
            </c:strRef>
          </c:tx>
          <c:spPr>
            <a:ln w="25400">
              <a:solidFill>
                <a:srgbClr val="0000FF"/>
              </a:solidFill>
              <a:prstDash val="solid"/>
            </a:ln>
          </c:spPr>
          <c:marker>
            <c:symbol val="none"/>
          </c:marker>
          <c:xVal>
            <c:numRef>
              <c:f>'Informe nº6e'!$X$18:$X$36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nº6e'!$Y$18:$Y$36</c:f>
              <c:numCache>
                <c:formatCode>0.00</c:formatCode>
                <c:ptCount val="19"/>
                <c:pt idx="0">
                  <c:v>5.5898761840093707</c:v>
                </c:pt>
                <c:pt idx="1">
                  <c:v>5.3337143284933903</c:v>
                </c:pt>
                <c:pt idx="2">
                  <c:v>5.1118095284416549</c:v>
                </c:pt>
                <c:pt idx="3">
                  <c:v>4.9668761821020215</c:v>
                </c:pt>
                <c:pt idx="4">
                  <c:v>4.8526666391463511</c:v>
                </c:pt>
                <c:pt idx="5">
                  <c:v>4.7447713965461364</c:v>
                </c:pt>
                <c:pt idx="6">
                  <c:v>4.6624476228441516</c:v>
                </c:pt>
                <c:pt idx="7">
                  <c:v>4.5805809679485501</c:v>
                </c:pt>
                <c:pt idx="8">
                  <c:v>4.4899333340781071</c:v>
                </c:pt>
                <c:pt idx="9">
                  <c:v>4.3769523870377309</c:v>
                </c:pt>
                <c:pt idx="10">
                  <c:v>4.2751904805501306</c:v>
                </c:pt>
                <c:pt idx="11">
                  <c:v>4.1977428640638079</c:v>
                </c:pt>
                <c:pt idx="12">
                  <c:v>4.0904285726093113</c:v>
                </c:pt>
                <c:pt idx="13">
                  <c:v>4.0147999945141022</c:v>
                </c:pt>
                <c:pt idx="14">
                  <c:v>3.9283333392370312</c:v>
                </c:pt>
                <c:pt idx="15">
                  <c:v>3.8065618832906081</c:v>
                </c:pt>
                <c:pt idx="16">
                  <c:v>3.6885618981860939</c:v>
                </c:pt>
                <c:pt idx="17">
                  <c:v>3.5703524044581822</c:v>
                </c:pt>
                <c:pt idx="18">
                  <c:v>3.4347904886518208</c:v>
                </c:pt>
              </c:numCache>
            </c:numRef>
          </c:yVal>
          <c:smooth val="1"/>
          <c:extLst>
            <c:ext xmlns:c16="http://schemas.microsoft.com/office/drawing/2014/chart" uri="{C3380CC4-5D6E-409C-BE32-E72D297353CC}">
              <c16:uniqueId val="{00000000-1E00-407A-B5AB-068663E6022B}"/>
            </c:ext>
          </c:extLst>
        </c:ser>
        <c:ser>
          <c:idx val="1"/>
          <c:order val="1"/>
          <c:tx>
            <c:strRef>
              <c:f>'Informe nº6e'!$Z$17</c:f>
              <c:strCache>
                <c:ptCount val="1"/>
                <c:pt idx="0">
                  <c:v>ALT_F</c:v>
                </c:pt>
              </c:strCache>
            </c:strRef>
          </c:tx>
          <c:spPr>
            <a:ln w="25400">
              <a:solidFill>
                <a:srgbClr val="FF0000"/>
              </a:solidFill>
              <a:prstDash val="solid"/>
            </a:ln>
          </c:spPr>
          <c:marker>
            <c:symbol val="none"/>
          </c:marker>
          <c:xVal>
            <c:numRef>
              <c:f>'Informe nº6e'!$X$18:$X$36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nº6e'!$Z$18:$Z$36</c:f>
              <c:numCache>
                <c:formatCode>0.00</c:formatCode>
                <c:ptCount val="19"/>
                <c:pt idx="0">
                  <c:v>5.1412380967821383</c:v>
                </c:pt>
                <c:pt idx="1">
                  <c:v>4.8692952383132209</c:v>
                </c:pt>
                <c:pt idx="2">
                  <c:v>4.5633142743791844</c:v>
                </c:pt>
                <c:pt idx="3">
                  <c:v>4.3361618814014262</c:v>
                </c:pt>
                <c:pt idx="4">
                  <c:v>4.1630475804919289</c:v>
                </c:pt>
                <c:pt idx="5">
                  <c:v>3.9713904834928955</c:v>
                </c:pt>
                <c:pt idx="6">
                  <c:v>3.8142190195265271</c:v>
                </c:pt>
                <c:pt idx="7">
                  <c:v>3.6770380780810399</c:v>
                </c:pt>
                <c:pt idx="8">
                  <c:v>3.5420381023770284</c:v>
                </c:pt>
                <c:pt idx="9">
                  <c:v>3.4189523855845132</c:v>
                </c:pt>
                <c:pt idx="10">
                  <c:v>3.3071428719021023</c:v>
                </c:pt>
                <c:pt idx="11">
                  <c:v>3.1997809546334408</c:v>
                </c:pt>
                <c:pt idx="12">
                  <c:v>3.0504857381184896</c:v>
                </c:pt>
                <c:pt idx="13">
                  <c:v>2.9176095417567667</c:v>
                </c:pt>
                <c:pt idx="14">
                  <c:v>2.7762857051122749</c:v>
                </c:pt>
                <c:pt idx="15">
                  <c:v>2.6601200012933641</c:v>
                </c:pt>
                <c:pt idx="16">
                  <c:v>2.4879152212824143</c:v>
                </c:pt>
                <c:pt idx="17">
                  <c:v>2.2879685634658449</c:v>
                </c:pt>
                <c:pt idx="18">
                  <c:v>2.0711933453877771</c:v>
                </c:pt>
              </c:numCache>
            </c:numRef>
          </c:yVal>
          <c:smooth val="1"/>
          <c:extLst>
            <c:ext xmlns:c16="http://schemas.microsoft.com/office/drawing/2014/chart" uri="{C3380CC4-5D6E-409C-BE32-E72D297353CC}">
              <c16:uniqueId val="{00000001-1E00-407A-B5AB-068663E6022B}"/>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9541557305336832"/>
              <c:y val="0.8962374275335363"/>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APRIL. </a:t>
            </a:r>
            <a:r>
              <a:rPr lang="es-ES" sz="600">
                <a:solidFill>
                  <a:schemeClr val="tx1">
                    <a:lumMod val="65000"/>
                    <a:lumOff val="35000"/>
                  </a:schemeClr>
                </a:solidFill>
              </a:rPr>
              <a:t>RATED FLOW CURVES</a:t>
            </a:r>
          </a:p>
        </c:rich>
      </c:tx>
      <c:layout>
        <c:manualLayout>
          <c:xMode val="edge"/>
          <c:yMode val="edge"/>
          <c:x val="0.18877148903395621"/>
          <c:y val="1.9184702692723297E-2"/>
        </c:manualLayout>
      </c:layout>
      <c:overlay val="0"/>
      <c:spPr>
        <a:noFill/>
        <a:ln w="25400">
          <a:noFill/>
        </a:ln>
      </c:spPr>
    </c:title>
    <c:autoTitleDeleted val="0"/>
    <c:plotArea>
      <c:layout>
        <c:manualLayout>
          <c:layoutTarget val="inner"/>
          <c:xMode val="edge"/>
          <c:yMode val="edge"/>
          <c:x val="0.16182860025379708"/>
          <c:y val="8.9686098654708543E-2"/>
          <c:w val="0.79075390350980901"/>
          <c:h val="0.75080940002998542"/>
        </c:manualLayout>
      </c:layout>
      <c:scatterChart>
        <c:scatterStyle val="smoothMarker"/>
        <c:varyColors val="0"/>
        <c:ser>
          <c:idx val="0"/>
          <c:order val="0"/>
          <c:tx>
            <c:strRef>
              <c:f>'Informe nº6e'!$AC$17</c:f>
              <c:strCache>
                <c:ptCount val="1"/>
                <c:pt idx="0">
                  <c:v>NAT_F</c:v>
                </c:pt>
              </c:strCache>
            </c:strRef>
          </c:tx>
          <c:spPr>
            <a:ln w="25400">
              <a:solidFill>
                <a:srgbClr val="0000FF"/>
              </a:solidFill>
              <a:prstDash val="solid"/>
            </a:ln>
          </c:spPr>
          <c:marker>
            <c:symbol val="none"/>
          </c:marker>
          <c:xVal>
            <c:numRef>
              <c:f>'Informe nº6e'!$AB$18:$AB$36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nº6e'!$AC$18:$AC$36</c:f>
              <c:numCache>
                <c:formatCode>0.00</c:formatCode>
                <c:ptCount val="19"/>
                <c:pt idx="0">
                  <c:v>6.4911809637433002</c:v>
                </c:pt>
                <c:pt idx="1">
                  <c:v>6.2202428533917393</c:v>
                </c:pt>
                <c:pt idx="2">
                  <c:v>6.0155690670013424</c:v>
                </c:pt>
                <c:pt idx="3">
                  <c:v>5.8469809305100213</c:v>
                </c:pt>
                <c:pt idx="4">
                  <c:v>5.6572738147917239</c:v>
                </c:pt>
                <c:pt idx="5">
                  <c:v>5.4911476464498614</c:v>
                </c:pt>
                <c:pt idx="6">
                  <c:v>5.3686833404359362</c:v>
                </c:pt>
                <c:pt idx="7">
                  <c:v>5.2478666759672619</c:v>
                </c:pt>
                <c:pt idx="8">
                  <c:v>5.1220595405215308</c:v>
                </c:pt>
                <c:pt idx="9">
                  <c:v>4.963523819333032</c:v>
                </c:pt>
                <c:pt idx="10">
                  <c:v>4.8296166539192198</c:v>
                </c:pt>
                <c:pt idx="11">
                  <c:v>4.7423618884313674</c:v>
                </c:pt>
                <c:pt idx="12">
                  <c:v>4.6448428256171095</c:v>
                </c:pt>
                <c:pt idx="13">
                  <c:v>4.5083333367393132</c:v>
                </c:pt>
                <c:pt idx="14">
                  <c:v>4.3602737614086697</c:v>
                </c:pt>
                <c:pt idx="15">
                  <c:v>4.2015047618321013</c:v>
                </c:pt>
                <c:pt idx="16">
                  <c:v>4.069280961013976</c:v>
                </c:pt>
                <c:pt idx="17">
                  <c:v>3.8230285780770439</c:v>
                </c:pt>
                <c:pt idx="18">
                  <c:v>3.6281523721558715</c:v>
                </c:pt>
              </c:numCache>
            </c:numRef>
          </c:yVal>
          <c:smooth val="1"/>
          <c:extLst>
            <c:ext xmlns:c16="http://schemas.microsoft.com/office/drawing/2014/chart" uri="{C3380CC4-5D6E-409C-BE32-E72D297353CC}">
              <c16:uniqueId val="{00000000-ED37-43B7-9176-DD8528D92565}"/>
            </c:ext>
          </c:extLst>
        </c:ser>
        <c:ser>
          <c:idx val="1"/>
          <c:order val="1"/>
          <c:tx>
            <c:strRef>
              <c:f>'Informe nº6e'!$AD$17</c:f>
              <c:strCache>
                <c:ptCount val="1"/>
                <c:pt idx="0">
                  <c:v>ALT_F</c:v>
                </c:pt>
              </c:strCache>
            </c:strRef>
          </c:tx>
          <c:spPr>
            <a:ln w="25400">
              <a:solidFill>
                <a:srgbClr val="FF0000"/>
              </a:solidFill>
              <a:prstDash val="solid"/>
            </a:ln>
          </c:spPr>
          <c:marker>
            <c:symbol val="none"/>
          </c:marker>
          <c:xVal>
            <c:numRef>
              <c:f>'Informe nº6e'!$AB$18:$AB$36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nº6e'!$AD$18:$AD$36</c:f>
              <c:numCache>
                <c:formatCode>0.00</c:formatCode>
                <c:ptCount val="19"/>
                <c:pt idx="0">
                  <c:v>3.5384523732321607</c:v>
                </c:pt>
                <c:pt idx="1">
                  <c:v>3.3341428699947544</c:v>
                </c:pt>
                <c:pt idx="2">
                  <c:v>3.1637190353302724</c:v>
                </c:pt>
                <c:pt idx="3">
                  <c:v>3.0530190570013862</c:v>
                </c:pt>
                <c:pt idx="4">
                  <c:v>2.9187738171645572</c:v>
                </c:pt>
                <c:pt idx="5">
                  <c:v>2.7757000128428144</c:v>
                </c:pt>
                <c:pt idx="6">
                  <c:v>2.6841976412705013</c:v>
                </c:pt>
                <c:pt idx="7">
                  <c:v>2.5927809488205682</c:v>
                </c:pt>
                <c:pt idx="8">
                  <c:v>2.4858237922191626</c:v>
                </c:pt>
                <c:pt idx="9">
                  <c:v>2.3864047669229054</c:v>
                </c:pt>
                <c:pt idx="10">
                  <c:v>2.3056904577073598</c:v>
                </c:pt>
                <c:pt idx="11">
                  <c:v>2.1777438004811609</c:v>
                </c:pt>
                <c:pt idx="12">
                  <c:v>2.0689588051466719</c:v>
                </c:pt>
                <c:pt idx="13">
                  <c:v>1.9932352369739896</c:v>
                </c:pt>
                <c:pt idx="14">
                  <c:v>1.9201821542921518</c:v>
                </c:pt>
                <c:pt idx="15">
                  <c:v>1.8051695204916456</c:v>
                </c:pt>
                <c:pt idx="16">
                  <c:v>1.7117321315265839</c:v>
                </c:pt>
                <c:pt idx="17">
                  <c:v>1.6223823836871558</c:v>
                </c:pt>
                <c:pt idx="18">
                  <c:v>1.513724994659424</c:v>
                </c:pt>
              </c:numCache>
            </c:numRef>
          </c:yVal>
          <c:smooth val="1"/>
          <c:extLst>
            <c:ext xmlns:c16="http://schemas.microsoft.com/office/drawing/2014/chart" uri="{C3380CC4-5D6E-409C-BE32-E72D297353CC}">
              <c16:uniqueId val="{00000001-ED37-43B7-9176-DD8528D92565}"/>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20742758506538034"/>
              <c:y val="0.91062592217599359"/>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MAY. </a:t>
            </a:r>
            <a:r>
              <a:rPr lang="es-ES" sz="600">
                <a:solidFill>
                  <a:schemeClr val="tx1">
                    <a:lumMod val="65000"/>
                    <a:lumOff val="35000"/>
                  </a:schemeClr>
                </a:solidFill>
              </a:rPr>
              <a:t>RATED FLOW CURVES</a:t>
            </a:r>
          </a:p>
        </c:rich>
      </c:tx>
      <c:layout>
        <c:manualLayout>
          <c:xMode val="edge"/>
          <c:yMode val="edge"/>
          <c:x val="0.22295952322199042"/>
          <c:y val="1.9184702692723297E-2"/>
        </c:manualLayout>
      </c:layout>
      <c:overlay val="0"/>
      <c:spPr>
        <a:noFill/>
        <a:ln w="25400">
          <a:noFill/>
        </a:ln>
      </c:spPr>
    </c:title>
    <c:autoTitleDeleted val="0"/>
    <c:plotArea>
      <c:layout>
        <c:manualLayout>
          <c:layoutTarget val="inner"/>
          <c:xMode val="edge"/>
          <c:yMode val="edge"/>
          <c:x val="0.15782459624979309"/>
          <c:y val="8.9686098654708543E-2"/>
          <c:w val="0.79475790751381303"/>
          <c:h val="0.73642090538752825"/>
        </c:manualLayout>
      </c:layout>
      <c:scatterChart>
        <c:scatterStyle val="smoothMarker"/>
        <c:varyColors val="0"/>
        <c:ser>
          <c:idx val="0"/>
          <c:order val="0"/>
          <c:tx>
            <c:strRef>
              <c:f>'Informe nº6e'!$AG$17</c:f>
              <c:strCache>
                <c:ptCount val="1"/>
                <c:pt idx="0">
                  <c:v>NAT_F</c:v>
                </c:pt>
              </c:strCache>
            </c:strRef>
          </c:tx>
          <c:spPr>
            <a:ln w="25400">
              <a:solidFill>
                <a:srgbClr val="0000FF"/>
              </a:solidFill>
              <a:prstDash val="solid"/>
            </a:ln>
          </c:spPr>
          <c:marker>
            <c:symbol val="none"/>
          </c:marker>
          <c:xVal>
            <c:numRef>
              <c:f>'Informe nº6e'!$AF$18:$AF$36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nº6e'!$AG$18:$AG$36</c:f>
              <c:numCache>
                <c:formatCode>0.00</c:formatCode>
                <c:ptCount val="19"/>
                <c:pt idx="0">
                  <c:v>6.7139238175891691</c:v>
                </c:pt>
                <c:pt idx="1">
                  <c:v>6.483704744066511</c:v>
                </c:pt>
                <c:pt idx="2">
                  <c:v>6.2480476424807589</c:v>
                </c:pt>
                <c:pt idx="3">
                  <c:v>6.0276666891007196</c:v>
                </c:pt>
                <c:pt idx="4">
                  <c:v>5.8173333803812666</c:v>
                </c:pt>
                <c:pt idx="5">
                  <c:v>5.6670857293265211</c:v>
                </c:pt>
                <c:pt idx="6">
                  <c:v>5.4960000219799223</c:v>
                </c:pt>
                <c:pt idx="7">
                  <c:v>5.377066644032797</c:v>
                </c:pt>
                <c:pt idx="8">
                  <c:v>5.225409507751464</c:v>
                </c:pt>
                <c:pt idx="9">
                  <c:v>5.0698570978073842</c:v>
                </c:pt>
                <c:pt idx="10">
                  <c:v>4.9521809532528831</c:v>
                </c:pt>
                <c:pt idx="11">
                  <c:v>4.7574857053302582</c:v>
                </c:pt>
                <c:pt idx="12">
                  <c:v>4.5804190295083185</c:v>
                </c:pt>
                <c:pt idx="13">
                  <c:v>4.4367333730061844</c:v>
                </c:pt>
                <c:pt idx="14">
                  <c:v>4.2961904889061344</c:v>
                </c:pt>
                <c:pt idx="15">
                  <c:v>4.1699904850551048</c:v>
                </c:pt>
                <c:pt idx="16">
                  <c:v>3.9769047918773834</c:v>
                </c:pt>
                <c:pt idx="17">
                  <c:v>3.7860856964474627</c:v>
                </c:pt>
                <c:pt idx="18">
                  <c:v>3.6286857287089029</c:v>
                </c:pt>
              </c:numCache>
            </c:numRef>
          </c:yVal>
          <c:smooth val="1"/>
          <c:extLst>
            <c:ext xmlns:c16="http://schemas.microsoft.com/office/drawing/2014/chart" uri="{C3380CC4-5D6E-409C-BE32-E72D297353CC}">
              <c16:uniqueId val="{00000000-FBAA-42A8-8A55-41198F302340}"/>
            </c:ext>
          </c:extLst>
        </c:ser>
        <c:ser>
          <c:idx val="1"/>
          <c:order val="1"/>
          <c:tx>
            <c:strRef>
              <c:f>'Informe nº6e'!$AH$17</c:f>
              <c:strCache>
                <c:ptCount val="1"/>
                <c:pt idx="0">
                  <c:v>ALT_F</c:v>
                </c:pt>
              </c:strCache>
            </c:strRef>
          </c:tx>
          <c:spPr>
            <a:ln w="25400">
              <a:solidFill>
                <a:srgbClr val="FF0000"/>
              </a:solidFill>
              <a:prstDash val="solid"/>
            </a:ln>
          </c:spPr>
          <c:marker>
            <c:symbol val="none"/>
          </c:marker>
          <c:xVal>
            <c:numRef>
              <c:f>'Informe nº6e'!$AF$18:$AF$36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nº6e'!$AH$18:$AH$36</c:f>
              <c:numCache>
                <c:formatCode>0.00</c:formatCode>
                <c:ptCount val="19"/>
                <c:pt idx="0">
                  <c:v>2.2453076317196796</c:v>
                </c:pt>
                <c:pt idx="1">
                  <c:v>2.024013343879155</c:v>
                </c:pt>
                <c:pt idx="2">
                  <c:v>1.8746990447952636</c:v>
                </c:pt>
                <c:pt idx="3">
                  <c:v>1.7423504732903983</c:v>
                </c:pt>
                <c:pt idx="4">
                  <c:v>1.6280190490541004</c:v>
                </c:pt>
                <c:pt idx="5">
                  <c:v>1.514067627134777</c:v>
                </c:pt>
                <c:pt idx="6">
                  <c:v>1.4036942728928159</c:v>
                </c:pt>
                <c:pt idx="7">
                  <c:v>1.2871609605493999</c:v>
                </c:pt>
                <c:pt idx="8">
                  <c:v>1.1619104833829972</c:v>
                </c:pt>
                <c:pt idx="9">
                  <c:v>1.0564476251602173</c:v>
                </c:pt>
                <c:pt idx="10">
                  <c:v>0.96513047757602888</c:v>
                </c:pt>
                <c:pt idx="11">
                  <c:v>0.89055619154657639</c:v>
                </c:pt>
                <c:pt idx="12">
                  <c:v>0.81691429416338601</c:v>
                </c:pt>
                <c:pt idx="13">
                  <c:v>0.74002191282454</c:v>
                </c:pt>
                <c:pt idx="14">
                  <c:v>0.68380000193913781</c:v>
                </c:pt>
                <c:pt idx="15">
                  <c:v>0.61758381043161659</c:v>
                </c:pt>
                <c:pt idx="16">
                  <c:v>0.57631809725647876</c:v>
                </c:pt>
                <c:pt idx="17">
                  <c:v>0.53641333083311715</c:v>
                </c:pt>
                <c:pt idx="18">
                  <c:v>0.49557142498947332</c:v>
                </c:pt>
              </c:numCache>
            </c:numRef>
          </c:yVal>
          <c:smooth val="1"/>
          <c:extLst>
            <c:ext xmlns:c16="http://schemas.microsoft.com/office/drawing/2014/chart" uri="{C3380CC4-5D6E-409C-BE32-E72D297353CC}">
              <c16:uniqueId val="{00000001-FBAA-42A8-8A55-41198F302340}"/>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8856841093061566"/>
              <c:y val="0.90582975729517445"/>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JUNE. </a:t>
            </a:r>
            <a:r>
              <a:rPr lang="es-ES" sz="600">
                <a:solidFill>
                  <a:schemeClr val="tx1">
                    <a:lumMod val="65000"/>
                    <a:lumOff val="35000"/>
                  </a:schemeClr>
                </a:solidFill>
              </a:rPr>
              <a:t>RATED FLOW CURVES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58125842377811"/>
          <c:y val="8.9686098654708543E-2"/>
          <c:w val="0.806769919525825"/>
          <c:h val="0.73642090538752825"/>
        </c:manualLayout>
      </c:layout>
      <c:scatterChart>
        <c:scatterStyle val="smoothMarker"/>
        <c:varyColors val="0"/>
        <c:ser>
          <c:idx val="0"/>
          <c:order val="0"/>
          <c:tx>
            <c:strRef>
              <c:f>'Informe nº6e'!$AK$17</c:f>
              <c:strCache>
                <c:ptCount val="1"/>
                <c:pt idx="0">
                  <c:v>NAT_F</c:v>
                </c:pt>
              </c:strCache>
            </c:strRef>
          </c:tx>
          <c:spPr>
            <a:ln w="25400">
              <a:solidFill>
                <a:srgbClr val="0000FF"/>
              </a:solidFill>
              <a:prstDash val="solid"/>
            </a:ln>
          </c:spPr>
          <c:marker>
            <c:symbol val="none"/>
          </c:marker>
          <c:xVal>
            <c:numRef>
              <c:f>'Informe nº6e'!$AJ$18:$AJ$36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nº6e'!$AK$18:$AK$36</c:f>
              <c:numCache>
                <c:formatCode>0.00</c:formatCode>
                <c:ptCount val="19"/>
                <c:pt idx="0">
                  <c:v>3.926611919062478</c:v>
                </c:pt>
                <c:pt idx="1">
                  <c:v>3.5849619002569297</c:v>
                </c:pt>
                <c:pt idx="2">
                  <c:v>3.3211690562111986</c:v>
                </c:pt>
                <c:pt idx="3">
                  <c:v>3.0773523762112571</c:v>
                </c:pt>
                <c:pt idx="4">
                  <c:v>2.8342499747162773</c:v>
                </c:pt>
                <c:pt idx="5">
                  <c:v>2.5767523822330287</c:v>
                </c:pt>
                <c:pt idx="6">
                  <c:v>2.3532071448507765</c:v>
                </c:pt>
                <c:pt idx="7">
                  <c:v>2.1581238031387326</c:v>
                </c:pt>
                <c:pt idx="8">
                  <c:v>1.9609118952637627</c:v>
                </c:pt>
                <c:pt idx="9">
                  <c:v>1.7881904868852523</c:v>
                </c:pt>
                <c:pt idx="10">
                  <c:v>1.6276021411021548</c:v>
                </c:pt>
                <c:pt idx="11">
                  <c:v>1.4793533404668171</c:v>
                </c:pt>
                <c:pt idx="12">
                  <c:v>1.3396771377041223</c:v>
                </c:pt>
                <c:pt idx="13">
                  <c:v>1.2259000054427558</c:v>
                </c:pt>
                <c:pt idx="14">
                  <c:v>1.1291642863126028</c:v>
                </c:pt>
                <c:pt idx="15">
                  <c:v>1.0354599952697754</c:v>
                </c:pt>
                <c:pt idx="16">
                  <c:v>0.9557402375198546</c:v>
                </c:pt>
                <c:pt idx="17">
                  <c:v>0.88229238334156201</c:v>
                </c:pt>
                <c:pt idx="18">
                  <c:v>0.81687809555303492</c:v>
                </c:pt>
              </c:numCache>
            </c:numRef>
          </c:yVal>
          <c:smooth val="1"/>
          <c:extLst>
            <c:ext xmlns:c16="http://schemas.microsoft.com/office/drawing/2014/chart" uri="{C3380CC4-5D6E-409C-BE32-E72D297353CC}">
              <c16:uniqueId val="{00000000-1C0F-413F-B331-45B0F945E84C}"/>
            </c:ext>
          </c:extLst>
        </c:ser>
        <c:ser>
          <c:idx val="1"/>
          <c:order val="1"/>
          <c:tx>
            <c:strRef>
              <c:f>'Informe nº6e'!$AL$17</c:f>
              <c:strCache>
                <c:ptCount val="1"/>
                <c:pt idx="0">
                  <c:v>ALT_F</c:v>
                </c:pt>
              </c:strCache>
            </c:strRef>
          </c:tx>
          <c:spPr>
            <a:ln w="25400">
              <a:solidFill>
                <a:srgbClr val="FF0000"/>
              </a:solidFill>
              <a:prstDash val="solid"/>
            </a:ln>
          </c:spPr>
          <c:marker>
            <c:symbol val="none"/>
          </c:marker>
          <c:xVal>
            <c:numRef>
              <c:f>'Informe nº6e'!$AJ$18:$AJ$36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nº6e'!$AL$18:$AL$36</c:f>
              <c:numCache>
                <c:formatCode>0.00</c:formatCode>
                <c:ptCount val="19"/>
                <c:pt idx="0">
                  <c:v>0.43915190466103105</c:v>
                </c:pt>
                <c:pt idx="1">
                  <c:v>0.40375809123118722</c:v>
                </c:pt>
                <c:pt idx="2">
                  <c:v>0.37773666637284409</c:v>
                </c:pt>
                <c:pt idx="3">
                  <c:v>0.35295714012214113</c:v>
                </c:pt>
                <c:pt idx="4">
                  <c:v>0.32884643173643524</c:v>
                </c:pt>
                <c:pt idx="5">
                  <c:v>0.31275571279582531</c:v>
                </c:pt>
                <c:pt idx="6">
                  <c:v>0.29603452338349262</c:v>
                </c:pt>
                <c:pt idx="7">
                  <c:v>0.28324190576871233</c:v>
                </c:pt>
                <c:pt idx="8">
                  <c:v>0.26842142982142314</c:v>
                </c:pt>
                <c:pt idx="9">
                  <c:v>0.25680476107767658</c:v>
                </c:pt>
                <c:pt idx="10">
                  <c:v>0.2443666630912395</c:v>
                </c:pt>
                <c:pt idx="11">
                  <c:v>0.23368000075930642</c:v>
                </c:pt>
                <c:pt idx="12">
                  <c:v>0.22050642827082248</c:v>
                </c:pt>
                <c:pt idx="13">
                  <c:v>0.20993428499925704</c:v>
                </c:pt>
                <c:pt idx="14">
                  <c:v>0.19917499903766883</c:v>
                </c:pt>
                <c:pt idx="15">
                  <c:v>0.18973523804119652</c:v>
                </c:pt>
                <c:pt idx="16">
                  <c:v>0.18137592880853581</c:v>
                </c:pt>
                <c:pt idx="17">
                  <c:v>0.17228409502477873</c:v>
                </c:pt>
                <c:pt idx="18">
                  <c:v>0.16445816602735294</c:v>
                </c:pt>
              </c:numCache>
            </c:numRef>
          </c:yVal>
          <c:smooth val="1"/>
          <c:extLst>
            <c:ext xmlns:c16="http://schemas.microsoft.com/office/drawing/2014/chart" uri="{C3380CC4-5D6E-409C-BE32-E72D297353CC}">
              <c16:uniqueId val="{00000001-1C0F-413F-B331-45B0F945E84C}"/>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9872729584015672"/>
              <c:y val="0.90571321218301815"/>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JULY. </a:t>
            </a:r>
            <a:r>
              <a:rPr lang="es-ES" sz="600">
                <a:solidFill>
                  <a:schemeClr val="tx1">
                    <a:lumMod val="65000"/>
                    <a:lumOff val="35000"/>
                  </a:schemeClr>
                </a:solidFill>
              </a:rPr>
              <a:t>RATED FLOW CURVES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378045762297731"/>
          <c:y val="8.9686098654708543E-2"/>
          <c:w val="0.81477792753383305"/>
          <c:h val="0.73642090538752825"/>
        </c:manualLayout>
      </c:layout>
      <c:scatterChart>
        <c:scatterStyle val="smoothMarker"/>
        <c:varyColors val="0"/>
        <c:ser>
          <c:idx val="0"/>
          <c:order val="0"/>
          <c:tx>
            <c:strRef>
              <c:f>'Informe nº6e'!$AO$17</c:f>
              <c:strCache>
                <c:ptCount val="1"/>
                <c:pt idx="0">
                  <c:v>NAT_F</c:v>
                </c:pt>
              </c:strCache>
            </c:strRef>
          </c:tx>
          <c:spPr>
            <a:ln w="25400">
              <a:solidFill>
                <a:srgbClr val="0000FF"/>
              </a:solidFill>
              <a:prstDash val="solid"/>
            </a:ln>
          </c:spPr>
          <c:marker>
            <c:symbol val="none"/>
          </c:marker>
          <c:xVal>
            <c:numRef>
              <c:f>'Informe nº6e'!$AN$18:$AN$36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nº6e'!$AO$18:$AO$36</c:f>
              <c:numCache>
                <c:formatCode>0.00</c:formatCode>
                <c:ptCount val="19"/>
                <c:pt idx="0">
                  <c:v>0.73829238187699087</c:v>
                </c:pt>
                <c:pt idx="1">
                  <c:v>0.68369714731261855</c:v>
                </c:pt>
                <c:pt idx="2">
                  <c:v>0.6402419042019617</c:v>
                </c:pt>
                <c:pt idx="3">
                  <c:v>0.60010285774866734</c:v>
                </c:pt>
                <c:pt idx="4">
                  <c:v>0.55804761818477089</c:v>
                </c:pt>
                <c:pt idx="5">
                  <c:v>0.52515523660750607</c:v>
                </c:pt>
                <c:pt idx="6">
                  <c:v>0.49522381055922732</c:v>
                </c:pt>
                <c:pt idx="7">
                  <c:v>0.46536476157960438</c:v>
                </c:pt>
                <c:pt idx="8">
                  <c:v>0.43874285930678963</c:v>
                </c:pt>
                <c:pt idx="9">
                  <c:v>0.4176190481299446</c:v>
                </c:pt>
                <c:pt idx="10">
                  <c:v>0.39219333075341717</c:v>
                </c:pt>
                <c:pt idx="11">
                  <c:v>0.37119618881316413</c:v>
                </c:pt>
                <c:pt idx="12">
                  <c:v>0.35335618938718522</c:v>
                </c:pt>
                <c:pt idx="13">
                  <c:v>0.33440666681244258</c:v>
                </c:pt>
                <c:pt idx="14">
                  <c:v>0.31669047616776957</c:v>
                </c:pt>
                <c:pt idx="15">
                  <c:v>0.29995333396253132</c:v>
                </c:pt>
                <c:pt idx="16">
                  <c:v>0.28529809713363646</c:v>
                </c:pt>
                <c:pt idx="17">
                  <c:v>0.26996857268469671</c:v>
                </c:pt>
                <c:pt idx="18">
                  <c:v>0.25613714413983485</c:v>
                </c:pt>
              </c:numCache>
            </c:numRef>
          </c:yVal>
          <c:smooth val="1"/>
          <c:extLst>
            <c:ext xmlns:c16="http://schemas.microsoft.com/office/drawing/2014/chart" uri="{C3380CC4-5D6E-409C-BE32-E72D297353CC}">
              <c16:uniqueId val="{00000000-379E-45F6-89FB-5B250DEBD82F}"/>
            </c:ext>
          </c:extLst>
        </c:ser>
        <c:ser>
          <c:idx val="1"/>
          <c:order val="1"/>
          <c:tx>
            <c:strRef>
              <c:f>'Informe nº6e'!$AP$17</c:f>
              <c:strCache>
                <c:ptCount val="1"/>
                <c:pt idx="0">
                  <c:v>ALT_F</c:v>
                </c:pt>
              </c:strCache>
            </c:strRef>
          </c:tx>
          <c:spPr>
            <a:ln w="25400">
              <a:solidFill>
                <a:srgbClr val="FF0000"/>
              </a:solidFill>
              <a:prstDash val="solid"/>
            </a:ln>
          </c:spPr>
          <c:marker>
            <c:symbol val="none"/>
          </c:marker>
          <c:xVal>
            <c:numRef>
              <c:f>'Informe nº6e'!$AN$18:$AN$36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nº6e'!$AP$18:$AP$36</c:f>
              <c:numCache>
                <c:formatCode>0.00</c:formatCode>
                <c:ptCount val="19"/>
                <c:pt idx="0">
                  <c:v>0.16234838004623139</c:v>
                </c:pt>
                <c:pt idx="1">
                  <c:v>0.1520352371391796</c:v>
                </c:pt>
                <c:pt idx="2">
                  <c:v>0.1461415247548194</c:v>
                </c:pt>
                <c:pt idx="3">
                  <c:v>0.14052200118700664</c:v>
                </c:pt>
                <c:pt idx="4">
                  <c:v>0.13571190514734813</c:v>
                </c:pt>
                <c:pt idx="5">
                  <c:v>0.13086914299499419</c:v>
                </c:pt>
                <c:pt idx="6">
                  <c:v>0.1256453330318133</c:v>
                </c:pt>
                <c:pt idx="7">
                  <c:v>0.12164457106874103</c:v>
                </c:pt>
                <c:pt idx="8">
                  <c:v>0.11786762036028363</c:v>
                </c:pt>
                <c:pt idx="9">
                  <c:v>0.11470952452648255</c:v>
                </c:pt>
                <c:pt idx="10">
                  <c:v>0.11150704742897125</c:v>
                </c:pt>
                <c:pt idx="11">
                  <c:v>0.10825495201916921</c:v>
                </c:pt>
                <c:pt idx="12">
                  <c:v>0.10489495275985626</c:v>
                </c:pt>
                <c:pt idx="13">
                  <c:v>0.10191552365819614</c:v>
                </c:pt>
                <c:pt idx="14">
                  <c:v>9.9200000897759502E-2</c:v>
                </c:pt>
                <c:pt idx="15">
                  <c:v>9.6537999844267253E-2</c:v>
                </c:pt>
                <c:pt idx="16">
                  <c:v>9.3572571554354278E-2</c:v>
                </c:pt>
                <c:pt idx="17">
                  <c:v>9.1016762277909696E-2</c:v>
                </c:pt>
                <c:pt idx="18">
                  <c:v>8.8657047670511982E-2</c:v>
                </c:pt>
              </c:numCache>
            </c:numRef>
          </c:yVal>
          <c:smooth val="1"/>
          <c:extLst>
            <c:ext xmlns:c16="http://schemas.microsoft.com/office/drawing/2014/chart" uri="{C3380CC4-5D6E-409C-BE32-E72D297353CC}">
              <c16:uniqueId val="{00000001-379E-45F6-89FB-5B250DEBD82F}"/>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20342358106137637"/>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AUGUST. </a:t>
            </a:r>
            <a:r>
              <a:rPr lang="es-ES" sz="600">
                <a:solidFill>
                  <a:schemeClr val="tx1">
                    <a:lumMod val="65000"/>
                    <a:lumOff val="35000"/>
                  </a:schemeClr>
                </a:solidFill>
              </a:rPr>
              <a:t>RATED FLOW CURVES</a:t>
            </a:r>
          </a:p>
        </c:rich>
      </c:tx>
      <c:layout>
        <c:manualLayout>
          <c:xMode val="edge"/>
          <c:yMode val="edge"/>
          <c:x val="0.18497281856861911"/>
          <c:y val="2.4039073480266602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3162474050670911"/>
        </c:manualLayout>
      </c:layout>
      <c:scatterChart>
        <c:scatterStyle val="smoothMarker"/>
        <c:varyColors val="0"/>
        <c:ser>
          <c:idx val="0"/>
          <c:order val="0"/>
          <c:tx>
            <c:strRef>
              <c:f>'Informe nº6e'!$AS$17</c:f>
              <c:strCache>
                <c:ptCount val="1"/>
                <c:pt idx="0">
                  <c:v>NAT_F</c:v>
                </c:pt>
              </c:strCache>
            </c:strRef>
          </c:tx>
          <c:spPr>
            <a:ln w="25400">
              <a:solidFill>
                <a:srgbClr val="0000FF"/>
              </a:solidFill>
              <a:prstDash val="solid"/>
            </a:ln>
          </c:spPr>
          <c:marker>
            <c:symbol val="none"/>
          </c:marker>
          <c:xVal>
            <c:numRef>
              <c:f>'Informe nº6e'!$AR$18:$AR$36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nº6e'!$AS$18:$AS$36</c:f>
              <c:numCache>
                <c:formatCode>0.00</c:formatCode>
                <c:ptCount val="19"/>
                <c:pt idx="0">
                  <c:v>0.24842571516831713</c:v>
                </c:pt>
                <c:pt idx="1">
                  <c:v>0.23702762027581536</c:v>
                </c:pt>
                <c:pt idx="2">
                  <c:v>0.22813238203525543</c:v>
                </c:pt>
                <c:pt idx="3">
                  <c:v>0.22050571470033556</c:v>
                </c:pt>
                <c:pt idx="4">
                  <c:v>0.21312857241857622</c:v>
                </c:pt>
                <c:pt idx="5">
                  <c:v>0.20574095277559187</c:v>
                </c:pt>
                <c:pt idx="6">
                  <c:v>0.20015809535980225</c:v>
                </c:pt>
                <c:pt idx="7">
                  <c:v>0.19543428591319492</c:v>
                </c:pt>
                <c:pt idx="8">
                  <c:v>0.19066476311002459</c:v>
                </c:pt>
                <c:pt idx="9">
                  <c:v>0.18663809554917474</c:v>
                </c:pt>
                <c:pt idx="10">
                  <c:v>0.18093237976233162</c:v>
                </c:pt>
                <c:pt idx="11">
                  <c:v>0.17412000000476835</c:v>
                </c:pt>
                <c:pt idx="12">
                  <c:v>0.16936571385179247</c:v>
                </c:pt>
                <c:pt idx="13">
                  <c:v>0.16576380985123773</c:v>
                </c:pt>
                <c:pt idx="14">
                  <c:v>0.16203809387627099</c:v>
                </c:pt>
                <c:pt idx="15">
                  <c:v>0.15886190512350629</c:v>
                </c:pt>
                <c:pt idx="16">
                  <c:v>0.1535104751586914</c:v>
                </c:pt>
                <c:pt idx="17">
                  <c:v>0.14876380846613926</c:v>
                </c:pt>
                <c:pt idx="18">
                  <c:v>0.14354857170865651</c:v>
                </c:pt>
              </c:numCache>
            </c:numRef>
          </c:yVal>
          <c:smooth val="1"/>
          <c:extLst>
            <c:ext xmlns:c16="http://schemas.microsoft.com/office/drawing/2014/chart" uri="{C3380CC4-5D6E-409C-BE32-E72D297353CC}">
              <c16:uniqueId val="{00000000-3BE0-45ED-94F7-1F46B1933602}"/>
            </c:ext>
          </c:extLst>
        </c:ser>
        <c:ser>
          <c:idx val="1"/>
          <c:order val="1"/>
          <c:tx>
            <c:strRef>
              <c:f>'Informe nº6e'!$AT$17</c:f>
              <c:strCache>
                <c:ptCount val="1"/>
                <c:pt idx="0">
                  <c:v>ALT_F</c:v>
                </c:pt>
              </c:strCache>
            </c:strRef>
          </c:tx>
          <c:spPr>
            <a:ln w="25400">
              <a:solidFill>
                <a:srgbClr val="FF0000"/>
              </a:solidFill>
              <a:prstDash val="solid"/>
            </a:ln>
          </c:spPr>
          <c:marker>
            <c:symbol val="none"/>
          </c:marker>
          <c:xVal>
            <c:numRef>
              <c:f>'Informe nº6e'!$AR$18:$AR$36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nº6e'!$AT$18:$AT$36</c:f>
              <c:numCache>
                <c:formatCode>0.00</c:formatCode>
                <c:ptCount val="19"/>
                <c:pt idx="0">
                  <c:v>9.605895273742221E-2</c:v>
                </c:pt>
                <c:pt idx="1">
                  <c:v>8.7569238103571395E-2</c:v>
                </c:pt>
                <c:pt idx="2">
                  <c:v>8.4245047328018005E-2</c:v>
                </c:pt>
                <c:pt idx="3">
                  <c:v>8.2477428764104854E-2</c:v>
                </c:pt>
                <c:pt idx="4">
                  <c:v>8.0813334101722353E-2</c:v>
                </c:pt>
                <c:pt idx="5">
                  <c:v>7.9586381323280789E-2</c:v>
                </c:pt>
                <c:pt idx="6">
                  <c:v>7.8066380605811156E-2</c:v>
                </c:pt>
                <c:pt idx="7">
                  <c:v>7.690561960140864E-2</c:v>
                </c:pt>
                <c:pt idx="8">
                  <c:v>7.5272857149442027E-2</c:v>
                </c:pt>
                <c:pt idx="9">
                  <c:v>7.3476667382887439E-2</c:v>
                </c:pt>
                <c:pt idx="10">
                  <c:v>7.2206189944630572E-2</c:v>
                </c:pt>
                <c:pt idx="11">
                  <c:v>7.0648380759216478E-2</c:v>
                </c:pt>
                <c:pt idx="12">
                  <c:v>6.8758475567613345E-2</c:v>
                </c:pt>
                <c:pt idx="13">
                  <c:v>6.7457619096551624E-2</c:v>
                </c:pt>
                <c:pt idx="14">
                  <c:v>6.5968095724071779E-2</c:v>
                </c:pt>
                <c:pt idx="15">
                  <c:v>6.4468095238719658E-2</c:v>
                </c:pt>
                <c:pt idx="16">
                  <c:v>6.3052762051423406E-2</c:v>
                </c:pt>
                <c:pt idx="17">
                  <c:v>6.152400040910358E-2</c:v>
                </c:pt>
                <c:pt idx="18">
                  <c:v>5.9767619201115209E-2</c:v>
                </c:pt>
              </c:numCache>
            </c:numRef>
          </c:yVal>
          <c:smooth val="1"/>
          <c:extLst>
            <c:ext xmlns:c16="http://schemas.microsoft.com/office/drawing/2014/chart" uri="{C3380CC4-5D6E-409C-BE32-E72D297353CC}">
              <c16:uniqueId val="{00000001-3BE0-45ED-94F7-1F46B1933602}"/>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6738754502534034"/>
              <c:y val="0.91062592217599359"/>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SEPTEMBER. </a:t>
            </a:r>
            <a:r>
              <a:rPr lang="es-ES" sz="600">
                <a:solidFill>
                  <a:schemeClr val="tx1">
                    <a:lumMod val="65000"/>
                    <a:lumOff val="35000"/>
                  </a:schemeClr>
                </a:solidFill>
              </a:rPr>
              <a:t>RATED FLOW CURVES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3642090538752825"/>
        </c:manualLayout>
      </c:layout>
      <c:scatterChart>
        <c:scatterStyle val="smoothMarker"/>
        <c:varyColors val="0"/>
        <c:ser>
          <c:idx val="0"/>
          <c:order val="0"/>
          <c:tx>
            <c:strRef>
              <c:f>'Informe nº6e'!$AW$17</c:f>
              <c:strCache>
                <c:ptCount val="1"/>
                <c:pt idx="0">
                  <c:v>NAT_F</c:v>
                </c:pt>
              </c:strCache>
            </c:strRef>
          </c:tx>
          <c:spPr>
            <a:ln w="25400">
              <a:solidFill>
                <a:srgbClr val="0000FF"/>
              </a:solidFill>
              <a:prstDash val="solid"/>
            </a:ln>
          </c:spPr>
          <c:marker>
            <c:symbol val="none"/>
          </c:marker>
          <c:xVal>
            <c:numRef>
              <c:f>'Informe nº6e'!$AV$18:$AV$36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nº6e'!$AW$18:$AW$36</c:f>
              <c:numCache>
                <c:formatCode>0.00</c:formatCode>
                <c:ptCount val="19"/>
                <c:pt idx="0">
                  <c:v>0.5596795236425739</c:v>
                </c:pt>
                <c:pt idx="1">
                  <c:v>0.48073476006587357</c:v>
                </c:pt>
                <c:pt idx="2">
                  <c:v>0.39870095160745422</c:v>
                </c:pt>
                <c:pt idx="3">
                  <c:v>0.34162380894025168</c:v>
                </c:pt>
                <c:pt idx="4">
                  <c:v>0.30160118994258711</c:v>
                </c:pt>
                <c:pt idx="5">
                  <c:v>0.26321809412468045</c:v>
                </c:pt>
                <c:pt idx="6">
                  <c:v>0.23916023692914423</c:v>
                </c:pt>
                <c:pt idx="7">
                  <c:v>0.21570285750286919</c:v>
                </c:pt>
                <c:pt idx="8">
                  <c:v>0.20111833314100905</c:v>
                </c:pt>
                <c:pt idx="9">
                  <c:v>0.18675000096360844</c:v>
                </c:pt>
                <c:pt idx="10">
                  <c:v>0.17247785782175404</c:v>
                </c:pt>
                <c:pt idx="11">
                  <c:v>0.16091428732588176</c:v>
                </c:pt>
                <c:pt idx="12">
                  <c:v>0.1541414295456239</c:v>
                </c:pt>
                <c:pt idx="13">
                  <c:v>0.14431809545272872</c:v>
                </c:pt>
                <c:pt idx="14">
                  <c:v>0.13901309571450665</c:v>
                </c:pt>
                <c:pt idx="15">
                  <c:v>0.13320380946000412</c:v>
                </c:pt>
                <c:pt idx="16">
                  <c:v>0.12879866622388361</c:v>
                </c:pt>
                <c:pt idx="17">
                  <c:v>0.12425866794018518</c:v>
                </c:pt>
                <c:pt idx="18">
                  <c:v>0.11807862011094888</c:v>
                </c:pt>
              </c:numCache>
            </c:numRef>
          </c:yVal>
          <c:smooth val="1"/>
          <c:extLst>
            <c:ext xmlns:c16="http://schemas.microsoft.com/office/drawing/2014/chart" uri="{C3380CC4-5D6E-409C-BE32-E72D297353CC}">
              <c16:uniqueId val="{00000000-132C-4301-A589-26442371B65D}"/>
            </c:ext>
          </c:extLst>
        </c:ser>
        <c:ser>
          <c:idx val="1"/>
          <c:order val="1"/>
          <c:tx>
            <c:strRef>
              <c:f>'Informe nº6e'!$AX$17</c:f>
              <c:strCache>
                <c:ptCount val="1"/>
                <c:pt idx="0">
                  <c:v>ALT_F</c:v>
                </c:pt>
              </c:strCache>
            </c:strRef>
          </c:tx>
          <c:spPr>
            <a:ln w="25400">
              <a:solidFill>
                <a:srgbClr val="FF0000"/>
              </a:solidFill>
              <a:prstDash val="solid"/>
            </a:ln>
          </c:spPr>
          <c:marker>
            <c:symbol val="none"/>
          </c:marker>
          <c:xVal>
            <c:numRef>
              <c:f>'Informe nº6e'!$AV$18:$AV$36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nº6e'!$AX$18:$AX$36</c:f>
              <c:numCache>
                <c:formatCode>0.00</c:formatCode>
                <c:ptCount val="19"/>
                <c:pt idx="0">
                  <c:v>0.13448368970836908</c:v>
                </c:pt>
                <c:pt idx="1">
                  <c:v>0.10938461916077706</c:v>
                </c:pt>
                <c:pt idx="2">
                  <c:v>9.7495714495224609E-2</c:v>
                </c:pt>
                <c:pt idx="3">
                  <c:v>8.7617333588146051E-2</c:v>
                </c:pt>
                <c:pt idx="4">
                  <c:v>7.9427381046116352E-2</c:v>
                </c:pt>
                <c:pt idx="5">
                  <c:v>7.5523999794608082E-2</c:v>
                </c:pt>
                <c:pt idx="6">
                  <c:v>7.1049833404166374E-2</c:v>
                </c:pt>
                <c:pt idx="7">
                  <c:v>6.8575619232086896E-2</c:v>
                </c:pt>
                <c:pt idx="8">
                  <c:v>6.5127428390440487E-2</c:v>
                </c:pt>
                <c:pt idx="9">
                  <c:v>6.2824523785994166E-2</c:v>
                </c:pt>
                <c:pt idx="10">
                  <c:v>6.0586976437341594E-2</c:v>
                </c:pt>
                <c:pt idx="11">
                  <c:v>5.9028857414211558E-2</c:v>
                </c:pt>
                <c:pt idx="12">
                  <c:v>5.7387500247430237E-2</c:v>
                </c:pt>
                <c:pt idx="13">
                  <c:v>5.5770333945041613E-2</c:v>
                </c:pt>
                <c:pt idx="14">
                  <c:v>5.419999986354794E-2</c:v>
                </c:pt>
                <c:pt idx="15">
                  <c:v>5.2627047825427278E-2</c:v>
                </c:pt>
                <c:pt idx="16">
                  <c:v>5.0980309219587412E-2</c:v>
                </c:pt>
                <c:pt idx="17">
                  <c:v>4.933495243035612E-2</c:v>
                </c:pt>
                <c:pt idx="18">
                  <c:v>4.7183595158691916E-2</c:v>
                </c:pt>
              </c:numCache>
            </c:numRef>
          </c:yVal>
          <c:smooth val="1"/>
          <c:extLst>
            <c:ext xmlns:c16="http://schemas.microsoft.com/office/drawing/2014/chart" uri="{C3380CC4-5D6E-409C-BE32-E72D297353CC}">
              <c16:uniqueId val="{00000001-132C-4301-A589-26442371B65D}"/>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9962491868003679"/>
              <c:y val="0.91542195375810476"/>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i="0" u="none" strike="noStrike" baseline="0">
                <a:solidFill>
                  <a:schemeClr val="tx1">
                    <a:lumMod val="75000"/>
                    <a:lumOff val="25000"/>
                  </a:schemeClr>
                </a:solidFill>
                <a:latin typeface="Arial"/>
                <a:cs typeface="Arial"/>
              </a:rPr>
              <a:t>INDICATORS OF ALTERATION</a:t>
            </a:r>
          </a:p>
          <a:p>
            <a:pPr>
              <a:defRPr/>
            </a:pPr>
            <a:r>
              <a:rPr lang="es-ES" sz="1000" b="1" i="0" u="none" strike="noStrike" baseline="0">
                <a:solidFill>
                  <a:schemeClr val="tx1">
                    <a:lumMod val="75000"/>
                    <a:lumOff val="25000"/>
                  </a:schemeClr>
                </a:solidFill>
                <a:latin typeface="Arial"/>
                <a:cs typeface="Arial"/>
              </a:rPr>
              <a:t>HABITUAL VALUES</a:t>
            </a:r>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0526558489581067"/>
          <c:y val="0.15940701372272548"/>
          <c:w val="0.46341323356679853"/>
          <c:h val="0.68752261627184008"/>
        </c:manualLayout>
      </c:layout>
      <c:radarChart>
        <c:radarStyle val="marker"/>
        <c:varyColors val="0"/>
        <c:ser>
          <c:idx val="4"/>
          <c:order val="0"/>
          <c:tx>
            <c:strRef>
              <c:f>'Informe nº 7c'!$N$16</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19050">
                <a:noFill/>
              </a:ln>
              <a:effectLst/>
            </c:spPr>
          </c:marker>
          <c:cat>
            <c:strRef>
              <c:f>'Informe nº 7c'!$F$17:$F$23</c:f>
              <c:strCache>
                <c:ptCount val="7"/>
                <c:pt idx="0">
                  <c:v>M1</c:v>
                </c:pt>
                <c:pt idx="1">
                  <c:v>M2</c:v>
                </c:pt>
                <c:pt idx="2">
                  <c:v>V1</c:v>
                </c:pt>
                <c:pt idx="3">
                  <c:v>V2</c:v>
                </c:pt>
                <c:pt idx="4">
                  <c:v>V4</c:v>
                </c:pt>
                <c:pt idx="5">
                  <c:v>S1</c:v>
                </c:pt>
                <c:pt idx="6">
                  <c:v>S2</c:v>
                </c:pt>
              </c:strCache>
            </c:strRef>
          </c:cat>
          <c:val>
            <c:numRef>
              <c:f>'Informe nº 7c'!$N$17:$N$23</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1-74F3-462E-9DB7-EF46A29AFFE3}"/>
            </c:ext>
          </c:extLst>
        </c:ser>
        <c:ser>
          <c:idx val="3"/>
          <c:order val="1"/>
          <c:tx>
            <c:strRef>
              <c:f>'Informe nº 7c'!$O$16</c:f>
              <c:strCache>
                <c:ptCount val="1"/>
                <c:pt idx="0">
                  <c:v>ALT_F</c:v>
                </c:pt>
              </c:strCache>
            </c:strRef>
          </c:tx>
          <c:spPr>
            <a:ln w="22225" cap="rnd">
              <a:solidFill>
                <a:srgbClr val="FF0000"/>
              </a:solidFill>
              <a:round/>
            </a:ln>
            <a:effectLst/>
          </c:spPr>
          <c:marker>
            <c:symbol val="square"/>
            <c:size val="5"/>
            <c:spPr>
              <a:solidFill>
                <a:srgbClr val="FF0000"/>
              </a:solidFill>
              <a:ln w="9525">
                <a:solidFill>
                  <a:srgbClr val="FF0000"/>
                </a:solidFill>
              </a:ln>
              <a:effectLst/>
            </c:spPr>
          </c:marker>
          <c:cat>
            <c:strRef>
              <c:f>'Informe nº 7c'!$F$17:$F$23</c:f>
              <c:strCache>
                <c:ptCount val="7"/>
                <c:pt idx="0">
                  <c:v>M1</c:v>
                </c:pt>
                <c:pt idx="1">
                  <c:v>M2</c:v>
                </c:pt>
                <c:pt idx="2">
                  <c:v>V1</c:v>
                </c:pt>
                <c:pt idx="3">
                  <c:v>V2</c:v>
                </c:pt>
                <c:pt idx="4">
                  <c:v>V4</c:v>
                </c:pt>
                <c:pt idx="5">
                  <c:v>S1</c:v>
                </c:pt>
                <c:pt idx="6">
                  <c:v>S2</c:v>
                </c:pt>
              </c:strCache>
            </c:strRef>
          </c:cat>
          <c:val>
            <c:numRef>
              <c:f>'Informe nº 7c'!$D$17:$D$23</c:f>
              <c:numCache>
                <c:formatCode>0.00</c:formatCode>
                <c:ptCount val="7"/>
                <c:pt idx="0">
                  <c:v>0.55761575698852539</c:v>
                </c:pt>
                <c:pt idx="1">
                  <c:v>0.47033208608627319</c:v>
                </c:pt>
                <c:pt idx="2">
                  <c:v>0.74218344688415527</c:v>
                </c:pt>
                <c:pt idx="3">
                  <c:v>0.55169570446014404</c:v>
                </c:pt>
                <c:pt idx="4">
                  <c:v>0.78627479076385498</c:v>
                </c:pt>
                <c:pt idx="5">
                  <c:v>0.83333331346511841</c:v>
                </c:pt>
                <c:pt idx="6">
                  <c:v>0.83333331346511841</c:v>
                </c:pt>
              </c:numCache>
            </c:numRef>
          </c:val>
          <c:extLst>
            <c:ext xmlns:c16="http://schemas.microsoft.com/office/drawing/2014/chart" uri="{C3380CC4-5D6E-409C-BE32-E72D297353CC}">
              <c16:uniqueId val="{00000000-74F3-462E-9DB7-EF46A29AFFE3}"/>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USUAL INDICATOR</a:t>
            </a:r>
          </a:p>
          <a:p>
            <a:pPr>
              <a:defRPr sz="1400" b="0" i="0" u="none" strike="noStrike" kern="1200" spc="0" baseline="0">
                <a:solidFill>
                  <a:schemeClr val="tx1">
                    <a:lumMod val="65000"/>
                    <a:lumOff val="35000"/>
                  </a:schemeClr>
                </a:solidFill>
                <a:latin typeface="+mn-lt"/>
                <a:ea typeface="+mn-ea"/>
                <a:cs typeface="+mn-cs"/>
              </a:defRPr>
            </a:pPr>
            <a:r>
              <a:rPr lang="es-ES" sz="1100" b="1"/>
              <a:t>Magnitude of</a:t>
            </a:r>
          </a:p>
          <a:p>
            <a:pPr>
              <a:defRPr sz="1400" b="0" i="0" u="none" strike="noStrike" kern="1200" spc="0" baseline="0">
                <a:solidFill>
                  <a:schemeClr val="tx1">
                    <a:lumMod val="65000"/>
                    <a:lumOff val="35000"/>
                  </a:schemeClr>
                </a:solidFill>
                <a:latin typeface="+mn-lt"/>
                <a:ea typeface="+mn-ea"/>
                <a:cs typeface="+mn-cs"/>
              </a:defRPr>
            </a:pPr>
            <a:r>
              <a:rPr lang="es-ES" sz="1100" b="1"/>
              <a:t>monthly contributions</a:t>
            </a:r>
          </a:p>
          <a:p>
            <a:pPr>
              <a:defRPr sz="1400" b="0" i="0" u="none" strike="noStrike" kern="1200" spc="0" baseline="0">
                <a:solidFill>
                  <a:schemeClr val="tx1">
                    <a:lumMod val="65000"/>
                    <a:lumOff val="35000"/>
                  </a:schemeClr>
                </a:solidFill>
                <a:latin typeface="+mn-lt"/>
                <a:ea typeface="+mn-ea"/>
                <a:cs typeface="+mn-cs"/>
              </a:defRPr>
            </a:pPr>
            <a:r>
              <a:rPr lang="es-ES" sz="1100" b="1">
                <a:solidFill>
                  <a:srgbClr val="538DD5"/>
                </a:solidFill>
              </a:rPr>
              <a:t>M3 monthly</a:t>
            </a:r>
          </a:p>
        </c:rich>
      </c:tx>
      <c:layout>
        <c:manualLayout>
          <c:xMode val="edge"/>
          <c:yMode val="edge"/>
          <c:x val="0.5602355808285947"/>
          <c:y val="3.1320517603628729E-2"/>
        </c:manualLayout>
      </c:layout>
      <c:overlay val="0"/>
      <c:spPr>
        <a:noFill/>
        <a:ln>
          <a:noFill/>
        </a:ln>
        <a:effectLst/>
      </c:spPr>
    </c:title>
    <c:autoTitleDeleted val="0"/>
    <c:plotArea>
      <c:layout>
        <c:manualLayout>
          <c:layoutTarget val="inner"/>
          <c:xMode val="edge"/>
          <c:yMode val="edge"/>
          <c:x val="0.13589501312335958"/>
          <c:y val="0.19101305793942275"/>
          <c:w val="0.51348571428571432"/>
          <c:h val="0.70632324125066082"/>
        </c:manualLayout>
      </c:layout>
      <c:radarChart>
        <c:radarStyle val="marker"/>
        <c:varyColors val="0"/>
        <c:ser>
          <c:idx val="4"/>
          <c:order val="0"/>
          <c:tx>
            <c:strRef>
              <c:f>'Informe nº 7c'!$N$16</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7c'!$D$29:$D$40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7c'!$J$29:$J$40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A750-4785-8F07-00580DC18919}"/>
            </c:ext>
          </c:extLst>
        </c:ser>
        <c:ser>
          <c:idx val="3"/>
          <c:order val="1"/>
          <c:tx>
            <c:strRef>
              <c:f>'Informe nº 7c'!$O$16</c:f>
              <c:strCache>
                <c:ptCount val="1"/>
                <c:pt idx="0">
                  <c:v>ALT_F</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7c'!$D$29:$D$40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7c'!$F$29:$F$40</c:f>
              <c:numCache>
                <c:formatCode>0.00</c:formatCode>
                <c:ptCount val="12"/>
                <c:pt idx="0">
                  <c:v>0.7583305835723877</c:v>
                </c:pt>
                <c:pt idx="1">
                  <c:v>0.98561954498291016</c:v>
                </c:pt>
                <c:pt idx="2">
                  <c:v>0.79169726371765137</c:v>
                </c:pt>
                <c:pt idx="3">
                  <c:v>0.48390671610832214</c:v>
                </c:pt>
                <c:pt idx="4">
                  <c:v>0.23092541098594666</c:v>
                </c:pt>
                <c:pt idx="5">
                  <c:v>0.13467922806739807</c:v>
                </c:pt>
                <c:pt idx="6">
                  <c:v>0.26545462012290955</c:v>
                </c:pt>
                <c:pt idx="7">
                  <c:v>0.39351627230644226</c:v>
                </c:pt>
                <c:pt idx="8">
                  <c:v>0.29920622706413269</c:v>
                </c:pt>
                <c:pt idx="9">
                  <c:v>0.34487864375114441</c:v>
                </c:pt>
                <c:pt idx="10">
                  <c:v>0.48768830299377441</c:v>
                </c:pt>
                <c:pt idx="11">
                  <c:v>0.46808207035064697</c:v>
                </c:pt>
              </c:numCache>
            </c:numRef>
          </c:val>
          <c:extLst>
            <c:ext xmlns:c16="http://schemas.microsoft.com/office/drawing/2014/chart" uri="{C3380CC4-5D6E-409C-BE32-E72D297353CC}">
              <c16:uniqueId val="{00000000-A750-4785-8F07-00580DC18919}"/>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i="0" u="none" strike="noStrike" kern="1200" spc="0" baseline="0">
                <a:solidFill>
                  <a:sysClr val="windowText" lastClr="000000">
                    <a:lumMod val="65000"/>
                    <a:lumOff val="35000"/>
                  </a:sysClr>
                </a:solidFill>
              </a:rPr>
              <a:t>USUAL INDICATOR</a:t>
            </a:r>
          </a:p>
          <a:p>
            <a:pPr>
              <a:defRPr sz="1400" b="0" i="0" u="none" strike="noStrike" kern="1200" spc="0" baseline="0">
                <a:solidFill>
                  <a:schemeClr val="tx1">
                    <a:lumMod val="65000"/>
                    <a:lumOff val="35000"/>
                  </a:schemeClr>
                </a:solidFill>
                <a:latin typeface="+mn-lt"/>
                <a:ea typeface="+mn-ea"/>
                <a:cs typeface="+mn-cs"/>
              </a:defRPr>
            </a:pPr>
            <a:r>
              <a:rPr lang="es-ES" sz="1100" b="1" i="0" u="none" strike="noStrike" kern="1200" spc="0" baseline="0">
                <a:solidFill>
                  <a:sysClr val="windowText" lastClr="000000">
                    <a:lumMod val="65000"/>
                    <a:lumOff val="35000"/>
                  </a:sysClr>
                </a:solidFill>
              </a:rPr>
              <a:t>Magnitude of</a:t>
            </a:r>
          </a:p>
          <a:p>
            <a:pPr>
              <a:defRPr sz="1400" b="0" i="0" u="none" strike="noStrike" kern="1200" spc="0" baseline="0">
                <a:solidFill>
                  <a:schemeClr val="tx1">
                    <a:lumMod val="65000"/>
                    <a:lumOff val="35000"/>
                  </a:schemeClr>
                </a:solidFill>
                <a:latin typeface="+mn-lt"/>
                <a:ea typeface="+mn-ea"/>
                <a:cs typeface="+mn-cs"/>
              </a:defRPr>
            </a:pPr>
            <a:r>
              <a:rPr lang="es-ES" sz="1100" b="1" i="0" u="none" strike="noStrike" kern="1200" spc="0" baseline="0">
                <a:solidFill>
                  <a:sysClr val="windowText" lastClr="000000">
                    <a:lumMod val="65000"/>
                    <a:lumOff val="35000"/>
                  </a:sysClr>
                </a:solidFill>
              </a:rPr>
              <a:t>monthly contributions</a:t>
            </a:r>
          </a:p>
          <a:p>
            <a:pPr>
              <a:defRPr sz="1400" b="0" i="0" u="none" strike="noStrike" kern="1200" spc="0" baseline="0">
                <a:solidFill>
                  <a:schemeClr val="tx1">
                    <a:lumMod val="65000"/>
                    <a:lumOff val="35000"/>
                  </a:schemeClr>
                </a:solidFill>
                <a:latin typeface="+mn-lt"/>
                <a:ea typeface="+mn-ea"/>
                <a:cs typeface="+mn-cs"/>
              </a:defRPr>
            </a:pPr>
            <a:r>
              <a:rPr lang="es-ES" sz="1100" b="1" i="0" baseline="0">
                <a:solidFill>
                  <a:schemeClr val="accent1"/>
                </a:solidFill>
                <a:effectLst/>
              </a:rPr>
              <a:t>V3 monthly</a:t>
            </a:r>
            <a:endParaRPr lang="es-ES" sz="1100">
              <a:solidFill>
                <a:schemeClr val="accent1"/>
              </a:solidFill>
              <a:effectLst/>
            </a:endParaRPr>
          </a:p>
        </c:rich>
      </c:tx>
      <c:layout>
        <c:manualLayout>
          <c:xMode val="edge"/>
          <c:yMode val="edge"/>
          <c:x val="0.63803794525684288"/>
          <c:y val="3.6681227752464018E-2"/>
        </c:manualLayout>
      </c:layout>
      <c:overlay val="0"/>
      <c:spPr>
        <a:noFill/>
        <a:ln>
          <a:noFill/>
        </a:ln>
        <a:effectLst/>
      </c:spPr>
    </c:title>
    <c:autoTitleDeleted val="0"/>
    <c:plotArea>
      <c:layout>
        <c:manualLayout>
          <c:layoutTarget val="inner"/>
          <c:xMode val="edge"/>
          <c:yMode val="edge"/>
          <c:x val="0.13589501312335958"/>
          <c:y val="0.19101305793942275"/>
          <c:w val="0.51348571428571432"/>
          <c:h val="0.70632324125066082"/>
        </c:manualLayout>
      </c:layout>
      <c:radarChart>
        <c:radarStyle val="marker"/>
        <c:varyColors val="0"/>
        <c:ser>
          <c:idx val="4"/>
          <c:order val="0"/>
          <c:tx>
            <c:strRef>
              <c:f>'Informe nº 7c'!$N$16</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7c'!$D$29:$D$40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7c'!$J$29:$J$40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71E7-4DB6-B2F4-5928661E108B}"/>
            </c:ext>
          </c:extLst>
        </c:ser>
        <c:ser>
          <c:idx val="3"/>
          <c:order val="1"/>
          <c:tx>
            <c:strRef>
              <c:f>'Informe nº 7c'!$O$16</c:f>
              <c:strCache>
                <c:ptCount val="1"/>
                <c:pt idx="0">
                  <c:v>ALT_F</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7c'!$D$29:$D$40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7c'!$H$29:$H$40</c:f>
              <c:numCache>
                <c:formatCode>0.00</c:formatCode>
                <c:ptCount val="12"/>
                <c:pt idx="0">
                  <c:v>0.78272330760955811</c:v>
                </c:pt>
                <c:pt idx="1">
                  <c:v>0.50089550018310547</c:v>
                </c:pt>
                <c:pt idx="2">
                  <c:v>0.93323439359664917</c:v>
                </c:pt>
                <c:pt idx="3">
                  <c:v>0.96674984693527222</c:v>
                </c:pt>
                <c:pt idx="4">
                  <c:v>0.5668109655380249</c:v>
                </c:pt>
                <c:pt idx="5">
                  <c:v>0.2622215747833252</c:v>
                </c:pt>
                <c:pt idx="6">
                  <c:v>0.39453798532485962</c:v>
                </c:pt>
                <c:pt idx="7">
                  <c:v>0.61413180828094482</c:v>
                </c:pt>
                <c:pt idx="8">
                  <c:v>0.26230978965759277</c:v>
                </c:pt>
                <c:pt idx="9">
                  <c:v>0.55343002080917358</c:v>
                </c:pt>
                <c:pt idx="10">
                  <c:v>0.30696839094161987</c:v>
                </c:pt>
                <c:pt idx="11">
                  <c:v>0.47633460164070129</c:v>
                </c:pt>
              </c:numCache>
            </c:numRef>
          </c:val>
          <c:extLst>
            <c:ext xmlns:c16="http://schemas.microsoft.com/office/drawing/2014/chart" uri="{C3380CC4-5D6E-409C-BE32-E72D297353CC}">
              <c16:uniqueId val="{00000000-71E7-4DB6-B2F4-5928661E108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INDICATORS</a:t>
            </a:r>
            <a:r>
              <a:rPr lang="es-ES" sz="1100" b="1" baseline="0"/>
              <a:t> OF FLOODS ALTERATION</a:t>
            </a:r>
            <a:endParaRPr lang="es-ES" sz="11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0526558489581067"/>
          <c:y val="0.15940701372272548"/>
          <c:w val="0.46341323356679853"/>
          <c:h val="0.68752261627184008"/>
        </c:manualLayout>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19050">
                <a:noFill/>
              </a:ln>
              <a:effectLst/>
            </c:spPr>
          </c:marker>
          <c:cat>
            <c:strRef>
              <c:f>'Informe nº 7d'!$F$17:$F$24</c:f>
              <c:strCache>
                <c:ptCount val="8"/>
                <c:pt idx="0">
                  <c:v>IAH7</c:v>
                </c:pt>
                <c:pt idx="1">
                  <c:v>IAH8</c:v>
                </c:pt>
                <c:pt idx="2">
                  <c:v>IAH9</c:v>
                </c:pt>
                <c:pt idx="3">
                  <c:v>IAH10</c:v>
                </c:pt>
                <c:pt idx="4">
                  <c:v>IAH11</c:v>
                </c:pt>
                <c:pt idx="5">
                  <c:v>IAH12</c:v>
                </c:pt>
                <c:pt idx="6">
                  <c:v>IAH13</c:v>
                </c:pt>
                <c:pt idx="7">
                  <c:v>IAH14</c:v>
                </c:pt>
              </c:strCache>
            </c:strRef>
          </c:cat>
          <c:val>
            <c:numRef>
              <c:f>'Informe nº 7d'!$V$36:$V$43</c:f>
              <c:numCache>
                <c:formatCode>0.00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1-872C-4F9E-82CB-5387B3E20109}"/>
            </c:ext>
          </c:extLst>
        </c:ser>
        <c:ser>
          <c:idx val="3"/>
          <c:order val="1"/>
          <c:tx>
            <c:strRef>
              <c:f>'Informe nº 7d'!$W$35</c:f>
              <c:strCache>
                <c:ptCount val="1"/>
                <c:pt idx="0">
                  <c:v>ALT_F</c:v>
                </c:pt>
              </c:strCache>
            </c:strRef>
          </c:tx>
          <c:spPr>
            <a:ln w="22225" cap="rnd">
              <a:solidFill>
                <a:srgbClr val="FF0000"/>
              </a:solidFill>
              <a:round/>
            </a:ln>
            <a:effectLst/>
          </c:spPr>
          <c:marker>
            <c:symbol val="square"/>
            <c:size val="5"/>
            <c:spPr>
              <a:solidFill>
                <a:srgbClr val="FF0000"/>
              </a:solidFill>
              <a:ln w="9525">
                <a:solidFill>
                  <a:srgbClr val="FF0000"/>
                </a:solidFill>
              </a:ln>
              <a:effectLst/>
            </c:spPr>
          </c:marker>
          <c:cat>
            <c:strRef>
              <c:f>'Informe nº 7d'!$F$17:$F$24</c:f>
              <c:strCache>
                <c:ptCount val="8"/>
                <c:pt idx="0">
                  <c:v>IAH7</c:v>
                </c:pt>
                <c:pt idx="1">
                  <c:v>IAH8</c:v>
                </c:pt>
                <c:pt idx="2">
                  <c:v>IAH9</c:v>
                </c:pt>
                <c:pt idx="3">
                  <c:v>IAH10</c:v>
                </c:pt>
                <c:pt idx="4">
                  <c:v>IAH11</c:v>
                </c:pt>
                <c:pt idx="5">
                  <c:v>IAH12</c:v>
                </c:pt>
                <c:pt idx="6">
                  <c:v>IAH13</c:v>
                </c:pt>
                <c:pt idx="7">
                  <c:v>IAH14</c:v>
                </c:pt>
              </c:strCache>
            </c:strRef>
          </c:cat>
          <c:val>
            <c:numRef>
              <c:f>'Informe nº 7d'!$D$17:$D$24</c:f>
              <c:numCache>
                <c:formatCode>0.00</c:formatCode>
                <c:ptCount val="8"/>
                <c:pt idx="0">
                  <c:v>0.801380455493927</c:v>
                </c:pt>
                <c:pt idx="1">
                  <c:v>0.91661876440048218</c:v>
                </c:pt>
                <c:pt idx="2">
                  <c:v>0.2575838565826416</c:v>
                </c:pt>
                <c:pt idx="3">
                  <c:v>0.76355481147766113</c:v>
                </c:pt>
                <c:pt idx="4">
                  <c:v>0.68557900190353394</c:v>
                </c:pt>
                <c:pt idx="5">
                  <c:v>0.67962998151779175</c:v>
                </c:pt>
                <c:pt idx="6">
                  <c:v>0.28372091054916382</c:v>
                </c:pt>
                <c:pt idx="7">
                  <c:v>0.71984130144119263</c:v>
                </c:pt>
              </c:numCache>
            </c:numRef>
          </c:val>
          <c:extLst>
            <c:ext xmlns:c16="http://schemas.microsoft.com/office/drawing/2014/chart" uri="{C3380CC4-5D6E-409C-BE32-E72D297353CC}">
              <c16:uniqueId val="{00000000-872C-4F9E-82CB-5387B3E20109}"/>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INDICATORS OF DROUGHTS ALTERATION</a:t>
            </a:r>
          </a:p>
        </c:rich>
      </c:tx>
      <c:layout>
        <c:manualLayout>
          <c:xMode val="edge"/>
          <c:yMode val="edge"/>
          <c:x val="0.56478940491717289"/>
          <c:y val="5.96923746933342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0526558489581067"/>
          <c:y val="0.15940701372272548"/>
          <c:w val="0.46341323356679853"/>
          <c:h val="0.68752261627184008"/>
        </c:manualLayout>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19050">
                <a:noFill/>
              </a:ln>
              <a:effectLst/>
            </c:spPr>
          </c:marker>
          <c:cat>
            <c:strRef>
              <c:extLst>
                <c:ext xmlns:c15="http://schemas.microsoft.com/office/drawing/2012/chart" uri="{02D57815-91ED-43cb-92C2-25804820EDAC}">
                  <c15:fullRef>
                    <c15:sqref>'Informe nº 7d'!$F$25:$F$31</c15:sqref>
                  </c15:fullRef>
                </c:ext>
              </c:extLst>
              <c:f>'Informe nº 7d'!$F$25:$F$31</c:f>
              <c:strCache>
                <c:ptCount val="7"/>
                <c:pt idx="0">
                  <c:v>IAH15</c:v>
                </c:pt>
                <c:pt idx="1">
                  <c:v>IAH16</c:v>
                </c:pt>
                <c:pt idx="2">
                  <c:v>IAH17</c:v>
                </c:pt>
                <c:pt idx="3">
                  <c:v>IAH18</c:v>
                </c:pt>
                <c:pt idx="4">
                  <c:v>IAH19</c:v>
                </c:pt>
                <c:pt idx="5">
                  <c:v>IAH20</c:v>
                </c:pt>
                <c:pt idx="6">
                  <c:v>IAH21</c:v>
                </c:pt>
              </c:strCache>
            </c:strRef>
          </c:cat>
          <c:val>
            <c:numRef>
              <c:extLst>
                <c:ext xmlns:c15="http://schemas.microsoft.com/office/drawing/2012/chart" uri="{02D57815-91ED-43cb-92C2-25804820EDAC}">
                  <c15:fullRef>
                    <c15:sqref>'Informe nº 7d'!$V$36:$V$43</c15:sqref>
                  </c15:fullRef>
                </c:ext>
              </c:extLst>
              <c:f>'Informe nº 7d'!$V$36:$V$42</c:f>
              <c:numCache>
                <c:formatCode>0.00</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1-42AB-4E58-B017-935BABB20CB4}"/>
            </c:ext>
          </c:extLst>
        </c:ser>
        <c:ser>
          <c:idx val="3"/>
          <c:order val="1"/>
          <c:tx>
            <c:strRef>
              <c:f>'Informe nº 7d'!$W$35</c:f>
              <c:strCache>
                <c:ptCount val="1"/>
                <c:pt idx="0">
                  <c:v>ALT_F</c:v>
                </c:pt>
              </c:strCache>
            </c:strRef>
          </c:tx>
          <c:spPr>
            <a:ln w="22225" cap="rnd">
              <a:solidFill>
                <a:srgbClr val="FF0000"/>
              </a:solidFill>
              <a:round/>
            </a:ln>
            <a:effectLst/>
          </c:spPr>
          <c:marker>
            <c:symbol val="square"/>
            <c:size val="5"/>
            <c:spPr>
              <a:solidFill>
                <a:srgbClr val="FF0000"/>
              </a:solidFill>
              <a:ln w="9525">
                <a:solidFill>
                  <a:srgbClr val="FF0000"/>
                </a:solidFill>
              </a:ln>
              <a:effectLst/>
            </c:spPr>
          </c:marker>
          <c:cat>
            <c:strRef>
              <c:extLst>
                <c:ext xmlns:c15="http://schemas.microsoft.com/office/drawing/2012/chart" uri="{02D57815-91ED-43cb-92C2-25804820EDAC}">
                  <c15:fullRef>
                    <c15:sqref>'Informe nº 7d'!$F$25:$F$31</c15:sqref>
                  </c15:fullRef>
                </c:ext>
              </c:extLst>
              <c:f>'Informe nº 7d'!$F$25:$F$31</c:f>
              <c:strCache>
                <c:ptCount val="7"/>
                <c:pt idx="0">
                  <c:v>IAH15</c:v>
                </c:pt>
                <c:pt idx="1">
                  <c:v>IAH16</c:v>
                </c:pt>
                <c:pt idx="2">
                  <c:v>IAH17</c:v>
                </c:pt>
                <c:pt idx="3">
                  <c:v>IAH18</c:v>
                </c:pt>
                <c:pt idx="4">
                  <c:v>IAH19</c:v>
                </c:pt>
                <c:pt idx="5">
                  <c:v>IAH20</c:v>
                </c:pt>
                <c:pt idx="6">
                  <c:v>IAH21</c:v>
                </c:pt>
              </c:strCache>
            </c:strRef>
          </c:cat>
          <c:val>
            <c:numRef>
              <c:extLst>
                <c:ext xmlns:c15="http://schemas.microsoft.com/office/drawing/2012/chart" uri="{02D57815-91ED-43cb-92C2-25804820EDAC}">
                  <c15:fullRef>
                    <c15:sqref>'Informe nº 7d'!$D$25:$D$31</c15:sqref>
                  </c15:fullRef>
                </c:ext>
              </c:extLst>
              <c:f>'Informe nº 7d'!$D$25:$D$31</c:f>
              <c:numCache>
                <c:formatCode>0.00</c:formatCode>
                <c:ptCount val="7"/>
                <c:pt idx="0">
                  <c:v>0.38417032361030579</c:v>
                </c:pt>
                <c:pt idx="1">
                  <c:v>0.38288885354995728</c:v>
                </c:pt>
                <c:pt idx="2">
                  <c:v>0.63478875160217285</c:v>
                </c:pt>
                <c:pt idx="3">
                  <c:v>0.65613138675689697</c:v>
                </c:pt>
                <c:pt idx="4">
                  <c:v>0.11493073403835297</c:v>
                </c:pt>
                <c:pt idx="5">
                  <c:v>1</c:v>
                </c:pt>
                <c:pt idx="6">
                  <c:v>0.58492058515548706</c:v>
                </c:pt>
              </c:numCache>
            </c:numRef>
          </c:val>
          <c:extLst>
            <c:ext xmlns:c16="http://schemas.microsoft.com/office/drawing/2014/chart" uri="{C3380CC4-5D6E-409C-BE32-E72D297353CC}">
              <c16:uniqueId val="{00000000-42AB-4E58-B017-935BABB20CB4}"/>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IAH 14 monthly</a:t>
            </a:r>
          </a:p>
        </c:rich>
      </c:tx>
      <c:layout>
        <c:manualLayout>
          <c:xMode val="edge"/>
          <c:yMode val="edge"/>
          <c:x val="0.67799443768715906"/>
          <c:y val="0.1046831955922865"/>
        </c:manualLayout>
      </c:layout>
      <c:overlay val="0"/>
      <c:spPr>
        <a:noFill/>
        <a:ln>
          <a:noFill/>
        </a:ln>
        <a:effectLst/>
      </c:spPr>
    </c:title>
    <c:autoTitleDeleted val="0"/>
    <c:plotArea>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7d'!$V$36:$V$47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97C5-44DB-AF55-B7A89267227E}"/>
            </c:ext>
          </c:extLst>
        </c:ser>
        <c:ser>
          <c:idx val="3"/>
          <c:order val="1"/>
          <c:tx>
            <c:strRef>
              <c:f>'Informe nº 7d'!$W$35</c:f>
              <c:strCache>
                <c:ptCount val="1"/>
                <c:pt idx="0">
                  <c:v>ALT_F</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7d'!$P$36:$P$47</c:f>
              <c:numCache>
                <c:formatCode>0.00</c:formatCode>
                <c:ptCount val="12"/>
                <c:pt idx="0">
                  <c:v>0.40952378511428833</c:v>
                </c:pt>
                <c:pt idx="1">
                  <c:v>0.53333336114883423</c:v>
                </c:pt>
                <c:pt idx="2">
                  <c:v>0.9523809552192688</c:v>
                </c:pt>
                <c:pt idx="3">
                  <c:v>0.64761906862258911</c:v>
                </c:pt>
                <c:pt idx="4">
                  <c:v>0.25714287161827087</c:v>
                </c:pt>
                <c:pt idx="5">
                  <c:v>1</c:v>
                </c:pt>
                <c:pt idx="6">
                  <c:v>1</c:v>
                </c:pt>
                <c:pt idx="7">
                  <c:v>1</c:v>
                </c:pt>
                <c:pt idx="8">
                  <c:v>1</c:v>
                </c:pt>
                <c:pt idx="9">
                  <c:v>1</c:v>
                </c:pt>
                <c:pt idx="10">
                  <c:v>0.83809524774551392</c:v>
                </c:pt>
                <c:pt idx="11">
                  <c:v>0</c:v>
                </c:pt>
              </c:numCache>
            </c:numRef>
          </c:val>
          <c:extLst>
            <c:ext xmlns:c16="http://schemas.microsoft.com/office/drawing/2014/chart" uri="{C3380CC4-5D6E-409C-BE32-E72D297353CC}">
              <c16:uniqueId val="{00000000-97C5-44DB-AF55-B7A89267227E}"/>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IAH 20 monthly</a:t>
            </a:r>
          </a:p>
        </c:rich>
      </c:tx>
      <c:layout>
        <c:manualLayout>
          <c:xMode val="edge"/>
          <c:yMode val="edge"/>
          <c:x val="0.67799443768715906"/>
          <c:y val="0.1046831955922865"/>
        </c:manualLayout>
      </c:layout>
      <c:overlay val="0"/>
      <c:spPr>
        <a:noFill/>
        <a:ln>
          <a:noFill/>
        </a:ln>
        <a:effectLst/>
      </c:spPr>
    </c:title>
    <c:autoTitleDeleted val="0"/>
    <c:plotArea>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7d'!$V$36:$V$47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060E-4CC6-A04E-A5EF3793FDF8}"/>
            </c:ext>
          </c:extLst>
        </c:ser>
        <c:ser>
          <c:idx val="3"/>
          <c:order val="1"/>
          <c:tx>
            <c:strRef>
              <c:f>'Informe nº 7d'!$W$35</c:f>
              <c:strCache>
                <c:ptCount val="1"/>
                <c:pt idx="0">
                  <c:v>ALT_F</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7d'!$R$36:$R$47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0-060E-4CC6-A04E-A5EF3793FDF8}"/>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IAH 21 monthly</a:t>
            </a:r>
          </a:p>
        </c:rich>
      </c:tx>
      <c:layout>
        <c:manualLayout>
          <c:xMode val="edge"/>
          <c:yMode val="edge"/>
          <c:x val="0.67799443768715906"/>
          <c:y val="0.1046831955922865"/>
        </c:manualLayout>
      </c:layout>
      <c:overlay val="0"/>
      <c:spPr>
        <a:noFill/>
        <a:ln>
          <a:noFill/>
        </a:ln>
        <a:effectLst/>
      </c:spPr>
    </c:title>
    <c:autoTitleDeleted val="0"/>
    <c:plotArea>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7d'!$V$36:$V$47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B052-4AD3-9708-E2C11D45FF1B}"/>
            </c:ext>
          </c:extLst>
        </c:ser>
        <c:ser>
          <c:idx val="3"/>
          <c:order val="1"/>
          <c:tx>
            <c:strRef>
              <c:f>'Informe nº 7d'!$W$35</c:f>
              <c:strCache>
                <c:ptCount val="1"/>
                <c:pt idx="0">
                  <c:v>ALT_F</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7d'!$T$36:$T$47</c:f>
              <c:numCache>
                <c:formatCode>0.00</c:formatCode>
                <c:ptCount val="12"/>
                <c:pt idx="0">
                  <c:v>1</c:v>
                </c:pt>
                <c:pt idx="1">
                  <c:v>1</c:v>
                </c:pt>
                <c:pt idx="2">
                  <c:v>1</c:v>
                </c:pt>
                <c:pt idx="3">
                  <c:v>1</c:v>
                </c:pt>
                <c:pt idx="4">
                  <c:v>1</c:v>
                </c:pt>
                <c:pt idx="5">
                  <c:v>4.7619055956602097E-2</c:v>
                </c:pt>
                <c:pt idx="6">
                  <c:v>0</c:v>
                </c:pt>
                <c:pt idx="7">
                  <c:v>0</c:v>
                </c:pt>
                <c:pt idx="8">
                  <c:v>0</c:v>
                </c:pt>
                <c:pt idx="9">
                  <c:v>0</c:v>
                </c:pt>
                <c:pt idx="10">
                  <c:v>0.97142857313156128</c:v>
                </c:pt>
                <c:pt idx="11">
                  <c:v>1</c:v>
                </c:pt>
              </c:numCache>
            </c:numRef>
          </c:val>
          <c:extLst>
            <c:ext xmlns:c16="http://schemas.microsoft.com/office/drawing/2014/chart" uri="{C3380CC4-5D6E-409C-BE32-E72D297353CC}">
              <c16:uniqueId val="{00000000-B052-4AD3-9708-E2C11D45FF1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s-ES"/>
              <a:t>Box-and-whisker plot of annual contributions </a:t>
            </a:r>
            <a:r>
              <a:rPr lang="es-ES" sz="1400" b="0" i="0" u="none" strike="noStrike" baseline="0">
                <a:solidFill>
                  <a:sysClr val="windowText" lastClr="000000">
                    <a:lumMod val="65000"/>
                    <a:lumOff val="35000"/>
                  </a:sysClr>
                </a:solidFill>
                <a:latin typeface="Calibri" panose="020F0502020204030204"/>
              </a:rPr>
              <a:t>(hm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E831B7E8-18F3-431A-B9A6-70BFE1D168B9}">
          <cx:tx>
            <cx:txData>
              <cx:f>_xlchart.v1.1</cx:f>
              <cx:v>NAT_F</cx:v>
            </cx:txData>
          </cx:tx>
          <cx:dataLabels/>
          <cx:dataId val="0"/>
          <cx:layoutPr>
            <cx:visibility meanLine="0" meanMarker="1" nonoutliers="0" outliers="1"/>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chart>
  <cx:spPr>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s-ES">
                <a:effectLst/>
              </a:rPr>
              <a:t>Box-and-whisker plot of annual contributions </a:t>
            </a:r>
            <a:r>
              <a:rPr lang="es-ES" sz="1400" b="0" i="0" u="none" strike="noStrike" baseline="0">
                <a:solidFill>
                  <a:sysClr val="windowText" lastClr="000000">
                    <a:lumMod val="65000"/>
                    <a:lumOff val="35000"/>
                  </a:sysClr>
                </a:solidFill>
                <a:latin typeface="Calibri" panose="020F0502020204030204"/>
              </a:rPr>
              <a:t>(hm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E831B7E8-18F3-431A-B9A6-70BFE1D168B9}">
          <cx:tx>
            <cx:txData>
              <cx:f>_xlchart.v1.3</cx:f>
              <cx:v>ALT_F</cx:v>
            </cx:txData>
          </cx:tx>
          <cx:spPr>
            <a:solidFill>
              <a:srgbClr val="FF5050"/>
            </a:solidFill>
            <a:ln>
              <a:solidFill>
                <a:srgbClr val="FF0000"/>
              </a:solidFill>
            </a:ln>
          </cx:spPr>
          <cx:dataLabels/>
          <cx:dataId val="0"/>
          <cx:layoutPr>
            <cx:visibility meanLine="0" meanMarker="1" nonoutliers="0" outliers="1"/>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spPr>
        <a:ln>
          <a:noFill/>
        </a:ln>
      </cx:spPr>
    </cx:legend>
  </cx:chart>
  <cx:spPr>
    <a:ln>
      <a:solidFill>
        <a:schemeClr val="tx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data id="1">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s-ES">
                <a:effectLst/>
              </a:rPr>
              <a:t>Box-and-whisker plot of annual contributions</a:t>
            </a:r>
            <a:r>
              <a:rPr lang="es-ES" sz="1400" b="0" i="0" u="none" strike="noStrike" baseline="0">
                <a:solidFill>
                  <a:sysClr val="windowText" lastClr="000000">
                    <a:lumMod val="65000"/>
                    <a:lumOff val="35000"/>
                  </a:sysClr>
                </a:solidFill>
                <a:latin typeface="Calibri" panose="020F0502020204030204"/>
              </a:rPr>
              <a:t>(hm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00000000-560D-4027-BEC6-1175BB703E70}" formatIdx="0">
          <cx:tx>
            <cx:txData>
              <cx:f>_xlchart.v1.6</cx:f>
              <cx:v>NAT_F</cx:v>
            </cx:txData>
          </cx:tx>
          <cx:dataId val="0"/>
          <cx:layoutPr>
            <cx:statistics quartileMethod="exclusive"/>
          </cx:layoutPr>
        </cx:series>
        <cx:series layoutId="boxWhisker" uniqueId="{00000001-560D-4027-BEC6-1175BB703E70}">
          <cx:tx>
            <cx:txData>
              <cx:f>_xlchart.v1.7</cx:f>
              <cx:v>ALT_F</cx:v>
            </cx:txData>
          </cx:tx>
          <cx:dataId val="1"/>
          <cx:layoutPr>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chart>
  <cx:spPr>
    <a:ln>
      <a:solidFill>
        <a:schemeClr val="tx1"/>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s-E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EXTREME INTRA-ANNUAL VARIABILITY (hm</a:t>
            </a:r>
            <a:r>
              <a:rPr lang="es-ES" sz="1400" b="0" i="0" u="none" strike="noStrike" baseline="3000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3</a:t>
            </a:r>
            <a:r>
              <a:rPr lang="es-E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 </a:t>
            </a:r>
            <a:endParaRPr lang="es-ES">
              <a:effectLst/>
            </a:endParaRPr>
          </a:p>
        </cx:rich>
      </cx:tx>
    </cx:title>
    <cx:plotArea>
      <cx:plotAreaRegion>
        <cx:series layoutId="boxWhisker" uniqueId="{B5FC2D79-B38C-4CC4-94D7-88F7F9643712}">
          <cx:tx>
            <cx:txData>
              <cx:f>_xlchart.v1.9</cx:f>
              <cx:v>NAT_F</cx:v>
            </cx:txData>
          </cx:tx>
          <cx:dataLabels>
            <cx:numFmt formatCode="0,000" sourceLinked="0"/>
            <cx:txPr>
              <a:bodyPr spcFirstLastPara="1" vertOverflow="ellipsis" wrap="square" lIns="0" tIns="0" rIns="0" bIns="0" anchor="ctr" anchorCtr="1"/>
              <a:lstStyle/>
              <a:p>
                <a:pPr>
                  <a:defRPr/>
                </a:pPr>
                <a:endParaRPr lang="es-ES"/>
              </a:p>
            </cx:txPr>
            <cx:visibility seriesName="0" categoryName="0" value="1"/>
            <cx:separator>, </cx:separator>
          </cx:dataLabels>
          <cx:dataId val="0"/>
          <cx:layoutPr>
            <cx:visibility meanLine="0" meanMarker="1" nonoutliers="0" outliers="1"/>
            <cx:statistics quartileMethod="exclusive"/>
          </cx:layoutPr>
        </cx:series>
      </cx:plotAreaRegion>
      <cx:axis id="0" hidden="1">
        <cx:catScaling gapWidth="1"/>
        <cx:tickLabels/>
      </cx:axis>
      <cx:axis id="1">
        <cx:valScaling/>
        <cx:majorGridlines/>
        <cx:tickLabels/>
      </cx:axis>
    </cx:plotArea>
    <cx:legend pos="b" align="ctr" overlay="0">
      <cx:txPr>
        <a:bodyPr spcFirstLastPara="1" vertOverflow="ellipsis" horzOverflow="overflow" wrap="square" lIns="0" tIns="0" rIns="0" bIns="0" anchor="ctr" anchorCtr="1"/>
        <a:lstStyle/>
        <a:p>
          <a:pPr algn="ctr" rtl="0">
            <a:defRPr/>
          </a:pPr>
          <a:endParaRPr lang="es-ES" sz="900" b="0" i="0" u="none" strike="noStrike" baseline="0">
            <a:solidFill>
              <a:sysClr val="windowText" lastClr="000000">
                <a:lumMod val="65000"/>
                <a:lumOff val="35000"/>
              </a:sysClr>
            </a:solidFill>
            <a:latin typeface="Calibri" panose="020F0502020204030204"/>
          </a:endParaRPr>
        </a:p>
      </cx:txPr>
    </cx:legend>
  </cx:chart>
  <cx:spPr>
    <a:ln>
      <a:solidFill>
        <a:schemeClr val="tx1"/>
      </a:solid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_xlchart.v1.10</cx:f>
      </cx:numDim>
    </cx:data>
  </cx:chartData>
  <cx:chart>
    <cx:title pos="t" align="ctr" overlay="0">
      <cx:tx>
        <cx:rich>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effectLst/>
                <a:latin typeface="Calibri"/>
                <a:ea typeface="Calibri" panose="020F0502020204030204" pitchFamily="34" charset="0"/>
                <a:cs typeface="Calibri" panose="020F0502020204030204" pitchFamily="34" charset="0"/>
              </a:rPr>
              <a:t>EXTREME INTRA-ANNUAL VARIABILITY </a:t>
            </a:r>
            <a:r>
              <a:rPr lang="es-ES" sz="1400" b="0" i="0" u="none" strike="noStrike" baseline="0">
                <a:solidFill>
                  <a:sysClr val="windowText" lastClr="000000">
                    <a:lumMod val="65000"/>
                    <a:lumOff val="35000"/>
                  </a:sysClr>
                </a:solidFill>
                <a:latin typeface="Calibri" panose="020F0502020204030204"/>
              </a:rPr>
              <a:t>(hm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 </a:t>
            </a:r>
          </a:p>
        </cx:rich>
      </cx:tx>
    </cx:title>
    <cx:plotArea>
      <cx:plotAreaRegion>
        <cx:series layoutId="boxWhisker" uniqueId="{B5FC2D79-B38C-4CC4-94D7-88F7F9643712}">
          <cx:tx>
            <cx:txData>
              <cx:f>_xlchart.v1.11</cx:f>
              <cx:v>ALT_F</cx:v>
            </cx:txData>
          </cx:tx>
          <cx:spPr>
            <a:solidFill>
              <a:srgbClr val="FF5050"/>
            </a:solidFill>
            <a:ln>
              <a:solidFill>
                <a:srgbClr val="FF0000"/>
              </a:solidFill>
            </a:ln>
          </cx:spPr>
          <cx:dataLabels>
            <cx:numFmt formatCode="0,00" sourceLinked="0"/>
            <cx:txPr>
              <a:bodyPr spcFirstLastPara="1" vertOverflow="ellipsis" wrap="square" lIns="0" tIns="0" rIns="0" bIns="0" anchor="ctr" anchorCtr="1"/>
              <a:lstStyle/>
              <a:p>
                <a:pPr>
                  <a:defRPr/>
                </a:pPr>
                <a:endParaRPr lang="es-ES"/>
              </a:p>
            </cx:txPr>
            <cx:visibility seriesName="0" categoryName="0" value="1"/>
            <cx:separator>, </cx:separator>
          </cx:dataLabels>
          <cx:dataId val="0"/>
          <cx:layoutPr>
            <cx:visibility meanLine="0" meanMarker="1" nonoutliers="0" outliers="1"/>
            <cx:statistics quartileMethod="exclusive"/>
          </cx:layoutPr>
        </cx:series>
      </cx:plotAreaRegion>
      <cx:axis id="0" hidden="1">
        <cx:catScaling gapWidth="1"/>
        <cx:tickLabels/>
      </cx:axis>
      <cx:axis id="1">
        <cx:valScaling/>
        <cx:majorGridlines/>
        <cx:tickLabels/>
        <cx:numFmt formatCode="0,0" sourceLinked="0"/>
      </cx:axis>
    </cx:plotArea>
    <cx:legend pos="b" align="ctr" overlay="0">
      <cx:txPr>
        <a:bodyPr spcFirstLastPara="1" vertOverflow="ellipsis" horzOverflow="overflow" wrap="square" lIns="0" tIns="0" rIns="0" bIns="0" anchor="ctr" anchorCtr="1"/>
        <a:lstStyle/>
        <a:p>
          <a:pPr algn="ctr" rtl="0">
            <a:defRPr/>
          </a:pPr>
          <a:endParaRPr lang="es-ES" sz="900" b="0" i="0" u="none" strike="noStrike" baseline="0">
            <a:solidFill>
              <a:sysClr val="windowText" lastClr="000000">
                <a:lumMod val="65000"/>
                <a:lumOff val="35000"/>
              </a:sysClr>
            </a:solidFill>
            <a:latin typeface="Calibri" panose="020F0502020204030204"/>
          </a:endParaRPr>
        </a:p>
      </cx:txPr>
    </cx:legend>
  </cx:chart>
  <cx:spPr>
    <a:ln>
      <a:solidFill>
        <a:schemeClr val="tx1"/>
      </a:solid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_xlchart.v1.12</cx:f>
      </cx:numDim>
    </cx:data>
    <cx:data id="1">
      <cx:numDim type="val">
        <cx:f>_xlchart.v1.15</cx:f>
      </cx:numDim>
    </cx:data>
  </cx:chartData>
  <cx:chart>
    <cx:title pos="t" align="ctr" overlay="0">
      <cx:tx>
        <cx:rich>
          <a:bodyPr spcFirstLastPara="1" vertOverflow="ellipsis" horzOverflow="overflow" wrap="square" lIns="0" tIns="0" rIns="0" bIns="0" anchor="ctr" anchorCtr="1"/>
          <a:lstStyle/>
          <a:p>
            <a:pPr rtl="0"/>
            <a:r>
              <a:rPr lang="es-ES" sz="1400" b="0" i="0" baseline="0">
                <a:effectLst/>
                <a:latin typeface="+mn-lt"/>
              </a:rPr>
              <a:t>EXTREME INTRA-ANNUAL VARIABILITY (hm</a:t>
            </a:r>
            <a:r>
              <a:rPr lang="es-ES" sz="1400" b="0" i="0" baseline="30000">
                <a:effectLst/>
                <a:latin typeface="+mn-lt"/>
              </a:rPr>
              <a:t>3</a:t>
            </a:r>
            <a:r>
              <a:rPr lang="es-ES" sz="1400" b="0" i="0" baseline="0">
                <a:effectLst/>
              </a:rPr>
              <a:t>) </a:t>
            </a:r>
            <a:endParaRPr lang="es-ES" sz="1400">
              <a:effectLst/>
            </a:endParaRPr>
          </a:p>
        </cx:rich>
      </cx:tx>
    </cx:title>
    <cx:plotArea>
      <cx:plotAreaRegion>
        <cx:series layoutId="boxWhisker" uniqueId="{63595A1A-6A0C-45C3-B436-4104EA653FED}">
          <cx:tx>
            <cx:txData>
              <cx:f>_xlchart.v1.13</cx:f>
              <cx:v>NAT_F</cx:v>
            </cx:txData>
          </cx:tx>
          <cx:dataId val="0"/>
          <cx:layoutPr>
            <cx:visibility meanLine="0" meanMarker="1" nonoutliers="0" outliers="1"/>
            <cx:statistics quartileMethod="exclusive"/>
          </cx:layoutPr>
        </cx:series>
        <cx:series layoutId="boxWhisker" uniqueId="{30A1734D-9427-4F7F-9B6F-625F17D21284}">
          <cx:tx>
            <cx:txData>
              <cx:f>_xlchart.v1.14</cx:f>
              <cx:v>ALT_F</cx:v>
            </cx:txData>
          </cx:tx>
          <cx:dataId val="1"/>
          <cx:layoutPr>
            <cx:visibility meanLine="0" meanMarker="1" nonoutliers="0" outliers="1"/>
            <cx:statistics quartileMethod="exclusive"/>
          </cx:layoutPr>
        </cx:series>
      </cx:plotAreaRegion>
      <cx:axis id="0" hidden="1">
        <cx:catScaling gapWidth="1"/>
        <cx:tickLabels/>
      </cx:axis>
      <cx:axis id="1">
        <cx:valScaling/>
        <cx:majorGridlines/>
        <cx:tickLabels/>
        <cx:numFmt formatCode="0,0" sourceLinked="0"/>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microsoft.com/office/2014/relationships/chartEx" Target="../charts/chartEx3.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microsoft.com/office/2014/relationships/chartEx" Target="../charts/chartEx4.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microsoft.com/office/2014/relationships/chartEx" Target="../charts/chartEx5.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1.xml"/><Relationship Id="rId4" Type="http://schemas.microsoft.com/office/2014/relationships/chartEx" Target="../charts/chartEx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34.xml"/><Relationship Id="rId3" Type="http://schemas.openxmlformats.org/officeDocument/2006/relationships/chart" Target="../charts/chart29.xml"/><Relationship Id="rId7" Type="http://schemas.openxmlformats.org/officeDocument/2006/relationships/chart" Target="../charts/chart33.xml"/><Relationship Id="rId12" Type="http://schemas.openxmlformats.org/officeDocument/2006/relationships/chart" Target="../charts/chart38.xml"/><Relationship Id="rId2" Type="http://schemas.openxmlformats.org/officeDocument/2006/relationships/chart" Target="../charts/chart28.xml"/><Relationship Id="rId1" Type="http://schemas.openxmlformats.org/officeDocument/2006/relationships/chart" Target="../charts/chart27.xml"/><Relationship Id="rId6" Type="http://schemas.openxmlformats.org/officeDocument/2006/relationships/chart" Target="../charts/chart32.xml"/><Relationship Id="rId11" Type="http://schemas.openxmlformats.org/officeDocument/2006/relationships/chart" Target="../charts/chart37.xml"/><Relationship Id="rId5" Type="http://schemas.openxmlformats.org/officeDocument/2006/relationships/chart" Target="../charts/chart31.xml"/><Relationship Id="rId10" Type="http://schemas.openxmlformats.org/officeDocument/2006/relationships/chart" Target="../charts/chart36.xml"/><Relationship Id="rId4" Type="http://schemas.openxmlformats.org/officeDocument/2006/relationships/chart" Target="../charts/chart30.xml"/><Relationship Id="rId9" Type="http://schemas.openxmlformats.org/officeDocument/2006/relationships/chart" Target="../charts/chart35.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chart" Target="../charts/chart39.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44.xml"/><Relationship Id="rId2" Type="http://schemas.openxmlformats.org/officeDocument/2006/relationships/chart" Target="../charts/chart43.xml"/><Relationship Id="rId1" Type="http://schemas.openxmlformats.org/officeDocument/2006/relationships/chart" Target="../charts/chart42.xml"/><Relationship Id="rId5" Type="http://schemas.openxmlformats.org/officeDocument/2006/relationships/chart" Target="../charts/chart46.xml"/><Relationship Id="rId4" Type="http://schemas.openxmlformats.org/officeDocument/2006/relationships/chart" Target="../charts/chart45.xml"/></Relationships>
</file>

<file path=xl/drawings/drawing1.xml><?xml version="1.0" encoding="utf-8"?>
<xdr:wsDr xmlns:xdr="http://schemas.openxmlformats.org/drawingml/2006/spreadsheetDrawing" xmlns:a="http://schemas.openxmlformats.org/drawingml/2006/main">
  <xdr:twoCellAnchor>
    <xdr:from>
      <xdr:col>19</xdr:col>
      <xdr:colOff>37987</xdr:colOff>
      <xdr:row>14</xdr:row>
      <xdr:rowOff>78170</xdr:rowOff>
    </xdr:from>
    <xdr:to>
      <xdr:col>32</xdr:col>
      <xdr:colOff>32883</xdr:colOff>
      <xdr:row>37</xdr:row>
      <xdr:rowOff>144951</xdr:rowOff>
    </xdr:to>
    <xdr:graphicFrame macro="">
      <xdr:nvGraphicFramePr>
        <xdr:cNvPr id="3" name="Gráfico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161926</xdr:colOff>
      <xdr:row>30</xdr:row>
      <xdr:rowOff>142875</xdr:rowOff>
    </xdr:from>
    <xdr:to>
      <xdr:col>12</xdr:col>
      <xdr:colOff>85725</xdr:colOff>
      <xdr:row>47</xdr:row>
      <xdr:rowOff>25400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609976" y="5711825"/>
              <a:ext cx="4705349" cy="258127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20</xdr:col>
      <xdr:colOff>504826</xdr:colOff>
      <xdr:row>15</xdr:row>
      <xdr:rowOff>135734</xdr:rowOff>
    </xdr:from>
    <xdr:to>
      <xdr:col>29</xdr:col>
      <xdr:colOff>499722</xdr:colOff>
      <xdr:row>39</xdr:row>
      <xdr:rowOff>84320</xdr:rowOff>
    </xdr:to>
    <xdr:graphicFrame macro="">
      <xdr:nvGraphicFramePr>
        <xdr:cNvPr id="3" name="Gráfico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180975</xdr:colOff>
      <xdr:row>31</xdr:row>
      <xdr:rowOff>142875</xdr:rowOff>
    </xdr:from>
    <xdr:to>
      <xdr:col>12</xdr:col>
      <xdr:colOff>171450</xdr:colOff>
      <xdr:row>48</xdr:row>
      <xdr:rowOff>133350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629025" y="5870575"/>
              <a:ext cx="4930775" cy="268922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25289</xdr:colOff>
      <xdr:row>25</xdr:row>
      <xdr:rowOff>188346</xdr:rowOff>
    </xdr:from>
    <xdr:to>
      <xdr:col>19</xdr:col>
      <xdr:colOff>925286</xdr:colOff>
      <xdr:row>52</xdr:row>
      <xdr:rowOff>75292</xdr:rowOff>
    </xdr:to>
    <xdr:graphicFrame macro="">
      <xdr:nvGraphicFramePr>
        <xdr:cNvPr id="3" name="Gráfico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173832</xdr:colOff>
      <xdr:row>11</xdr:row>
      <xdr:rowOff>171449</xdr:rowOff>
    </xdr:from>
    <xdr:to>
      <xdr:col>19</xdr:col>
      <xdr:colOff>917121</xdr:colOff>
      <xdr:row>25</xdr:row>
      <xdr:rowOff>150358</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200482" y="2298699"/>
              <a:ext cx="4769189" cy="2468109"/>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15</xdr:col>
      <xdr:colOff>742950</xdr:colOff>
      <xdr:row>18</xdr:row>
      <xdr:rowOff>114300</xdr:rowOff>
    </xdr:from>
    <xdr:to>
      <xdr:col>29</xdr:col>
      <xdr:colOff>571500</xdr:colOff>
      <xdr:row>42</xdr:row>
      <xdr:rowOff>104775</xdr:rowOff>
    </xdr:to>
    <xdr:graphicFrame macro="">
      <xdr:nvGraphicFramePr>
        <xdr:cNvPr id="3" name="Gráfico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723900</xdr:colOff>
      <xdr:row>44</xdr:row>
      <xdr:rowOff>19050</xdr:rowOff>
    </xdr:from>
    <xdr:to>
      <xdr:col>24</xdr:col>
      <xdr:colOff>381000</xdr:colOff>
      <xdr:row>61</xdr:row>
      <xdr:rowOff>123825</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394950" y="7537450"/>
              <a:ext cx="6813550" cy="280352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142875</xdr:colOff>
      <xdr:row>37</xdr:row>
      <xdr:rowOff>143774</xdr:rowOff>
    </xdr:from>
    <xdr:to>
      <xdr:col>7</xdr:col>
      <xdr:colOff>875761</xdr:colOff>
      <xdr:row>60</xdr:row>
      <xdr:rowOff>21026</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16</xdr:col>
      <xdr:colOff>747713</xdr:colOff>
      <xdr:row>19</xdr:row>
      <xdr:rowOff>79374</xdr:rowOff>
    </xdr:from>
    <xdr:to>
      <xdr:col>31</xdr:col>
      <xdr:colOff>25400</xdr:colOff>
      <xdr:row>42</xdr:row>
      <xdr:rowOff>114299</xdr:rowOff>
    </xdr:to>
    <xdr:graphicFrame macro="">
      <xdr:nvGraphicFramePr>
        <xdr:cNvPr id="3" name="Gráfico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717549</xdr:colOff>
      <xdr:row>43</xdr:row>
      <xdr:rowOff>85725</xdr:rowOff>
    </xdr:from>
    <xdr:to>
      <xdr:col>24</xdr:col>
      <xdr:colOff>573617</xdr:colOff>
      <xdr:row>61</xdr:row>
      <xdr:rowOff>76200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245849" y="7407275"/>
              <a:ext cx="6314018" cy="284797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28575</xdr:colOff>
      <xdr:row>38</xdr:row>
      <xdr:rowOff>10424</xdr:rowOff>
    </xdr:from>
    <xdr:to>
      <xdr:col>8</xdr:col>
      <xdr:colOff>37561</xdr:colOff>
      <xdr:row>60</xdr:row>
      <xdr:rowOff>154376</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752473</xdr:colOff>
      <xdr:row>1</xdr:row>
      <xdr:rowOff>4083</xdr:rowOff>
    </xdr:from>
    <xdr:to>
      <xdr:col>16</xdr:col>
      <xdr:colOff>752475</xdr:colOff>
      <xdr:row>20</xdr:row>
      <xdr:rowOff>90738</xdr:rowOff>
    </xdr:to>
    <xdr:graphicFrame macro="">
      <xdr:nvGraphicFramePr>
        <xdr:cNvPr id="4" name="Chart 1">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754335</xdr:colOff>
      <xdr:row>21</xdr:row>
      <xdr:rowOff>156678</xdr:rowOff>
    </xdr:from>
    <xdr:to>
      <xdr:col>16</xdr:col>
      <xdr:colOff>761498</xdr:colOff>
      <xdr:row>40</xdr:row>
      <xdr:rowOff>152400</xdr:rowOff>
    </xdr:to>
    <xdr:graphicFrame macro="">
      <xdr:nvGraphicFramePr>
        <xdr:cNvPr id="5" name="Chart 1">
          <a:extLst>
            <a:ext uri="{FF2B5EF4-FFF2-40B4-BE49-F238E27FC236}">
              <a16:creationId xmlns:a16="http://schemas.microsoft.com/office/drawing/2014/main" id="{00000000-0008-0000-0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692386</xdr:colOff>
      <xdr:row>42</xdr:row>
      <xdr:rowOff>143876</xdr:rowOff>
    </xdr:from>
    <xdr:to>
      <xdr:col>16</xdr:col>
      <xdr:colOff>743951</xdr:colOff>
      <xdr:row>63</xdr:row>
      <xdr:rowOff>1502</xdr:rowOff>
    </xdr:to>
    <xdr:graphicFrame macro="">
      <xdr:nvGraphicFramePr>
        <xdr:cNvPr id="6" name="Chart 1">
          <a:extLst>
            <a:ext uri="{FF2B5EF4-FFF2-40B4-BE49-F238E27FC236}">
              <a16:creationId xmlns:a16="http://schemas.microsoft.com/office/drawing/2014/main" id="{00000000-0008-0000-0B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733425</xdr:colOff>
      <xdr:row>64</xdr:row>
      <xdr:rowOff>19050</xdr:rowOff>
    </xdr:from>
    <xdr:to>
      <xdr:col>16</xdr:col>
      <xdr:colOff>742950</xdr:colOff>
      <xdr:row>86</xdr:row>
      <xdr:rowOff>19050</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908925" y="10483850"/>
              <a:ext cx="6105525" cy="3556000"/>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xdr:col>
      <xdr:colOff>32385</xdr:colOff>
      <xdr:row>69</xdr:row>
      <xdr:rowOff>53340</xdr:rowOff>
    </xdr:from>
    <xdr:to>
      <xdr:col>8</xdr:col>
      <xdr:colOff>42968</xdr:colOff>
      <xdr:row>91</xdr:row>
      <xdr:rowOff>62865</xdr:rowOff>
    </xdr:to>
    <xdr:graphicFrame macro="">
      <xdr:nvGraphicFramePr>
        <xdr:cNvPr id="7" name="Gráfico 6">
          <a:extLst>
            <a:ext uri="{FF2B5EF4-FFF2-40B4-BE49-F238E27FC236}">
              <a16:creationId xmlns:a16="http://schemas.microsoft.com/office/drawing/2014/main" id="{00000000-0008-0000-0B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230504</xdr:colOff>
      <xdr:row>11</xdr:row>
      <xdr:rowOff>273366</xdr:rowOff>
    </xdr:from>
    <xdr:to>
      <xdr:col>8</xdr:col>
      <xdr:colOff>11429</xdr:colOff>
      <xdr:row>31</xdr:row>
      <xdr:rowOff>85724</xdr:rowOff>
    </xdr:to>
    <xdr:graphicFrame macro="">
      <xdr:nvGraphicFramePr>
        <xdr:cNvPr id="3" name="Gráfico 2">
          <a:extLst>
            <a:ext uri="{FF2B5EF4-FFF2-40B4-BE49-F238E27FC236}">
              <a16:creationId xmlns:a16="http://schemas.microsoft.com/office/drawing/2014/main" id="{00000000-0008-0000-0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11</xdr:col>
      <xdr:colOff>61912</xdr:colOff>
      <xdr:row>11</xdr:row>
      <xdr:rowOff>53249</xdr:rowOff>
    </xdr:from>
    <xdr:ext cx="1652588" cy="375937"/>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00000000-0008-0000-0D00-000004000000}"/>
                </a:ext>
              </a:extLst>
            </xdr:cNvPr>
            <xdr:cNvSpPr txBox="1"/>
          </xdr:nvSpPr>
          <xdr:spPr>
            <a:xfrm>
              <a:off x="10729912" y="2444024"/>
              <a:ext cx="1652588" cy="375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14:m>
                <m:oMathPara xmlns:m="http://schemas.openxmlformats.org/officeDocument/2006/math">
                  <m:oMathParaPr>
                    <m:jc m:val="centerGroup"/>
                  </m:oMathParaPr>
                  <m:oMath xmlns:m="http://schemas.openxmlformats.org/officeDocument/2006/math">
                    <m:f>
                      <m:fPr>
                        <m:ctrlPr>
                          <a:rPr lang="es-ES" sz="110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𝑃</m:t>
                            </m:r>
                            <m:r>
                              <a:rPr lang="es-ES" sz="1100" b="0" i="1">
                                <a:latin typeface="Cambria Math" panose="02040503050406030204" pitchFamily="18" charset="0"/>
                              </a:rPr>
                              <m:t>10</m:t>
                            </m:r>
                          </m:e>
                          <m:sup>
                            <m:r>
                              <a:rPr lang="es-ES" sz="1100" b="0" i="1">
                                <a:latin typeface="Cambria Math" panose="02040503050406030204" pitchFamily="18" charset="0"/>
                              </a:rPr>
                              <m:t>𝑎𝑙𝑡</m:t>
                            </m:r>
                          </m:sup>
                        </m:sSup>
                        <m:r>
                          <a:rPr lang="es-ES" sz="1100" b="0" i="1">
                            <a:latin typeface="Cambria Math" panose="02040503050406030204" pitchFamily="18" charset="0"/>
                          </a:rPr>
                          <m:t>− </m:t>
                        </m:r>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p>
                            <m:r>
                              <a:rPr lang="es-ES" sz="1100" b="0" i="1">
                                <a:solidFill>
                                  <a:schemeClr val="tx1"/>
                                </a:solidFill>
                                <a:effectLst/>
                                <a:latin typeface="Cambria Math" panose="02040503050406030204" pitchFamily="18" charset="0"/>
                                <a:ea typeface="+mn-ea"/>
                                <a:cs typeface="+mn-cs"/>
                              </a:rPr>
                              <m:t>𝑛𝑎𝑡</m:t>
                            </m:r>
                          </m:sup>
                        </m:sSup>
                      </m:num>
                      <m:den>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i="1"/>
            </a:p>
          </xdr:txBody>
        </xdr:sp>
      </mc:Choice>
      <mc:Fallback xmlns="">
        <xdr:sp macro="" textlink="">
          <xdr:nvSpPr>
            <xdr:cNvPr id="4" name="CuadroTexto 3">
              <a:extLst>
                <a:ext uri="{FF2B5EF4-FFF2-40B4-BE49-F238E27FC236}">
                  <a16:creationId xmlns:a16="http://schemas.microsoft.com/office/drawing/2014/main" id="{00000000-0008-0000-0D00-000004000000}"/>
                </a:ext>
              </a:extLst>
            </xdr:cNvPr>
            <xdr:cNvSpPr txBox="1"/>
          </xdr:nvSpPr>
          <xdr:spPr>
            <a:xfrm>
              <a:off x="10729912" y="2444024"/>
              <a:ext cx="1652588" cy="375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r>
                <a:rPr lang="es-ES" sz="1100" i="0">
                  <a:latin typeface="Cambria Math" panose="02040503050406030204" pitchFamily="18" charset="0"/>
                </a:rPr>
                <a:t>(</a:t>
              </a:r>
              <a:r>
                <a:rPr lang="es-ES" sz="1100" b="0" i="0">
                  <a:latin typeface="Cambria Math" panose="02040503050406030204" pitchFamily="18" charset="0"/>
                </a:rPr>
                <a:t>〖𝑃10〗^𝑎𝑙𝑡− </a:t>
              </a:r>
              <a:r>
                <a:rPr lang="es-ES" sz="1100" b="0" i="0">
                  <a:solidFill>
                    <a:schemeClr val="tx1"/>
                  </a:solidFill>
                  <a:effectLst/>
                  <a:latin typeface="Cambria Math" panose="02040503050406030204" pitchFamily="18" charset="0"/>
                  <a:ea typeface="+mn-ea"/>
                  <a:cs typeface="+mn-cs"/>
                </a:rPr>
                <a:t>〖𝑃10〗^𝑛𝑎𝑡)/(〖𝑃10〗_ ^𝑛𝑎𝑡 )</a:t>
              </a:r>
              <a:r>
                <a:rPr lang="es-ES" sz="1100" b="0" i="0">
                  <a:latin typeface="Cambria Math" panose="02040503050406030204" pitchFamily="18" charset="0"/>
                </a:rPr>
                <a:t>∗100</a:t>
              </a:r>
              <a:endParaRPr lang="es-ES" sz="1100" i="1"/>
            </a:p>
          </xdr:txBody>
        </xdr:sp>
      </mc:Fallback>
    </mc:AlternateContent>
    <xdr:clientData/>
  </xdr:oneCellAnchor>
  <xdr:oneCellAnchor>
    <xdr:from>
      <xdr:col>11</xdr:col>
      <xdr:colOff>171450</xdr:colOff>
      <xdr:row>12</xdr:row>
      <xdr:rowOff>38100</xdr:rowOff>
    </xdr:from>
    <xdr:ext cx="1509713" cy="381258"/>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00000000-0008-0000-0D00-000005000000}"/>
                </a:ext>
              </a:extLst>
            </xdr:cNvPr>
            <xdr:cNvSpPr txBox="1"/>
          </xdr:nvSpPr>
          <xdr:spPr>
            <a:xfrm>
              <a:off x="10648950" y="3457575"/>
              <a:ext cx="1509713" cy="3812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s-ES" sz="1100" i="1">
                            <a:latin typeface="Cambria Math" panose="02040503050406030204" pitchFamily="18" charset="0"/>
                          </a:rPr>
                        </m:ctrlPr>
                      </m:fPr>
                      <m:num>
                        <m:sSubSup>
                          <m:sSubSupPr>
                            <m:ctrlPr>
                              <a:rPr lang="es-ES" sz="1100" i="1">
                                <a:latin typeface="Cambria Math" panose="02040503050406030204" pitchFamily="18" charset="0"/>
                              </a:rPr>
                            </m:ctrlPr>
                          </m:sSubSupPr>
                          <m:e>
                            <m:r>
                              <a:rPr lang="es-ES" sz="1100" b="0" i="1">
                                <a:latin typeface="Cambria Math" panose="02040503050406030204" pitchFamily="18" charset="0"/>
                              </a:rPr>
                              <m:t>𝑃</m:t>
                            </m:r>
                            <m:r>
                              <a:rPr lang="es-ES" sz="1100" b="0" i="1">
                                <a:latin typeface="Cambria Math" panose="02040503050406030204" pitchFamily="18" charset="0"/>
                              </a:rPr>
                              <m:t>90</m:t>
                            </m:r>
                          </m:e>
                          <m:sub>
                            <m:r>
                              <a:rPr lang="es-ES" sz="1100" b="0" i="1">
                                <a:latin typeface="Cambria Math" panose="02040503050406030204" pitchFamily="18" charset="0"/>
                              </a:rPr>
                              <m:t> </m:t>
                            </m:r>
                          </m:sub>
                          <m:sup>
                            <m:r>
                              <a:rPr lang="es-ES" sz="1100" b="0" i="1">
                                <a:latin typeface="Cambria Math" panose="02040503050406030204" pitchFamily="18" charset="0"/>
                              </a:rPr>
                              <m:t>𝑎𝑙𝑡</m:t>
                            </m:r>
                          </m:sup>
                        </m:sSubSup>
                        <m:r>
                          <a:rPr lang="es-ES" sz="1100" b="0" i="1">
                            <a:latin typeface="Cambria Math" panose="02040503050406030204" pitchFamily="18" charset="0"/>
                          </a:rPr>
                          <m:t>− </m:t>
                        </m:r>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num>
                      <m:den>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a:p>
          </xdr:txBody>
        </xdr:sp>
      </mc:Choice>
      <mc:Fallback xmlns="">
        <xdr:sp macro="" textlink="">
          <xdr:nvSpPr>
            <xdr:cNvPr id="5" name="CuadroTexto 4">
              <a:extLst>
                <a:ext uri="{FF2B5EF4-FFF2-40B4-BE49-F238E27FC236}">
                  <a16:creationId xmlns:a16="http://schemas.microsoft.com/office/drawing/2014/main" id="{B969C0FF-25BE-4492-A963-28486C8B192E}"/>
                </a:ext>
              </a:extLst>
            </xdr:cNvPr>
            <xdr:cNvSpPr txBox="1"/>
          </xdr:nvSpPr>
          <xdr:spPr>
            <a:xfrm>
              <a:off x="10648950" y="3457575"/>
              <a:ext cx="1509713" cy="3812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ES" sz="1100" i="0">
                  <a:latin typeface="Cambria Math" panose="02040503050406030204" pitchFamily="18" charset="0"/>
                </a:rPr>
                <a:t>(〖</a:t>
              </a:r>
              <a:r>
                <a:rPr lang="es-ES" sz="1100" b="0" i="0">
                  <a:latin typeface="Cambria Math" panose="02040503050406030204" pitchFamily="18" charset="0"/>
                </a:rPr>
                <a:t>𝑃90〗_ ^𝑎𝑙𝑡− </a:t>
              </a:r>
              <a:r>
                <a:rPr lang="es-ES" sz="1100" b="0" i="0">
                  <a:solidFill>
                    <a:schemeClr val="tx1"/>
                  </a:solidFill>
                  <a:effectLst/>
                  <a:latin typeface="Cambria Math" panose="02040503050406030204" pitchFamily="18" charset="0"/>
                  <a:ea typeface="+mn-ea"/>
                  <a:cs typeface="+mn-cs"/>
                </a:rPr>
                <a:t>〖𝑃90〗_ ^𝑛𝑎𝑡)/(〖𝑃90〗_ ^𝑛𝑎𝑡 )</a:t>
              </a:r>
              <a:r>
                <a:rPr lang="es-ES" sz="1100" b="0" i="0">
                  <a:latin typeface="Cambria Math" panose="02040503050406030204" pitchFamily="18" charset="0"/>
                </a:rPr>
                <a:t>∗100</a:t>
              </a:r>
              <a:endParaRPr lang="es-ES" sz="1100"/>
            </a:p>
          </xdr:txBody>
        </xdr:sp>
      </mc:Fallback>
    </mc:AlternateContent>
    <xdr:clientData/>
  </xdr:oneCellAnchor>
  <xdr:twoCellAnchor>
    <xdr:from>
      <xdr:col>0</xdr:col>
      <xdr:colOff>242886</xdr:colOff>
      <xdr:row>31</xdr:row>
      <xdr:rowOff>157161</xdr:rowOff>
    </xdr:from>
    <xdr:to>
      <xdr:col>8</xdr:col>
      <xdr:colOff>0</xdr:colOff>
      <xdr:row>53</xdr:row>
      <xdr:rowOff>0</xdr:rowOff>
    </xdr:to>
    <xdr:graphicFrame macro="">
      <xdr:nvGraphicFramePr>
        <xdr:cNvPr id="6" name="Gráfico 5">
          <a:extLst>
            <a:ext uri="{FF2B5EF4-FFF2-40B4-BE49-F238E27FC236}">
              <a16:creationId xmlns:a16="http://schemas.microsoft.com/office/drawing/2014/main" id="{00000000-0008-0000-0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190500</xdr:colOff>
      <xdr:row>31</xdr:row>
      <xdr:rowOff>152400</xdr:rowOff>
    </xdr:from>
    <xdr:to>
      <xdr:col>15</xdr:col>
      <xdr:colOff>371475</xdr:colOff>
      <xdr:row>52</xdr:row>
      <xdr:rowOff>152401</xdr:rowOff>
    </xdr:to>
    <xdr:graphicFrame macro="">
      <xdr:nvGraphicFramePr>
        <xdr:cNvPr id="7" name="Gráfico 6">
          <a:extLst>
            <a:ext uri="{FF2B5EF4-FFF2-40B4-BE49-F238E27FC236}">
              <a16:creationId xmlns:a16="http://schemas.microsoft.com/office/drawing/2014/main" id="{00000000-0008-0000-0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11</xdr:col>
      <xdr:colOff>1114425</xdr:colOff>
      <xdr:row>7</xdr:row>
      <xdr:rowOff>57149</xdr:rowOff>
    </xdr:from>
    <xdr:ext cx="6534150" cy="141129"/>
    <mc:AlternateContent xmlns:mc="http://schemas.openxmlformats.org/markup-compatibility/2006" xmlns:a14="http://schemas.microsoft.com/office/drawing/2010/main">
      <mc:Choice Requires="a14">
        <xdr:sp macro="" textlink="">
          <xdr:nvSpPr>
            <xdr:cNvPr id="8" name="CuadroTexto 7">
              <a:extLst>
                <a:ext uri="{FF2B5EF4-FFF2-40B4-BE49-F238E27FC236}">
                  <a16:creationId xmlns:a16="http://schemas.microsoft.com/office/drawing/2014/main" id="{00000000-0008-0000-0D00-000008000000}"/>
                </a:ext>
              </a:extLst>
            </xdr:cNvPr>
            <xdr:cNvSpPr txBox="1"/>
          </xdr:nvSpPr>
          <xdr:spPr>
            <a:xfrm>
              <a:off x="12220575" y="1435099"/>
              <a:ext cx="6534150" cy="141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s-ES" sz="900" b="1" i="1">
                      <a:solidFill>
                        <a:schemeClr val="tx1"/>
                      </a:solidFill>
                      <a:effectLst/>
                      <a:latin typeface="Cambria Math" panose="02040503050406030204" pitchFamily="18" charset="0"/>
                      <a:ea typeface="+mn-ea"/>
                      <a:cs typeface="+mn-cs"/>
                    </a:rPr>
                    <m:t>𝑷</m:t>
                  </m:r>
                  <m:r>
                    <a:rPr lang="es-ES" sz="900" b="1" i="1">
                      <a:solidFill>
                        <a:schemeClr val="tx1"/>
                      </a:solidFill>
                      <a:effectLst/>
                      <a:latin typeface="Cambria Math" panose="02040503050406030204" pitchFamily="18" charset="0"/>
                      <a:ea typeface="+mn-ea"/>
                      <a:cs typeface="+mn-cs"/>
                    </a:rPr>
                    <m:t> </m:t>
                  </m:r>
                  <m:r>
                    <a:rPr lang="es-ES" sz="900" b="1" i="1">
                      <a:solidFill>
                        <a:schemeClr val="tx1"/>
                      </a:solidFill>
                      <a:effectLst/>
                      <a:latin typeface="Cambria Math" panose="02040503050406030204" pitchFamily="18" charset="0"/>
                      <a:ea typeface="+mn-ea"/>
                      <a:cs typeface="+mn-cs"/>
                    </a:rPr>
                    <m:t>𝑿</m:t>
                  </m:r>
                  <m:r>
                    <a:rPr lang="es-ES" sz="900" b="1" i="1">
                      <a:solidFill>
                        <a:schemeClr val="tx1"/>
                      </a:solidFill>
                      <a:effectLst/>
                      <a:latin typeface="Cambria Math" panose="02040503050406030204" pitchFamily="18" charset="0"/>
                      <a:ea typeface="+mn-ea"/>
                      <a:cs typeface="+mn-cs"/>
                    </a:rPr>
                    <m:t> </m:t>
                  </m:r>
                  <m:r>
                    <a:rPr lang="es-ES" sz="900" b="1" i="1" baseline="30000">
                      <a:solidFill>
                        <a:schemeClr val="tx1"/>
                      </a:solidFill>
                      <a:effectLst/>
                      <a:latin typeface="Cambria Math" panose="02040503050406030204" pitchFamily="18" charset="0"/>
                      <a:ea typeface="+mn-ea"/>
                      <a:cs typeface="+mn-cs"/>
                    </a:rPr>
                    <m:t>𝒏𝒂𝒕</m:t>
                  </m:r>
                  <m:r>
                    <a:rPr lang="es-ES" sz="900" b="1" i="1" baseline="30000">
                      <a:solidFill>
                        <a:schemeClr val="tx1"/>
                      </a:solidFill>
                      <a:effectLst/>
                      <a:latin typeface="Cambria Math" panose="02040503050406030204" pitchFamily="18" charset="0"/>
                      <a:ea typeface="+mn-ea"/>
                      <a:cs typeface="+mn-cs"/>
                    </a:rPr>
                    <m:t>/</m:t>
                  </m:r>
                  <m:r>
                    <a:rPr lang="es-ES" sz="900" b="1" i="1" baseline="30000">
                      <a:solidFill>
                        <a:schemeClr val="tx1"/>
                      </a:solidFill>
                      <a:effectLst/>
                      <a:latin typeface="Cambria Math" panose="02040503050406030204" pitchFamily="18" charset="0"/>
                      <a:ea typeface="+mn-ea"/>
                      <a:cs typeface="+mn-cs"/>
                    </a:rPr>
                    <m:t>𝒂𝒍𝒕</m:t>
                  </m:r>
                  <m:r>
                    <a:rPr lang="es-ES" sz="900" b="1" i="1" baseline="30000">
                      <a:solidFill>
                        <a:schemeClr val="tx1"/>
                      </a:solidFill>
                      <a:effectLst/>
                      <a:latin typeface="Cambria Math" panose="02040503050406030204" pitchFamily="18" charset="0"/>
                      <a:ea typeface="+mn-ea"/>
                      <a:cs typeface="+mn-cs"/>
                    </a:rPr>
                    <m:t> </m:t>
                  </m:r>
                </m:oMath>
              </a14:m>
              <a:r>
                <a:rPr lang="es-ES" sz="900">
                  <a:latin typeface="Tahoma" panose="020B0604030504040204" pitchFamily="34" charset="0"/>
                  <a:ea typeface="Tahoma" panose="020B0604030504040204" pitchFamily="34" charset="0"/>
                  <a:cs typeface="Tahoma" panose="020B0604030504040204" pitchFamily="34" charset="0"/>
                </a:rPr>
                <a:t>= Monthly contribution (hm3) corresponding to the X% exceedance percentile for natural/altered flow</a:t>
              </a:r>
            </a:p>
          </xdr:txBody>
        </xdr:sp>
      </mc:Choice>
      <mc:Fallback xmlns="">
        <xdr:sp macro="" textlink="">
          <xdr:nvSpPr>
            <xdr:cNvPr id="8" name="CuadroTexto 7">
              <a:extLst>
                <a:ext uri="{FF2B5EF4-FFF2-40B4-BE49-F238E27FC236}">
                  <a16:creationId xmlns:a16="http://schemas.microsoft.com/office/drawing/2014/main" id="{00000000-0008-0000-0D00-000008000000}"/>
                </a:ext>
              </a:extLst>
            </xdr:cNvPr>
            <xdr:cNvSpPr txBox="1"/>
          </xdr:nvSpPr>
          <xdr:spPr>
            <a:xfrm>
              <a:off x="12220575" y="1435099"/>
              <a:ext cx="6534150" cy="141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900" b="1" i="0">
                  <a:solidFill>
                    <a:schemeClr val="tx1"/>
                  </a:solidFill>
                  <a:effectLst/>
                  <a:latin typeface="Cambria Math" panose="02040503050406030204" pitchFamily="18" charset="0"/>
                  <a:ea typeface="+mn-ea"/>
                  <a:cs typeface="+mn-cs"/>
                </a:rPr>
                <a:t>𝑷 𝑿 </a:t>
              </a:r>
              <a:r>
                <a:rPr lang="es-ES" sz="900" b="1" i="0" baseline="30000">
                  <a:solidFill>
                    <a:schemeClr val="tx1"/>
                  </a:solidFill>
                  <a:effectLst/>
                  <a:latin typeface="Cambria Math" panose="02040503050406030204" pitchFamily="18" charset="0"/>
                  <a:ea typeface="+mn-ea"/>
                  <a:cs typeface="+mn-cs"/>
                </a:rPr>
                <a:t>𝒏𝒂𝒕/𝒂𝒍𝒕 </a:t>
              </a:r>
              <a:r>
                <a:rPr lang="es-ES" sz="900">
                  <a:latin typeface="Tahoma" panose="020B0604030504040204" pitchFamily="34" charset="0"/>
                  <a:ea typeface="Tahoma" panose="020B0604030504040204" pitchFamily="34" charset="0"/>
                  <a:cs typeface="Tahoma" panose="020B0604030504040204" pitchFamily="34" charset="0"/>
                </a:rPr>
                <a:t>= Monthly contribution (hm3) corresponding to the X% exceedance percentile for natural/altered flow</a:t>
              </a:r>
            </a:p>
          </xdr:txBody>
        </xdr:sp>
      </mc:Fallback>
    </mc:AlternateContent>
    <xdr:clientData/>
  </xdr:oneCellAnchor>
  <xdr:oneCellAnchor>
    <xdr:from>
      <xdr:col>11</xdr:col>
      <xdr:colOff>1123950</xdr:colOff>
      <xdr:row>13</xdr:row>
      <xdr:rowOff>76200</xdr:rowOff>
    </xdr:from>
    <xdr:ext cx="6534150" cy="280461"/>
    <mc:AlternateContent xmlns:mc="http://schemas.openxmlformats.org/markup-compatibility/2006" xmlns:a14="http://schemas.microsoft.com/office/drawing/2010/main">
      <mc:Choice Requires="a14">
        <xdr:sp macro="" textlink="">
          <xdr:nvSpPr>
            <xdr:cNvPr id="9" name="CuadroTexto 8">
              <a:extLst>
                <a:ext uri="{FF2B5EF4-FFF2-40B4-BE49-F238E27FC236}">
                  <a16:creationId xmlns:a16="http://schemas.microsoft.com/office/drawing/2014/main" id="{00000000-0008-0000-0D00-000009000000}"/>
                </a:ext>
              </a:extLst>
            </xdr:cNvPr>
            <xdr:cNvSpPr txBox="1"/>
          </xdr:nvSpPr>
          <xdr:spPr>
            <a:xfrm>
              <a:off x="12230100" y="3505200"/>
              <a:ext cx="6534150" cy="2804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s-ES" sz="900" b="1" i="1">
                      <a:solidFill>
                        <a:schemeClr val="tx1"/>
                      </a:solidFill>
                      <a:effectLst/>
                      <a:latin typeface="Cambria Math" panose="02040503050406030204" pitchFamily="18" charset="0"/>
                      <a:ea typeface="+mn-ea"/>
                      <a:cs typeface="+mn-cs"/>
                    </a:rPr>
                    <m:t>𝑷</m:t>
                  </m:r>
                  <m:r>
                    <a:rPr lang="es-ES" sz="900" b="1" i="1">
                      <a:solidFill>
                        <a:schemeClr val="tx1"/>
                      </a:solidFill>
                      <a:effectLst/>
                      <a:latin typeface="Cambria Math" panose="02040503050406030204" pitchFamily="18" charset="0"/>
                      <a:ea typeface="+mn-ea"/>
                      <a:cs typeface="+mn-cs"/>
                    </a:rPr>
                    <m:t> </m:t>
                  </m:r>
                  <m:r>
                    <a:rPr lang="es-ES" sz="900" b="1" i="1">
                      <a:solidFill>
                        <a:schemeClr val="tx1"/>
                      </a:solidFill>
                      <a:effectLst/>
                      <a:latin typeface="Cambria Math" panose="02040503050406030204" pitchFamily="18" charset="0"/>
                      <a:ea typeface="+mn-ea"/>
                      <a:cs typeface="+mn-cs"/>
                    </a:rPr>
                    <m:t>𝑿</m:t>
                  </m:r>
                  <m:r>
                    <a:rPr lang="es-ES" sz="900" b="1" i="1">
                      <a:solidFill>
                        <a:schemeClr val="tx1"/>
                      </a:solidFill>
                      <a:effectLst/>
                      <a:latin typeface="Cambria Math" panose="02040503050406030204" pitchFamily="18" charset="0"/>
                      <a:ea typeface="+mn-ea"/>
                      <a:cs typeface="+mn-cs"/>
                    </a:rPr>
                    <m:t> </m:t>
                  </m:r>
                  <m:r>
                    <a:rPr lang="es-ES" sz="900" b="1" i="1" baseline="30000">
                      <a:solidFill>
                        <a:schemeClr val="tx1"/>
                      </a:solidFill>
                      <a:effectLst/>
                      <a:latin typeface="Cambria Math" panose="02040503050406030204" pitchFamily="18" charset="0"/>
                      <a:ea typeface="+mn-ea"/>
                      <a:cs typeface="+mn-cs"/>
                    </a:rPr>
                    <m:t>𝒏𝒂𝒕</m:t>
                  </m:r>
                  <m:r>
                    <a:rPr lang="es-ES" sz="900" b="1" i="1" baseline="30000">
                      <a:solidFill>
                        <a:schemeClr val="tx1"/>
                      </a:solidFill>
                      <a:effectLst/>
                      <a:latin typeface="Cambria Math" panose="02040503050406030204" pitchFamily="18" charset="0"/>
                      <a:ea typeface="+mn-ea"/>
                      <a:cs typeface="+mn-cs"/>
                    </a:rPr>
                    <m:t>/</m:t>
                  </m:r>
                  <m:r>
                    <a:rPr lang="es-ES" sz="900" b="1" i="1" baseline="30000">
                      <a:solidFill>
                        <a:schemeClr val="tx1"/>
                      </a:solidFill>
                      <a:effectLst/>
                      <a:latin typeface="Cambria Math" panose="02040503050406030204" pitchFamily="18" charset="0"/>
                      <a:ea typeface="+mn-ea"/>
                      <a:cs typeface="+mn-cs"/>
                    </a:rPr>
                    <m:t>𝒂𝒍𝒕</m:t>
                  </m:r>
                  <m:r>
                    <a:rPr lang="es-ES" sz="900" b="1" i="1" baseline="30000">
                      <a:solidFill>
                        <a:schemeClr val="tx1"/>
                      </a:solidFill>
                      <a:effectLst/>
                      <a:latin typeface="Cambria Math" panose="02040503050406030204" pitchFamily="18" charset="0"/>
                      <a:ea typeface="+mn-ea"/>
                      <a:cs typeface="+mn-cs"/>
                    </a:rPr>
                    <m:t> </m:t>
                  </m:r>
                </m:oMath>
              </a14:m>
              <a:r>
                <a:rPr lang="es-ES" sz="900">
                  <a:latin typeface="Tahoma" panose="020B0604030504040204" pitchFamily="34" charset="0"/>
                  <a:ea typeface="Tahoma" panose="020B0604030504040204" pitchFamily="34" charset="0"/>
                  <a:cs typeface="Tahoma" panose="020B0604030504040204" pitchFamily="34" charset="0"/>
                </a:rPr>
                <a:t>= Monthly contribution </a:t>
              </a:r>
              <a:r>
                <a:rPr lang="es-ES" sz="900" baseline="0">
                  <a:latin typeface="Tahoma" panose="020B0604030504040204" pitchFamily="34" charset="0"/>
                  <a:ea typeface="Tahoma" panose="020B0604030504040204" pitchFamily="34" charset="0"/>
                  <a:cs typeface="Tahoma" panose="020B0604030504040204" pitchFamily="34" charset="0"/>
                </a:rPr>
                <a:t>(hm</a:t>
              </a:r>
              <a:r>
                <a:rPr lang="es-ES" sz="900" baseline="30000">
                  <a:latin typeface="Tahoma" panose="020B0604030504040204" pitchFamily="34" charset="0"/>
                  <a:ea typeface="Tahoma" panose="020B0604030504040204" pitchFamily="34" charset="0"/>
                  <a:cs typeface="Tahoma" panose="020B0604030504040204" pitchFamily="34" charset="0"/>
                </a:rPr>
                <a:t>3</a:t>
              </a:r>
              <a:r>
                <a:rPr lang="es-ES" sz="900" baseline="0">
                  <a:latin typeface="Tahoma" panose="020B0604030504040204" pitchFamily="34" charset="0"/>
                  <a:ea typeface="Tahoma" panose="020B0604030504040204" pitchFamily="34" charset="0"/>
                  <a:cs typeface="Tahoma" panose="020B0604030504040204" pitchFamily="34" charset="0"/>
                </a:rPr>
                <a:t>) corresponding to the X% exceedance percentile for natural/altered flow</a:t>
              </a:r>
            </a:p>
            <a:p>
              <a:endParaRPr lang="es-ES" sz="900">
                <a:latin typeface="Tahoma" panose="020B0604030504040204" pitchFamily="34" charset="0"/>
                <a:ea typeface="Tahoma" panose="020B0604030504040204" pitchFamily="34" charset="0"/>
                <a:cs typeface="Tahoma" panose="020B0604030504040204" pitchFamily="34" charset="0"/>
              </a:endParaRPr>
            </a:p>
          </xdr:txBody>
        </xdr:sp>
      </mc:Choice>
      <mc:Fallback xmlns="">
        <xdr:sp macro="" textlink="">
          <xdr:nvSpPr>
            <xdr:cNvPr id="9" name="CuadroTexto 8">
              <a:extLst>
                <a:ext uri="{FF2B5EF4-FFF2-40B4-BE49-F238E27FC236}">
                  <a16:creationId xmlns:a16="http://schemas.microsoft.com/office/drawing/2014/main" id="{00000000-0008-0000-0D00-000009000000}"/>
                </a:ext>
              </a:extLst>
            </xdr:cNvPr>
            <xdr:cNvSpPr txBox="1"/>
          </xdr:nvSpPr>
          <xdr:spPr>
            <a:xfrm>
              <a:off x="12230100" y="3505200"/>
              <a:ext cx="6534150" cy="2804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900" b="1" i="0">
                  <a:solidFill>
                    <a:schemeClr val="tx1"/>
                  </a:solidFill>
                  <a:effectLst/>
                  <a:latin typeface="Cambria Math" panose="02040503050406030204" pitchFamily="18" charset="0"/>
                  <a:ea typeface="+mn-ea"/>
                  <a:cs typeface="+mn-cs"/>
                </a:rPr>
                <a:t>𝑷 𝑿 </a:t>
              </a:r>
              <a:r>
                <a:rPr lang="es-ES" sz="900" b="1" i="0" baseline="30000">
                  <a:solidFill>
                    <a:schemeClr val="tx1"/>
                  </a:solidFill>
                  <a:effectLst/>
                  <a:latin typeface="Cambria Math" panose="02040503050406030204" pitchFamily="18" charset="0"/>
                  <a:ea typeface="+mn-ea"/>
                  <a:cs typeface="+mn-cs"/>
                </a:rPr>
                <a:t>𝒏𝒂𝒕/𝒂𝒍𝒕 </a:t>
              </a:r>
              <a:r>
                <a:rPr lang="es-ES" sz="900">
                  <a:latin typeface="Tahoma" panose="020B0604030504040204" pitchFamily="34" charset="0"/>
                  <a:ea typeface="Tahoma" panose="020B0604030504040204" pitchFamily="34" charset="0"/>
                  <a:cs typeface="Tahoma" panose="020B0604030504040204" pitchFamily="34" charset="0"/>
                </a:rPr>
                <a:t>= Monthly contribution </a:t>
              </a:r>
              <a:r>
                <a:rPr lang="es-ES" sz="900" baseline="0">
                  <a:latin typeface="Tahoma" panose="020B0604030504040204" pitchFamily="34" charset="0"/>
                  <a:ea typeface="Tahoma" panose="020B0604030504040204" pitchFamily="34" charset="0"/>
                  <a:cs typeface="Tahoma" panose="020B0604030504040204" pitchFamily="34" charset="0"/>
                </a:rPr>
                <a:t>(hm</a:t>
              </a:r>
              <a:r>
                <a:rPr lang="es-ES" sz="900" baseline="30000">
                  <a:latin typeface="Tahoma" panose="020B0604030504040204" pitchFamily="34" charset="0"/>
                  <a:ea typeface="Tahoma" panose="020B0604030504040204" pitchFamily="34" charset="0"/>
                  <a:cs typeface="Tahoma" panose="020B0604030504040204" pitchFamily="34" charset="0"/>
                </a:rPr>
                <a:t>3</a:t>
              </a:r>
              <a:r>
                <a:rPr lang="es-ES" sz="900" baseline="0">
                  <a:latin typeface="Tahoma" panose="020B0604030504040204" pitchFamily="34" charset="0"/>
                  <a:ea typeface="Tahoma" panose="020B0604030504040204" pitchFamily="34" charset="0"/>
                  <a:cs typeface="Tahoma" panose="020B0604030504040204" pitchFamily="34" charset="0"/>
                </a:rPr>
                <a:t>) corresponding to the X% exceedance percentile for natural/altered flow</a:t>
              </a:r>
            </a:p>
            <a:p>
              <a:endParaRPr lang="es-ES" sz="900">
                <a:latin typeface="Tahoma" panose="020B0604030504040204" pitchFamily="34" charset="0"/>
                <a:ea typeface="Tahoma" panose="020B0604030504040204" pitchFamily="34" charset="0"/>
                <a:cs typeface="Tahoma" panose="020B0604030504040204" pitchFamily="34" charset="0"/>
              </a:endParaRPr>
            </a:p>
          </xdr:txBody>
        </xdr:sp>
      </mc:Fallback>
    </mc:AlternateContent>
    <xdr:clientData/>
  </xdr:oneCellAnchor>
  <xdr:oneCellAnchor>
    <xdr:from>
      <xdr:col>3</xdr:col>
      <xdr:colOff>657225</xdr:colOff>
      <xdr:row>34</xdr:row>
      <xdr:rowOff>74626</xdr:rowOff>
    </xdr:from>
    <xdr:ext cx="1652588" cy="375937"/>
    <mc:AlternateContent xmlns:mc="http://schemas.openxmlformats.org/markup-compatibility/2006" xmlns:a14="http://schemas.microsoft.com/office/drawing/2010/main">
      <mc:Choice Requires="a14">
        <xdr:sp macro="" textlink="">
          <xdr:nvSpPr>
            <xdr:cNvPr id="10" name="CuadroTexto 9">
              <a:extLst>
                <a:ext uri="{FF2B5EF4-FFF2-40B4-BE49-F238E27FC236}">
                  <a16:creationId xmlns:a16="http://schemas.microsoft.com/office/drawing/2014/main" id="{00000000-0008-0000-0D00-00000A000000}"/>
                </a:ext>
              </a:extLst>
            </xdr:cNvPr>
            <xdr:cNvSpPr txBox="1"/>
          </xdr:nvSpPr>
          <xdr:spPr>
            <a:xfrm>
              <a:off x="3000375" y="7065976"/>
              <a:ext cx="1652588" cy="37593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14:m>
                <m:oMathPara xmlns:m="http://schemas.openxmlformats.org/officeDocument/2006/math">
                  <m:oMathParaPr>
                    <m:jc m:val="centerGroup"/>
                  </m:oMathParaPr>
                  <m:oMath xmlns:m="http://schemas.openxmlformats.org/officeDocument/2006/math">
                    <m:f>
                      <m:fPr>
                        <m:ctrlPr>
                          <a:rPr lang="es-ES" sz="110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𝑃</m:t>
                            </m:r>
                            <m:r>
                              <a:rPr lang="es-ES" sz="1100" b="0" i="1">
                                <a:latin typeface="Cambria Math" panose="02040503050406030204" pitchFamily="18" charset="0"/>
                              </a:rPr>
                              <m:t>10</m:t>
                            </m:r>
                          </m:e>
                          <m:sup>
                            <m:r>
                              <a:rPr lang="es-ES" sz="1100" b="0" i="1">
                                <a:latin typeface="Cambria Math" panose="02040503050406030204" pitchFamily="18" charset="0"/>
                              </a:rPr>
                              <m:t>𝑎𝑙𝑡</m:t>
                            </m:r>
                          </m:sup>
                        </m:sSup>
                        <m:r>
                          <a:rPr lang="es-ES" sz="1100" b="0" i="1">
                            <a:latin typeface="Cambria Math" panose="02040503050406030204" pitchFamily="18" charset="0"/>
                          </a:rPr>
                          <m:t>− </m:t>
                        </m:r>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p>
                            <m:r>
                              <a:rPr lang="es-ES" sz="1100" b="0" i="1">
                                <a:solidFill>
                                  <a:schemeClr val="tx1"/>
                                </a:solidFill>
                                <a:effectLst/>
                                <a:latin typeface="Cambria Math" panose="02040503050406030204" pitchFamily="18" charset="0"/>
                                <a:ea typeface="+mn-ea"/>
                                <a:cs typeface="+mn-cs"/>
                              </a:rPr>
                              <m:t>𝑛𝑎𝑡</m:t>
                            </m:r>
                          </m:sup>
                        </m:sSup>
                      </m:num>
                      <m:den>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i="1"/>
            </a:p>
          </xdr:txBody>
        </xdr:sp>
      </mc:Choice>
      <mc:Fallback xmlns="">
        <xdr:sp macro="" textlink="">
          <xdr:nvSpPr>
            <xdr:cNvPr id="10" name="CuadroTexto 9">
              <a:extLst>
                <a:ext uri="{FF2B5EF4-FFF2-40B4-BE49-F238E27FC236}">
                  <a16:creationId xmlns:a16="http://schemas.microsoft.com/office/drawing/2014/main" id="{00000000-0008-0000-0D00-00000A000000}"/>
                </a:ext>
              </a:extLst>
            </xdr:cNvPr>
            <xdr:cNvSpPr txBox="1"/>
          </xdr:nvSpPr>
          <xdr:spPr>
            <a:xfrm>
              <a:off x="3000375" y="7065976"/>
              <a:ext cx="1652588" cy="37593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r>
                <a:rPr lang="es-ES" sz="1100" i="0">
                  <a:latin typeface="Cambria Math" panose="02040503050406030204" pitchFamily="18" charset="0"/>
                </a:rPr>
                <a:t>(</a:t>
              </a:r>
              <a:r>
                <a:rPr lang="es-ES" sz="1100" b="0" i="0">
                  <a:latin typeface="Cambria Math" panose="02040503050406030204" pitchFamily="18" charset="0"/>
                </a:rPr>
                <a:t>〖𝑃10〗^𝑎𝑙𝑡− </a:t>
              </a:r>
              <a:r>
                <a:rPr lang="es-ES" sz="1100" b="0" i="0">
                  <a:solidFill>
                    <a:schemeClr val="tx1"/>
                  </a:solidFill>
                  <a:effectLst/>
                  <a:latin typeface="Cambria Math" panose="02040503050406030204" pitchFamily="18" charset="0"/>
                  <a:ea typeface="+mn-ea"/>
                  <a:cs typeface="+mn-cs"/>
                </a:rPr>
                <a:t>〖𝑃10〗^𝑛𝑎𝑡)/(〖𝑃10〗_ ^𝑛𝑎𝑡 )</a:t>
              </a:r>
              <a:r>
                <a:rPr lang="es-ES" sz="1100" b="0" i="0">
                  <a:latin typeface="Cambria Math" panose="02040503050406030204" pitchFamily="18" charset="0"/>
                </a:rPr>
                <a:t>∗100</a:t>
              </a:r>
              <a:endParaRPr lang="es-ES" sz="1100" i="1"/>
            </a:p>
          </xdr:txBody>
        </xdr:sp>
      </mc:Fallback>
    </mc:AlternateContent>
    <xdr:clientData/>
  </xdr:oneCellAnchor>
  <xdr:oneCellAnchor>
    <xdr:from>
      <xdr:col>11</xdr:col>
      <xdr:colOff>19050</xdr:colOff>
      <xdr:row>34</xdr:row>
      <xdr:rowOff>28575</xdr:rowOff>
    </xdr:from>
    <xdr:ext cx="1509713" cy="381258"/>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00000000-0008-0000-0D00-00000B000000}"/>
                </a:ext>
              </a:extLst>
            </xdr:cNvPr>
            <xdr:cNvSpPr txBox="1"/>
          </xdr:nvSpPr>
          <xdr:spPr>
            <a:xfrm>
              <a:off x="10496550" y="6419850"/>
              <a:ext cx="1509713" cy="38125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s-ES" sz="1100" i="1">
                            <a:latin typeface="Cambria Math" panose="02040503050406030204" pitchFamily="18" charset="0"/>
                          </a:rPr>
                        </m:ctrlPr>
                      </m:fPr>
                      <m:num>
                        <m:sSubSup>
                          <m:sSubSupPr>
                            <m:ctrlPr>
                              <a:rPr lang="es-ES" sz="1100" i="1">
                                <a:latin typeface="Cambria Math" panose="02040503050406030204" pitchFamily="18" charset="0"/>
                              </a:rPr>
                            </m:ctrlPr>
                          </m:sSubSupPr>
                          <m:e>
                            <m:r>
                              <a:rPr lang="es-ES" sz="1100" b="0" i="1">
                                <a:latin typeface="Cambria Math" panose="02040503050406030204" pitchFamily="18" charset="0"/>
                              </a:rPr>
                              <m:t>𝑃</m:t>
                            </m:r>
                            <m:r>
                              <a:rPr lang="es-ES" sz="1100" b="0" i="1">
                                <a:latin typeface="Cambria Math" panose="02040503050406030204" pitchFamily="18" charset="0"/>
                              </a:rPr>
                              <m:t>90</m:t>
                            </m:r>
                          </m:e>
                          <m:sub>
                            <m:r>
                              <a:rPr lang="es-ES" sz="1100" b="0" i="1">
                                <a:latin typeface="Cambria Math" panose="02040503050406030204" pitchFamily="18" charset="0"/>
                              </a:rPr>
                              <m:t> </m:t>
                            </m:r>
                          </m:sub>
                          <m:sup>
                            <m:r>
                              <a:rPr lang="es-ES" sz="1100" b="0" i="1">
                                <a:latin typeface="Cambria Math" panose="02040503050406030204" pitchFamily="18" charset="0"/>
                              </a:rPr>
                              <m:t>𝑎𝑙𝑡</m:t>
                            </m:r>
                          </m:sup>
                        </m:sSubSup>
                        <m:r>
                          <a:rPr lang="es-ES" sz="1100" b="0" i="1">
                            <a:latin typeface="Cambria Math" panose="02040503050406030204" pitchFamily="18" charset="0"/>
                          </a:rPr>
                          <m:t>− </m:t>
                        </m:r>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num>
                      <m:den>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a:p>
          </xdr:txBody>
        </xdr:sp>
      </mc:Choice>
      <mc:Fallback xmlns="">
        <xdr:sp macro="" textlink="">
          <xdr:nvSpPr>
            <xdr:cNvPr id="11" name="CuadroTexto 10">
              <a:extLst>
                <a:ext uri="{FF2B5EF4-FFF2-40B4-BE49-F238E27FC236}">
                  <a16:creationId xmlns:a16="http://schemas.microsoft.com/office/drawing/2014/main" id="{5014716A-590D-475F-B388-135384FD5A5C}"/>
                </a:ext>
              </a:extLst>
            </xdr:cNvPr>
            <xdr:cNvSpPr txBox="1"/>
          </xdr:nvSpPr>
          <xdr:spPr>
            <a:xfrm>
              <a:off x="10496550" y="6419850"/>
              <a:ext cx="1509713" cy="38125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ES" sz="1100" i="0">
                  <a:latin typeface="Cambria Math" panose="02040503050406030204" pitchFamily="18" charset="0"/>
                </a:rPr>
                <a:t>(〖</a:t>
              </a:r>
              <a:r>
                <a:rPr lang="es-ES" sz="1100" b="0" i="0">
                  <a:latin typeface="Cambria Math" panose="02040503050406030204" pitchFamily="18" charset="0"/>
                </a:rPr>
                <a:t>𝑃90〗_ ^𝑎𝑙𝑡− </a:t>
              </a:r>
              <a:r>
                <a:rPr lang="es-ES" sz="1100" b="0" i="0">
                  <a:solidFill>
                    <a:schemeClr val="tx1"/>
                  </a:solidFill>
                  <a:effectLst/>
                  <a:latin typeface="Cambria Math" panose="02040503050406030204" pitchFamily="18" charset="0"/>
                  <a:ea typeface="+mn-ea"/>
                  <a:cs typeface="+mn-cs"/>
                </a:rPr>
                <a:t>〖𝑃90〗_ ^𝑛𝑎𝑡)/(〖𝑃90〗_ ^𝑛𝑎𝑡 )</a:t>
              </a:r>
              <a:r>
                <a:rPr lang="es-ES" sz="1100" b="0" i="0">
                  <a:latin typeface="Cambria Math" panose="02040503050406030204" pitchFamily="18" charset="0"/>
                </a:rPr>
                <a:t>∗100</a:t>
              </a:r>
              <a:endParaRPr lang="es-ES"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twoCellAnchor>
    <xdr:from>
      <xdr:col>1</xdr:col>
      <xdr:colOff>0</xdr:colOff>
      <xdr:row>50</xdr:row>
      <xdr:rowOff>0</xdr:rowOff>
    </xdr:from>
    <xdr:to>
      <xdr:col>5</xdr:col>
      <xdr:colOff>85725</xdr:colOff>
      <xdr:row>81</xdr:row>
      <xdr:rowOff>104775</xdr:rowOff>
    </xdr:to>
    <xdr:graphicFrame macro="">
      <xdr:nvGraphicFramePr>
        <xdr:cNvPr id="4" name="Chart 2">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50</xdr:row>
      <xdr:rowOff>0</xdr:rowOff>
    </xdr:from>
    <xdr:to>
      <xdr:col>11</xdr:col>
      <xdr:colOff>295275</xdr:colOff>
      <xdr:row>81</xdr:row>
      <xdr:rowOff>104775</xdr:rowOff>
    </xdr:to>
    <xdr:graphicFrame macro="">
      <xdr:nvGraphicFramePr>
        <xdr:cNvPr id="5" name="Chart 2">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304800</xdr:colOff>
      <xdr:row>50</xdr:row>
      <xdr:rowOff>0</xdr:rowOff>
    </xdr:from>
    <xdr:to>
      <xdr:col>18</xdr:col>
      <xdr:colOff>285750</xdr:colOff>
      <xdr:row>81</xdr:row>
      <xdr:rowOff>104775</xdr:rowOff>
    </xdr:to>
    <xdr:graphicFrame macro="">
      <xdr:nvGraphicFramePr>
        <xdr:cNvPr id="6" name="Chart 2">
          <a:extLst>
            <a:ext uri="{FF2B5EF4-FFF2-40B4-BE49-F238E27FC236}">
              <a16:creationId xmlns:a16="http://schemas.microsoft.com/office/drawing/2014/main" id="{00000000-0008-0000-0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114300</xdr:colOff>
      <xdr:row>49</xdr:row>
      <xdr:rowOff>133350</xdr:rowOff>
    </xdr:from>
    <xdr:to>
      <xdr:col>5</xdr:col>
      <xdr:colOff>9525</xdr:colOff>
      <xdr:row>81</xdr:row>
      <xdr:rowOff>76200</xdr:rowOff>
    </xdr:to>
    <xdr:graphicFrame macro="">
      <xdr:nvGraphicFramePr>
        <xdr:cNvPr id="4" name="Chart 2">
          <a:extLst>
            <a:ext uri="{FF2B5EF4-FFF2-40B4-BE49-F238E27FC236}">
              <a16:creationId xmlns:a16="http://schemas.microsoft.com/office/drawing/2014/main" id="{00000000-0008-0000-1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49</xdr:row>
      <xdr:rowOff>133350</xdr:rowOff>
    </xdr:from>
    <xdr:to>
      <xdr:col>11</xdr:col>
      <xdr:colOff>219075</xdr:colOff>
      <xdr:row>81</xdr:row>
      <xdr:rowOff>76200</xdr:rowOff>
    </xdr:to>
    <xdr:graphicFrame macro="">
      <xdr:nvGraphicFramePr>
        <xdr:cNvPr id="5" name="Chart 2">
          <a:extLst>
            <a:ext uri="{FF2B5EF4-FFF2-40B4-BE49-F238E27FC236}">
              <a16:creationId xmlns:a16="http://schemas.microsoft.com/office/drawing/2014/main" id="{00000000-0008-0000-1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228600</xdr:colOff>
      <xdr:row>49</xdr:row>
      <xdr:rowOff>133350</xdr:rowOff>
    </xdr:from>
    <xdr:to>
      <xdr:col>18</xdr:col>
      <xdr:colOff>209550</xdr:colOff>
      <xdr:row>81</xdr:row>
      <xdr:rowOff>76200</xdr:rowOff>
    </xdr:to>
    <xdr:graphicFrame macro="">
      <xdr:nvGraphicFramePr>
        <xdr:cNvPr id="6" name="Chart 2">
          <a:extLst>
            <a:ext uri="{FF2B5EF4-FFF2-40B4-BE49-F238E27FC236}">
              <a16:creationId xmlns:a16="http://schemas.microsoft.com/office/drawing/2014/main" id="{00000000-0008-0000-1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190500</xdr:colOff>
      <xdr:row>49</xdr:row>
      <xdr:rowOff>142875</xdr:rowOff>
    </xdr:from>
    <xdr:to>
      <xdr:col>27</xdr:col>
      <xdr:colOff>727983</xdr:colOff>
      <xdr:row>81</xdr:row>
      <xdr:rowOff>87675</xdr:rowOff>
    </xdr:to>
    <xdr:graphicFrame macro="">
      <xdr:nvGraphicFramePr>
        <xdr:cNvPr id="2" name="Gráfico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190500</xdr:colOff>
      <xdr:row>42</xdr:row>
      <xdr:rowOff>95250</xdr:rowOff>
    </xdr:from>
    <xdr:to>
      <xdr:col>8</xdr:col>
      <xdr:colOff>228600</xdr:colOff>
      <xdr:row>69</xdr:row>
      <xdr:rowOff>41275</xdr:rowOff>
    </xdr:to>
    <xdr:graphicFrame macro="">
      <xdr:nvGraphicFramePr>
        <xdr:cNvPr id="2" name="Chart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231775</xdr:colOff>
      <xdr:row>40</xdr:row>
      <xdr:rowOff>130175</xdr:rowOff>
    </xdr:from>
    <xdr:to>
      <xdr:col>8</xdr:col>
      <xdr:colOff>269875</xdr:colOff>
      <xdr:row>67</xdr:row>
      <xdr:rowOff>107950</xdr:rowOff>
    </xdr:to>
    <xdr:graphicFrame macro="">
      <xdr:nvGraphicFramePr>
        <xdr:cNvPr id="3" name="Chart 1">
          <a:extLst>
            <a:ext uri="{FF2B5EF4-FFF2-40B4-BE49-F238E27FC236}">
              <a16:creationId xmlns:a16="http://schemas.microsoft.com/office/drawing/2014/main" id="{00000000-0008-0000-1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327025</xdr:colOff>
      <xdr:row>40</xdr:row>
      <xdr:rowOff>98425</xdr:rowOff>
    </xdr:from>
    <xdr:to>
      <xdr:col>8</xdr:col>
      <xdr:colOff>247650</xdr:colOff>
      <xdr:row>67</xdr:row>
      <xdr:rowOff>63500</xdr:rowOff>
    </xdr:to>
    <xdr:graphicFrame macro="">
      <xdr:nvGraphicFramePr>
        <xdr:cNvPr id="4" name="Chart 1">
          <a:extLst>
            <a:ext uri="{FF2B5EF4-FFF2-40B4-BE49-F238E27FC236}">
              <a16:creationId xmlns:a16="http://schemas.microsoft.com/office/drawing/2014/main" id="{00000000-0008-0000-1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xdr:col>
      <xdr:colOff>685800</xdr:colOff>
      <xdr:row>40</xdr:row>
      <xdr:rowOff>82549</xdr:rowOff>
    </xdr:from>
    <xdr:to>
      <xdr:col>15</xdr:col>
      <xdr:colOff>869950</xdr:colOff>
      <xdr:row>69</xdr:row>
      <xdr:rowOff>57149</xdr:rowOff>
    </xdr:to>
    <xdr:graphicFrame macro="">
      <xdr:nvGraphicFramePr>
        <xdr:cNvPr id="2" name="Chart 1">
          <a:extLst>
            <a:ext uri="{FF2B5EF4-FFF2-40B4-BE49-F238E27FC236}">
              <a16:creationId xmlns:a16="http://schemas.microsoft.com/office/drawing/2014/main" id="{00000000-0008-0000-1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669925</xdr:colOff>
      <xdr:row>38</xdr:row>
      <xdr:rowOff>9524</xdr:rowOff>
    </xdr:from>
    <xdr:to>
      <xdr:col>15</xdr:col>
      <xdr:colOff>854075</xdr:colOff>
      <xdr:row>66</xdr:row>
      <xdr:rowOff>146049</xdr:rowOff>
    </xdr:to>
    <xdr:graphicFrame macro="">
      <xdr:nvGraphicFramePr>
        <xdr:cNvPr id="2" name="Chart 1">
          <a:extLst>
            <a:ext uri="{FF2B5EF4-FFF2-40B4-BE49-F238E27FC236}">
              <a16:creationId xmlns:a16="http://schemas.microsoft.com/office/drawing/2014/main" id="{00000000-0008-0000-1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1362075</xdr:colOff>
      <xdr:row>37</xdr:row>
      <xdr:rowOff>9526</xdr:rowOff>
    </xdr:from>
    <xdr:to>
      <xdr:col>6</xdr:col>
      <xdr:colOff>9525</xdr:colOff>
      <xdr:row>53</xdr:row>
      <xdr:rowOff>28575</xdr:rowOff>
    </xdr:to>
    <xdr:graphicFrame macro="">
      <xdr:nvGraphicFramePr>
        <xdr:cNvPr id="2" name="Chart 1">
          <a:extLst>
            <a:ext uri="{FF2B5EF4-FFF2-40B4-BE49-F238E27FC236}">
              <a16:creationId xmlns:a16="http://schemas.microsoft.com/office/drawing/2014/main" id="{00000000-0008-0000-1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37</xdr:row>
      <xdr:rowOff>0</xdr:rowOff>
    </xdr:from>
    <xdr:to>
      <xdr:col>10</xdr:col>
      <xdr:colOff>28575</xdr:colOff>
      <xdr:row>53</xdr:row>
      <xdr:rowOff>19049</xdr:rowOff>
    </xdr:to>
    <xdr:graphicFrame macro="">
      <xdr:nvGraphicFramePr>
        <xdr:cNvPr id="5" name="Chart 1">
          <a:extLst>
            <a:ext uri="{FF2B5EF4-FFF2-40B4-BE49-F238E27FC236}">
              <a16:creationId xmlns:a16="http://schemas.microsoft.com/office/drawing/2014/main" id="{00000000-0008-0000-1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37</xdr:row>
      <xdr:rowOff>0</xdr:rowOff>
    </xdr:from>
    <xdr:to>
      <xdr:col>14</xdr:col>
      <xdr:colOff>28575</xdr:colOff>
      <xdr:row>53</xdr:row>
      <xdr:rowOff>19049</xdr:rowOff>
    </xdr:to>
    <xdr:graphicFrame macro="">
      <xdr:nvGraphicFramePr>
        <xdr:cNvPr id="6" name="Chart 1">
          <a:extLst>
            <a:ext uri="{FF2B5EF4-FFF2-40B4-BE49-F238E27FC236}">
              <a16:creationId xmlns:a16="http://schemas.microsoft.com/office/drawing/2014/main" id="{00000000-0008-0000-1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37</xdr:row>
      <xdr:rowOff>0</xdr:rowOff>
    </xdr:from>
    <xdr:to>
      <xdr:col>18</xdr:col>
      <xdr:colOff>28575</xdr:colOff>
      <xdr:row>53</xdr:row>
      <xdr:rowOff>19049</xdr:rowOff>
    </xdr:to>
    <xdr:graphicFrame macro="">
      <xdr:nvGraphicFramePr>
        <xdr:cNvPr id="7" name="Chart 1">
          <a:extLst>
            <a:ext uri="{FF2B5EF4-FFF2-40B4-BE49-F238E27FC236}">
              <a16:creationId xmlns:a16="http://schemas.microsoft.com/office/drawing/2014/main" id="{00000000-0008-0000-1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942976</xdr:colOff>
      <xdr:row>37</xdr:row>
      <xdr:rowOff>0</xdr:rowOff>
    </xdr:from>
    <xdr:to>
      <xdr:col>22</xdr:col>
      <xdr:colOff>28576</xdr:colOff>
      <xdr:row>53</xdr:row>
      <xdr:rowOff>19049</xdr:rowOff>
    </xdr:to>
    <xdr:graphicFrame macro="">
      <xdr:nvGraphicFramePr>
        <xdr:cNvPr id="8" name="Chart 1">
          <a:extLst>
            <a:ext uri="{FF2B5EF4-FFF2-40B4-BE49-F238E27FC236}">
              <a16:creationId xmlns:a16="http://schemas.microsoft.com/office/drawing/2014/main" id="{00000000-0008-0000-1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0</xdr:colOff>
      <xdr:row>37</xdr:row>
      <xdr:rowOff>0</xdr:rowOff>
    </xdr:from>
    <xdr:to>
      <xdr:col>26</xdr:col>
      <xdr:colOff>28575</xdr:colOff>
      <xdr:row>53</xdr:row>
      <xdr:rowOff>19049</xdr:rowOff>
    </xdr:to>
    <xdr:graphicFrame macro="">
      <xdr:nvGraphicFramePr>
        <xdr:cNvPr id="9" name="Chart 1">
          <a:extLst>
            <a:ext uri="{FF2B5EF4-FFF2-40B4-BE49-F238E27FC236}">
              <a16:creationId xmlns:a16="http://schemas.microsoft.com/office/drawing/2014/main" id="{00000000-0008-0000-1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0</xdr:colOff>
      <xdr:row>37</xdr:row>
      <xdr:rowOff>0</xdr:rowOff>
    </xdr:from>
    <xdr:to>
      <xdr:col>30</xdr:col>
      <xdr:colOff>28575</xdr:colOff>
      <xdr:row>53</xdr:row>
      <xdr:rowOff>19049</xdr:rowOff>
    </xdr:to>
    <xdr:graphicFrame macro="">
      <xdr:nvGraphicFramePr>
        <xdr:cNvPr id="10" name="Chart 1">
          <a:extLst>
            <a:ext uri="{FF2B5EF4-FFF2-40B4-BE49-F238E27FC236}">
              <a16:creationId xmlns:a16="http://schemas.microsoft.com/office/drawing/2014/main" id="{00000000-0008-0000-1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962025</xdr:colOff>
      <xdr:row>37</xdr:row>
      <xdr:rowOff>19050</xdr:rowOff>
    </xdr:from>
    <xdr:to>
      <xdr:col>33</xdr:col>
      <xdr:colOff>990600</xdr:colOff>
      <xdr:row>53</xdr:row>
      <xdr:rowOff>38099</xdr:rowOff>
    </xdr:to>
    <xdr:graphicFrame macro="">
      <xdr:nvGraphicFramePr>
        <xdr:cNvPr id="11" name="Chart 1">
          <a:extLst>
            <a:ext uri="{FF2B5EF4-FFF2-40B4-BE49-F238E27FC236}">
              <a16:creationId xmlns:a16="http://schemas.microsoft.com/office/drawing/2014/main" id="{00000000-0008-0000-1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35</xdr:col>
      <xdr:colOff>0</xdr:colOff>
      <xdr:row>37</xdr:row>
      <xdr:rowOff>0</xdr:rowOff>
    </xdr:from>
    <xdr:to>
      <xdr:col>38</xdr:col>
      <xdr:colOff>28575</xdr:colOff>
      <xdr:row>53</xdr:row>
      <xdr:rowOff>19049</xdr:rowOff>
    </xdr:to>
    <xdr:graphicFrame macro="">
      <xdr:nvGraphicFramePr>
        <xdr:cNvPr id="12" name="Chart 1">
          <a:extLst>
            <a:ext uri="{FF2B5EF4-FFF2-40B4-BE49-F238E27FC236}">
              <a16:creationId xmlns:a16="http://schemas.microsoft.com/office/drawing/2014/main" id="{00000000-0008-0000-1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39</xdr:col>
      <xdr:colOff>0</xdr:colOff>
      <xdr:row>37</xdr:row>
      <xdr:rowOff>0</xdr:rowOff>
    </xdr:from>
    <xdr:to>
      <xdr:col>42</xdr:col>
      <xdr:colOff>28575</xdr:colOff>
      <xdr:row>53</xdr:row>
      <xdr:rowOff>19049</xdr:rowOff>
    </xdr:to>
    <xdr:graphicFrame macro="">
      <xdr:nvGraphicFramePr>
        <xdr:cNvPr id="13" name="Chart 1">
          <a:extLst>
            <a:ext uri="{FF2B5EF4-FFF2-40B4-BE49-F238E27FC236}">
              <a16:creationId xmlns:a16="http://schemas.microsoft.com/office/drawing/2014/main" id="{00000000-0008-0000-1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0</xdr:colOff>
      <xdr:row>37</xdr:row>
      <xdr:rowOff>0</xdr:rowOff>
    </xdr:from>
    <xdr:to>
      <xdr:col>46</xdr:col>
      <xdr:colOff>28575</xdr:colOff>
      <xdr:row>53</xdr:row>
      <xdr:rowOff>19049</xdr:rowOff>
    </xdr:to>
    <xdr:graphicFrame macro="">
      <xdr:nvGraphicFramePr>
        <xdr:cNvPr id="14" name="Chart 1">
          <a:extLst>
            <a:ext uri="{FF2B5EF4-FFF2-40B4-BE49-F238E27FC236}">
              <a16:creationId xmlns:a16="http://schemas.microsoft.com/office/drawing/2014/main" id="{00000000-0008-0000-1D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47</xdr:col>
      <xdr:colOff>0</xdr:colOff>
      <xdr:row>37</xdr:row>
      <xdr:rowOff>0</xdr:rowOff>
    </xdr:from>
    <xdr:to>
      <xdr:col>50</xdr:col>
      <xdr:colOff>28575</xdr:colOff>
      <xdr:row>53</xdr:row>
      <xdr:rowOff>19049</xdr:rowOff>
    </xdr:to>
    <xdr:graphicFrame macro="">
      <xdr:nvGraphicFramePr>
        <xdr:cNvPr id="15" name="Chart 1">
          <a:extLst>
            <a:ext uri="{FF2B5EF4-FFF2-40B4-BE49-F238E27FC236}">
              <a16:creationId xmlns:a16="http://schemas.microsoft.com/office/drawing/2014/main" id="{00000000-0008-0000-1D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13</xdr:col>
      <xdr:colOff>21165</xdr:colOff>
      <xdr:row>14</xdr:row>
      <xdr:rowOff>222251</xdr:rowOff>
    </xdr:from>
    <xdr:to>
      <xdr:col>19</xdr:col>
      <xdr:colOff>28766</xdr:colOff>
      <xdr:row>22</xdr:row>
      <xdr:rowOff>222249</xdr:rowOff>
    </xdr:to>
    <xdr:graphicFrame macro="">
      <xdr:nvGraphicFramePr>
        <xdr:cNvPr id="2" name="Gráfico 1">
          <a:extLst>
            <a:ext uri="{FF2B5EF4-FFF2-40B4-BE49-F238E27FC236}">
              <a16:creationId xmlns:a16="http://schemas.microsoft.com/office/drawing/2014/main" id="{00000000-0008-0000-2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52916</xdr:colOff>
      <xdr:row>24</xdr:row>
      <xdr:rowOff>158750</xdr:rowOff>
    </xdr:from>
    <xdr:to>
      <xdr:col>13</xdr:col>
      <xdr:colOff>497416</xdr:colOff>
      <xdr:row>40</xdr:row>
      <xdr:rowOff>0</xdr:rowOff>
    </xdr:to>
    <xdr:graphicFrame macro="">
      <xdr:nvGraphicFramePr>
        <xdr:cNvPr id="3" name="Gráfico 2">
          <a:extLst>
            <a:ext uri="{FF2B5EF4-FFF2-40B4-BE49-F238E27FC236}">
              <a16:creationId xmlns:a16="http://schemas.microsoft.com/office/drawing/2014/main" id="{00000000-0008-0000-2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518585</xdr:colOff>
      <xdr:row>24</xdr:row>
      <xdr:rowOff>158751</xdr:rowOff>
    </xdr:from>
    <xdr:to>
      <xdr:col>19</xdr:col>
      <xdr:colOff>84670</xdr:colOff>
      <xdr:row>40</xdr:row>
      <xdr:rowOff>1</xdr:rowOff>
    </xdr:to>
    <xdr:graphicFrame macro="">
      <xdr:nvGraphicFramePr>
        <xdr:cNvPr id="4" name="Gráfico 3">
          <a:extLst>
            <a:ext uri="{FF2B5EF4-FFF2-40B4-BE49-F238E27FC236}">
              <a16:creationId xmlns:a16="http://schemas.microsoft.com/office/drawing/2014/main" id="{00000000-0008-0000-2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13</xdr:col>
      <xdr:colOff>17318</xdr:colOff>
      <xdr:row>17</xdr:row>
      <xdr:rowOff>6494</xdr:rowOff>
    </xdr:from>
    <xdr:to>
      <xdr:col>20</xdr:col>
      <xdr:colOff>0</xdr:colOff>
      <xdr:row>30</xdr:row>
      <xdr:rowOff>5195</xdr:rowOff>
    </xdr:to>
    <xdr:graphicFrame macro="">
      <xdr:nvGraphicFramePr>
        <xdr:cNvPr id="2" name="Gráfico 1">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66024</xdr:colOff>
      <xdr:row>17</xdr:row>
      <xdr:rowOff>11906</xdr:rowOff>
    </xdr:from>
    <xdr:to>
      <xdr:col>26</xdr:col>
      <xdr:colOff>131030</xdr:colOff>
      <xdr:row>30</xdr:row>
      <xdr:rowOff>9693</xdr:rowOff>
    </xdr:to>
    <xdr:graphicFrame macro="">
      <xdr:nvGraphicFramePr>
        <xdr:cNvPr id="3" name="Gráfico 2">
          <a:extLst>
            <a:ext uri="{FF2B5EF4-FFF2-40B4-BE49-F238E27FC236}">
              <a16:creationId xmlns:a16="http://schemas.microsoft.com/office/drawing/2014/main" id="{00000000-0008-0000-2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32474</xdr:colOff>
      <xdr:row>32</xdr:row>
      <xdr:rowOff>162140</xdr:rowOff>
    </xdr:from>
    <xdr:to>
      <xdr:col>26</xdr:col>
      <xdr:colOff>278455</xdr:colOff>
      <xdr:row>46</xdr:row>
      <xdr:rowOff>136115</xdr:rowOff>
    </xdr:to>
    <xdr:graphicFrame macro="">
      <xdr:nvGraphicFramePr>
        <xdr:cNvPr id="4" name="Gráfico 3">
          <a:extLst>
            <a:ext uri="{FF2B5EF4-FFF2-40B4-BE49-F238E27FC236}">
              <a16:creationId xmlns:a16="http://schemas.microsoft.com/office/drawing/2014/main" id="{00000000-0008-0000-2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318222</xdr:colOff>
      <xdr:row>32</xdr:row>
      <xdr:rowOff>152615</xdr:rowOff>
    </xdr:from>
    <xdr:to>
      <xdr:col>31</xdr:col>
      <xdr:colOff>561822</xdr:colOff>
      <xdr:row>46</xdr:row>
      <xdr:rowOff>126590</xdr:rowOff>
    </xdr:to>
    <xdr:graphicFrame macro="">
      <xdr:nvGraphicFramePr>
        <xdr:cNvPr id="5" name="Gráfico 4">
          <a:extLst>
            <a:ext uri="{FF2B5EF4-FFF2-40B4-BE49-F238E27FC236}">
              <a16:creationId xmlns:a16="http://schemas.microsoft.com/office/drawing/2014/main" id="{00000000-0008-0000-2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666749</xdr:colOff>
      <xdr:row>32</xdr:row>
      <xdr:rowOff>152618</xdr:rowOff>
    </xdr:from>
    <xdr:to>
      <xdr:col>37</xdr:col>
      <xdr:colOff>148349</xdr:colOff>
      <xdr:row>46</xdr:row>
      <xdr:rowOff>126593</xdr:rowOff>
    </xdr:to>
    <xdr:graphicFrame macro="">
      <xdr:nvGraphicFramePr>
        <xdr:cNvPr id="6" name="Gráfico 5">
          <a:extLst>
            <a:ext uri="{FF2B5EF4-FFF2-40B4-BE49-F238E27FC236}">
              <a16:creationId xmlns:a16="http://schemas.microsoft.com/office/drawing/2014/main" id="{00000000-0008-0000-2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184150</xdr:colOff>
      <xdr:row>39</xdr:row>
      <xdr:rowOff>44450</xdr:rowOff>
    </xdr:from>
    <xdr:to>
      <xdr:col>6</xdr:col>
      <xdr:colOff>1581150</xdr:colOff>
      <xdr:row>51</xdr:row>
      <xdr:rowOff>152400</xdr:rowOff>
    </xdr:to>
    <xdr:sp macro="" textlink="">
      <xdr:nvSpPr>
        <xdr:cNvPr id="316687" name="3 CuadroTexto">
          <a:extLst>
            <a:ext uri="{FF2B5EF4-FFF2-40B4-BE49-F238E27FC236}">
              <a16:creationId xmlns:a16="http://schemas.microsoft.com/office/drawing/2014/main" id="{00000000-0008-0000-2200-00000FD50400}"/>
            </a:ext>
          </a:extLst>
        </xdr:cNvPr>
        <xdr:cNvSpPr txBox="1">
          <a:spLocks noChangeArrowheads="1"/>
        </xdr:cNvSpPr>
      </xdr:nvSpPr>
      <xdr:spPr bwMode="auto">
        <a:xfrm>
          <a:off x="184150" y="7905750"/>
          <a:ext cx="8140700" cy="2012950"/>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mn-lt"/>
            </a:rPr>
            <a:t>CLASSIFICATION*</a:t>
          </a:r>
        </a:p>
        <a:p>
          <a:pPr algn="l" rtl="1">
            <a:defRPr sz="1000"/>
          </a:pPr>
          <a:r>
            <a:rPr lang="es-ES" sz="1100" b="0" i="0" strike="noStrike">
              <a:solidFill>
                <a:srgbClr val="000000"/>
              </a:solidFill>
              <a:latin typeface="+mn-lt"/>
            </a:rPr>
            <a:t>Section 3.4.2 of the IPH (pg 38514 of the BOE of 22-09-08) indicates: ...</a:t>
          </a:r>
          <a:r>
            <a:rPr lang="es-ES" sz="1100" b="0" i="1" strike="noStrike">
              <a:solidFill>
                <a:srgbClr val="000000"/>
              </a:solidFill>
              <a:latin typeface="+mn-lt"/>
            </a:rPr>
            <a:t>It will be understood that a body of water is very altered hydrologically when it presents a significant deviation in the magnitude of the parameters that characterize the monthly and annual conditions of the hydrological regime.... The deviation shall be considered significant when the magnitude of the annual or monthly parameter deviates significantly from the 10% to 90% percentile values of the natural regime series.</a:t>
          </a:r>
        </a:p>
        <a:p>
          <a:pPr algn="l" rtl="1">
            <a:defRPr sz="1000"/>
          </a:pPr>
          <a:endParaRPr lang="es-ES" sz="1100" b="0" i="0" strike="noStrike">
            <a:solidFill>
              <a:srgbClr val="000000"/>
            </a:solidFill>
            <a:latin typeface="Calibri"/>
          </a:endParaRPr>
        </a:p>
        <a:p>
          <a:pPr algn="l" rtl="1">
            <a:defRPr sz="1000"/>
          </a:pPr>
          <a:r>
            <a:rPr lang="es-ES" sz="1100" b="0" i="0" strike="noStrike">
              <a:solidFill>
                <a:srgbClr val="000000"/>
              </a:solidFill>
              <a:latin typeface="+mn-lt"/>
            </a:rPr>
            <a:t>In this IAHRIS REPORT, a water body is assumed to be hydrologically </a:t>
          </a:r>
          <a:r>
            <a:rPr lang="es-ES" sz="1100" b="1" i="0" strike="noStrike">
              <a:solidFill>
                <a:srgbClr val="000000"/>
              </a:solidFill>
              <a:latin typeface="+mn-lt"/>
            </a:rPr>
            <a:t>highly altered when the % of the </a:t>
          </a:r>
          <a:r>
            <a:rPr lang="es-ES" sz="1100" b="1" i="0" u="sng" strike="noStrike">
              <a:solidFill>
                <a:srgbClr val="000000"/>
              </a:solidFill>
              <a:latin typeface="+mn-lt"/>
            </a:rPr>
            <a:t>total no. of months </a:t>
          </a:r>
          <a:r>
            <a:rPr lang="es-ES" sz="1100" b="1" i="0" strike="noStrike">
              <a:solidFill>
                <a:srgbClr val="000000"/>
              </a:solidFill>
              <a:latin typeface="+mn-lt"/>
            </a:rPr>
            <a:t>or % of the </a:t>
          </a:r>
          <a:r>
            <a:rPr lang="es-ES" sz="1100" b="1" i="0" u="sng" strike="noStrike">
              <a:solidFill>
                <a:srgbClr val="000000"/>
              </a:solidFill>
              <a:latin typeface="+mn-lt"/>
            </a:rPr>
            <a:t>total no. of years </a:t>
          </a:r>
          <a:r>
            <a:rPr lang="es-ES" sz="1100" b="1" i="0" strike="noStrike">
              <a:solidFill>
                <a:srgbClr val="000000"/>
              </a:solidFill>
              <a:latin typeface="+mn-lt"/>
            </a:rPr>
            <a:t>that it meets is less than 50%</a:t>
          </a:r>
          <a:r>
            <a:rPr lang="es-ES" sz="1100" b="0" i="0" strike="noStrike">
              <a:solidFill>
                <a:srgbClr val="000000"/>
              </a:solidFill>
              <a:latin typeface="+mn-lt"/>
            </a:rPr>
            <a:t>. If the requirement is not met, IAHRIS does not assign classification.</a:t>
          </a:r>
        </a:p>
        <a:p>
          <a:pPr algn="l" rtl="1">
            <a:defRPr sz="1000"/>
          </a:pPr>
          <a:endParaRPr lang="es-ES" sz="1100" b="0" i="0" strike="noStrike">
            <a:solidFill>
              <a:srgbClr val="000000"/>
            </a:solidFill>
            <a:latin typeface="+mn-lt"/>
          </a:endParaRPr>
        </a:p>
        <a:p>
          <a:pPr algn="l" rtl="1">
            <a:defRPr sz="1000"/>
          </a:pPr>
          <a:r>
            <a:rPr lang="es-ES" sz="1100" b="0" i="0" strike="noStrike">
              <a:solidFill>
                <a:srgbClr val="000000"/>
              </a:solidFill>
              <a:latin typeface="+mn-lt"/>
            </a:rPr>
            <a:t>In the monthly inputs, the colors (green if %meets&gt;50%; red if %meets≤50) are presented only to give the user, at a glance, a disaggregated view at the monthly level of alterations .</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0</xdr:colOff>
      <xdr:row>30</xdr:row>
      <xdr:rowOff>19050</xdr:rowOff>
    </xdr:from>
    <xdr:to>
      <xdr:col>8</xdr:col>
      <xdr:colOff>2105025</xdr:colOff>
      <xdr:row>41</xdr:row>
      <xdr:rowOff>12700</xdr:rowOff>
    </xdr:to>
    <xdr:sp macro="" textlink="">
      <xdr:nvSpPr>
        <xdr:cNvPr id="1959078" name="3 CuadroTexto">
          <a:extLst>
            <a:ext uri="{FF2B5EF4-FFF2-40B4-BE49-F238E27FC236}">
              <a16:creationId xmlns:a16="http://schemas.microsoft.com/office/drawing/2014/main" id="{00000000-0008-0000-2400-0000A6E41D00}"/>
            </a:ext>
          </a:extLst>
        </xdr:cNvPr>
        <xdr:cNvSpPr txBox="1">
          <a:spLocks noChangeArrowheads="1"/>
        </xdr:cNvSpPr>
      </xdr:nvSpPr>
      <xdr:spPr bwMode="auto">
        <a:xfrm>
          <a:off x="196850" y="5530850"/>
          <a:ext cx="8670925" cy="1746250"/>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r>
            <a:rPr lang="es-ES" sz="1100" b="1" i="0">
              <a:effectLst/>
              <a:latin typeface="+mn-lt"/>
              <a:ea typeface="+mn-ea"/>
              <a:cs typeface="+mn-cs"/>
            </a:rPr>
            <a:t>CLASSIFICATION***</a:t>
          </a:r>
          <a:endParaRPr lang="es-ES">
            <a:effectLst/>
          </a:endParaRPr>
        </a:p>
        <a:p>
          <a:pPr algn="l" rtl="1"/>
          <a:r>
            <a:rPr lang="es-ES" sz="1100" b="0" i="0">
              <a:effectLst/>
              <a:latin typeface="+mn-lt"/>
              <a:ea typeface="+mn-ea"/>
              <a:cs typeface="+mn-cs"/>
            </a:rPr>
            <a:t>Section 3.4.2 of the IPH (pg 38514 of the BOE of 22-09-08) indicates: ...... </a:t>
          </a:r>
          <a:r>
            <a:rPr lang="es-ES" sz="1100" b="0" i="1">
              <a:effectLst/>
              <a:latin typeface="+mn-lt"/>
              <a:ea typeface="+mn-ea"/>
              <a:cs typeface="+mn-cs"/>
            </a:rPr>
            <a:t>In the rivers identified as water bodies, their degree of hydrological alteration will be analyzed through the calculation of hydrological alteration indices... these indices compare the conditions of the natural reference regime with current conditions... the parameters used should be based on the fundamental characteristics of the hydrological regimes, such as magnitude, duration, frequency, seasonality and rates of change....</a:t>
          </a:r>
          <a:endParaRPr lang="es-ES">
            <a:effectLst/>
          </a:endParaRPr>
        </a:p>
        <a:p>
          <a:pPr algn="l" rtl="1"/>
          <a:r>
            <a:rPr lang="es-ES" sz="1100" b="0" i="0">
              <a:effectLst/>
              <a:latin typeface="+mn-lt"/>
              <a:ea typeface="+mn-ea"/>
              <a:cs typeface="+mn-cs"/>
            </a:rPr>
            <a:t>In this IAHRIS REPORT, a water body is assumed to be hydrologically </a:t>
          </a:r>
          <a:r>
            <a:rPr lang="es-ES" sz="1100" b="1" i="0">
              <a:effectLst/>
              <a:latin typeface="+mn-lt"/>
              <a:ea typeface="+mn-ea"/>
              <a:cs typeface="+mn-cs"/>
            </a:rPr>
            <a:t>highly altered when more than half of the twelve selected Indicators of Hydrological Alteration (IAH) reflect alterations equal to or greater than 50% of the parameter value in natural regime (IAH≤0.5</a:t>
          </a:r>
          <a:r>
            <a:rPr lang="es-ES" sz="1100" b="0" i="0">
              <a:effectLst/>
              <a:latin typeface="+mn-lt"/>
              <a:ea typeface="+mn-ea"/>
              <a:cs typeface="+mn-cs"/>
            </a:rPr>
            <a:t>). If this condition is not met, IAHRIS does not assign classification.</a:t>
          </a:r>
          <a:endParaRPr lang="es-ES">
            <a:effectLst/>
          </a:endParaRPr>
        </a:p>
        <a:p>
          <a:pPr algn="l" rtl="1"/>
          <a:r>
            <a:rPr lang="es-ES" sz="1100" b="0" i="0">
              <a:effectLst/>
              <a:latin typeface="+mn-lt"/>
              <a:ea typeface="+mn-ea"/>
              <a:cs typeface="+mn-cs"/>
            </a:rPr>
            <a:t>In the particular case of six IAH≤0.5, a criterion described in the corresponding reference manual (criterion C1a) is applied. </a:t>
          </a:r>
          <a:endParaRPr lang="es-ES">
            <a:effectLst/>
          </a:endParaRPr>
        </a:p>
        <a:p>
          <a:pPr algn="l" rtl="1">
            <a:defRPr sz="1000"/>
          </a:pPr>
          <a:endParaRPr lang="es-ES" sz="1100" b="0" i="0" strike="noStrike">
            <a:solidFill>
              <a:srgbClr val="000000"/>
            </a:solidFill>
            <a:latin typeface="Calibri"/>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B933"/>
  <sheetViews>
    <sheetView showGridLines="0" tabSelected="1" zoomScale="75" zoomScaleNormal="75" workbookViewId="0">
      <selection sqref="A1:D4"/>
    </sheetView>
  </sheetViews>
  <sheetFormatPr baseColWidth="10" defaultRowHeight="12.5"/>
  <cols>
    <col min="1" max="1" width="3" customWidth="1"/>
    <col min="2" max="2" width="23" customWidth="1"/>
    <col min="3" max="6" width="10.81640625" customWidth="1"/>
    <col min="7" max="7" width="14.54296875" customWidth="1"/>
    <col min="8" max="11" width="10.81640625" customWidth="1"/>
    <col min="12" max="12" width="14" customWidth="1"/>
  </cols>
  <sheetData>
    <row r="1" spans="1:28" ht="12.5" customHeight="1">
      <c r="A1" s="561" t="s">
        <v>0</v>
      </c>
      <c r="B1" s="561"/>
      <c r="C1" s="561"/>
      <c r="D1" s="561"/>
      <c r="AA1" s="48" t="s">
        <v>634</v>
      </c>
      <c r="AB1" s="48" t="s">
        <v>636</v>
      </c>
    </row>
    <row r="2" spans="1:28" ht="15.5" customHeight="1">
      <c r="A2" s="561"/>
      <c r="B2" s="561"/>
      <c r="C2" s="561"/>
      <c r="D2" s="561"/>
      <c r="AA2" s="48" t="s">
        <v>635</v>
      </c>
      <c r="AB2" s="48" t="s">
        <v>637</v>
      </c>
    </row>
    <row r="3" spans="1:28" ht="12.5" customHeight="1">
      <c r="A3" s="561"/>
      <c r="B3" s="561"/>
      <c r="C3" s="561"/>
      <c r="D3" s="561"/>
      <c r="E3" s="375"/>
    </row>
    <row r="4" spans="1:28" s="505" customFormat="1" ht="12.5" customHeight="1">
      <c r="A4" s="562"/>
      <c r="B4" s="562"/>
      <c r="C4" s="562"/>
      <c r="D4" s="562"/>
    </row>
    <row r="6" spans="1:28">
      <c r="N6" s="553"/>
      <c r="O6" s="554"/>
      <c r="P6" s="554"/>
    </row>
    <row r="7" spans="1:28" ht="13">
      <c r="B7" s="556" t="s">
        <v>1</v>
      </c>
      <c r="C7" s="556"/>
      <c r="D7" s="556"/>
      <c r="E7" s="557" t="str">
        <f>CONCATENATE($AB$1," (",$AA$1,")")</f>
        <v>Natural Flow (Nat_F)</v>
      </c>
      <c r="F7" s="557"/>
      <c r="G7" s="557"/>
      <c r="H7" s="557"/>
      <c r="I7" s="95"/>
      <c r="J7" s="95"/>
      <c r="K7" s="95"/>
      <c r="L7" s="95"/>
      <c r="N7" s="554"/>
      <c r="O7" s="554"/>
      <c r="P7" s="554"/>
    </row>
    <row r="8" spans="1:28" ht="13">
      <c r="B8" s="556" t="s">
        <v>2</v>
      </c>
      <c r="C8" s="556"/>
      <c r="D8" s="556"/>
      <c r="E8" s="558" t="str">
        <f>CONCATENATE($AB$2," (",$AA$2,")")</f>
        <v>Altered Flow (Alt_F)</v>
      </c>
      <c r="F8" s="558"/>
      <c r="G8" s="558"/>
      <c r="H8" s="558"/>
      <c r="I8" s="95"/>
      <c r="J8" s="95"/>
      <c r="K8" s="95"/>
      <c r="L8" s="95"/>
      <c r="N8" s="554"/>
      <c r="O8" s="554"/>
      <c r="P8" s="554"/>
    </row>
    <row r="9" spans="1:28" ht="13">
      <c r="B9" s="556" t="s">
        <v>3</v>
      </c>
      <c r="C9" s="556"/>
      <c r="D9" s="556"/>
      <c r="E9" s="557" t="s">
        <v>4</v>
      </c>
      <c r="F9" s="557"/>
      <c r="G9" s="557"/>
      <c r="H9" s="557"/>
      <c r="I9" s="95"/>
      <c r="J9" s="95"/>
      <c r="K9" s="95"/>
      <c r="L9" s="95"/>
      <c r="N9" s="554"/>
      <c r="O9" s="554"/>
      <c r="P9" s="554"/>
    </row>
    <row r="10" spans="1:28" ht="14">
      <c r="B10" s="560"/>
      <c r="C10" s="560"/>
      <c r="D10" s="560"/>
      <c r="E10" s="559"/>
      <c r="F10" s="559"/>
      <c r="G10" s="559"/>
      <c r="H10" s="559"/>
      <c r="I10" s="95"/>
      <c r="J10" s="95"/>
      <c r="K10" s="95"/>
      <c r="L10" s="95"/>
    </row>
    <row r="11" spans="1:28" ht="14">
      <c r="B11" s="560"/>
      <c r="C11" s="560"/>
      <c r="D11" s="560"/>
      <c r="E11" s="559"/>
      <c r="F11" s="559"/>
      <c r="G11" s="559"/>
      <c r="H11" s="559"/>
      <c r="I11" s="95"/>
      <c r="J11" s="95"/>
      <c r="K11" s="95"/>
      <c r="L11" s="95"/>
    </row>
    <row r="12" spans="1:28">
      <c r="B12" s="16" t="s">
        <v>5</v>
      </c>
    </row>
    <row r="14" spans="1:28" ht="14">
      <c r="B14" s="12" t="s">
        <v>6</v>
      </c>
      <c r="G14" s="12" t="s">
        <v>7</v>
      </c>
      <c r="K14" s="555" t="s">
        <v>8</v>
      </c>
      <c r="L14" s="555"/>
    </row>
    <row r="15" spans="1:28">
      <c r="I15" s="460"/>
    </row>
    <row r="16" spans="1:28">
      <c r="B16" t="s">
        <v>9</v>
      </c>
      <c r="H16" t="s">
        <v>10</v>
      </c>
    </row>
    <row r="17" spans="2:17">
      <c r="B17" t="s">
        <v>11</v>
      </c>
      <c r="H17" t="s">
        <v>12</v>
      </c>
    </row>
    <row r="18" spans="2:17">
      <c r="B18" t="s">
        <v>13</v>
      </c>
      <c r="H18" t="s">
        <v>14</v>
      </c>
      <c r="K18" s="460"/>
    </row>
    <row r="19" spans="2:17">
      <c r="B19" t="s">
        <v>15</v>
      </c>
      <c r="H19" t="s">
        <v>16</v>
      </c>
    </row>
    <row r="20" spans="2:17">
      <c r="B20" t="s">
        <v>17</v>
      </c>
      <c r="H20" t="s">
        <v>18</v>
      </c>
    </row>
    <row r="21" spans="2:17">
      <c r="B21" t="s">
        <v>19</v>
      </c>
      <c r="H21" t="s">
        <v>20</v>
      </c>
    </row>
    <row r="22" spans="2:17">
      <c r="B22" t="s">
        <v>21</v>
      </c>
      <c r="H22" t="s">
        <v>22</v>
      </c>
    </row>
    <row r="23" spans="2:17" ht="12.75" customHeight="1">
      <c r="B23" t="s">
        <v>23</v>
      </c>
      <c r="H23" t="s">
        <v>24</v>
      </c>
      <c r="I23" s="496"/>
      <c r="J23" s="497"/>
      <c r="K23" s="497"/>
      <c r="L23" s="497"/>
      <c r="N23" s="496"/>
      <c r="O23" s="497"/>
      <c r="P23" s="497"/>
      <c r="Q23" s="497"/>
    </row>
    <row r="24" spans="2:17">
      <c r="B24" t="s">
        <v>25</v>
      </c>
      <c r="H24" t="s">
        <v>26</v>
      </c>
      <c r="I24" s="497"/>
      <c r="J24" s="497"/>
      <c r="K24" s="497"/>
      <c r="L24" s="497"/>
      <c r="N24" s="497"/>
      <c r="O24" s="497"/>
      <c r="P24" s="497"/>
      <c r="Q24" s="497"/>
    </row>
    <row r="25" spans="2:17">
      <c r="B25" t="s">
        <v>27</v>
      </c>
      <c r="H25" t="s">
        <v>28</v>
      </c>
      <c r="I25" s="497"/>
      <c r="J25" s="497"/>
      <c r="K25" s="497"/>
      <c r="L25" s="497"/>
      <c r="N25" s="497"/>
      <c r="O25" s="497"/>
      <c r="P25" s="497"/>
      <c r="Q25" s="497"/>
    </row>
    <row r="26" spans="2:17">
      <c r="B26" t="s">
        <v>29</v>
      </c>
      <c r="I26" s="497"/>
      <c r="J26" s="497"/>
      <c r="K26" s="497"/>
      <c r="L26" s="497"/>
      <c r="N26" s="497"/>
      <c r="O26" s="497"/>
      <c r="P26" s="497"/>
      <c r="Q26" s="497"/>
    </row>
    <row r="27" spans="2:17">
      <c r="B27" t="s">
        <v>30</v>
      </c>
      <c r="I27" s="497"/>
      <c r="J27" s="497"/>
      <c r="K27" s="497"/>
      <c r="L27" s="497"/>
      <c r="N27" s="497"/>
      <c r="O27" s="497"/>
      <c r="P27" s="497"/>
      <c r="Q27" s="497"/>
    </row>
    <row r="29" spans="2:17" ht="14">
      <c r="B29" s="13" t="s">
        <v>31</v>
      </c>
    </row>
    <row r="30" spans="2:17" ht="14">
      <c r="B30" s="13"/>
    </row>
    <row r="31" spans="2:17" ht="13">
      <c r="B31" s="563" t="s">
        <v>32</v>
      </c>
      <c r="C31" s="566" t="s">
        <v>33</v>
      </c>
      <c r="D31" s="566"/>
      <c r="E31" s="566"/>
      <c r="F31" s="566"/>
      <c r="G31" s="566"/>
      <c r="H31" s="566" t="s">
        <v>34</v>
      </c>
      <c r="I31" s="566"/>
      <c r="J31" s="566"/>
      <c r="K31" s="566"/>
      <c r="L31" s="566"/>
    </row>
    <row r="32" spans="2:17" ht="13">
      <c r="B32" s="564"/>
      <c r="C32" s="567" t="str">
        <f>$AA$1</f>
        <v>Nat_F</v>
      </c>
      <c r="D32" s="567"/>
      <c r="E32" s="567" t="str">
        <f>$AA$2</f>
        <v>Alt_F</v>
      </c>
      <c r="F32" s="567"/>
      <c r="G32" s="568" t="s">
        <v>35</v>
      </c>
      <c r="H32" s="567" t="str">
        <f>$AA$1</f>
        <v>Nat_F</v>
      </c>
      <c r="I32" s="567"/>
      <c r="J32" s="567" t="str">
        <f>$AA$2</f>
        <v>Alt_F</v>
      </c>
      <c r="K32" s="567"/>
      <c r="L32" s="568" t="s">
        <v>35</v>
      </c>
    </row>
    <row r="33" spans="2:12" ht="13">
      <c r="B33" s="565"/>
      <c r="C33" s="243" t="s">
        <v>36</v>
      </c>
      <c r="D33" s="243" t="s">
        <v>37</v>
      </c>
      <c r="E33" s="243" t="s">
        <v>36</v>
      </c>
      <c r="F33" s="243" t="s">
        <v>37</v>
      </c>
      <c r="G33" s="565"/>
      <c r="H33" s="244" t="s">
        <v>36</v>
      </c>
      <c r="I33" s="244" t="s">
        <v>37</v>
      </c>
      <c r="J33" s="244" t="s">
        <v>36</v>
      </c>
      <c r="K33" s="244" t="s">
        <v>37</v>
      </c>
      <c r="L33" s="565"/>
    </row>
    <row r="34" spans="2:12" ht="13">
      <c r="B34" s="514" t="s">
        <v>38</v>
      </c>
      <c r="C34" s="514" t="s">
        <v>39</v>
      </c>
      <c r="D34" s="515" t="s">
        <v>39</v>
      </c>
      <c r="E34" s="514"/>
      <c r="F34" s="515"/>
      <c r="G34" s="514"/>
      <c r="H34" s="514" t="s">
        <v>39</v>
      </c>
      <c r="I34" s="515" t="s">
        <v>39</v>
      </c>
      <c r="J34" s="514"/>
      <c r="K34" s="515"/>
      <c r="L34" s="514"/>
    </row>
    <row r="35" spans="2:12" ht="13">
      <c r="B35" s="516" t="s">
        <v>40</v>
      </c>
      <c r="C35" s="516" t="s">
        <v>39</v>
      </c>
      <c r="D35" s="517" t="s">
        <v>39</v>
      </c>
      <c r="E35" s="516"/>
      <c r="F35" s="517"/>
      <c r="G35" s="516"/>
      <c r="H35" s="516" t="s">
        <v>39</v>
      </c>
      <c r="I35" s="517" t="s">
        <v>39</v>
      </c>
      <c r="J35" s="516"/>
      <c r="K35" s="517"/>
      <c r="L35" s="520"/>
    </row>
    <row r="36" spans="2:12" ht="13">
      <c r="B36" s="516" t="s">
        <v>41</v>
      </c>
      <c r="C36" s="516" t="s">
        <v>39</v>
      </c>
      <c r="D36" s="517" t="s">
        <v>39</v>
      </c>
      <c r="E36" s="516"/>
      <c r="F36" s="517"/>
      <c r="G36" s="516"/>
      <c r="H36" s="516" t="s">
        <v>39</v>
      </c>
      <c r="I36" s="517" t="s">
        <v>39</v>
      </c>
      <c r="J36" s="516"/>
      <c r="K36" s="517"/>
      <c r="L36" s="520"/>
    </row>
    <row r="37" spans="2:12" ht="13">
      <c r="B37" s="516" t="s">
        <v>42</v>
      </c>
      <c r="C37" s="516" t="s">
        <v>39</v>
      </c>
      <c r="D37" s="517" t="s">
        <v>39</v>
      </c>
      <c r="E37" s="516"/>
      <c r="F37" s="517"/>
      <c r="G37" s="516"/>
      <c r="H37" s="516" t="s">
        <v>39</v>
      </c>
      <c r="I37" s="517" t="s">
        <v>39</v>
      </c>
      <c r="J37" s="516"/>
      <c r="K37" s="517"/>
      <c r="L37" s="520"/>
    </row>
    <row r="38" spans="2:12" ht="13">
      <c r="B38" s="516" t="s">
        <v>43</v>
      </c>
      <c r="C38" s="516" t="s">
        <v>39</v>
      </c>
      <c r="D38" s="517" t="s">
        <v>39</v>
      </c>
      <c r="E38" s="516"/>
      <c r="F38" s="517"/>
      <c r="G38" s="516"/>
      <c r="H38" s="516" t="s">
        <v>39</v>
      </c>
      <c r="I38" s="517" t="s">
        <v>39</v>
      </c>
      <c r="J38" s="516"/>
      <c r="K38" s="517"/>
      <c r="L38" s="520"/>
    </row>
    <row r="39" spans="2:12" ht="13">
      <c r="B39" s="516" t="s">
        <v>44</v>
      </c>
      <c r="C39" s="516" t="s">
        <v>39</v>
      </c>
      <c r="D39" s="517" t="s">
        <v>39</v>
      </c>
      <c r="E39" s="516"/>
      <c r="F39" s="517"/>
      <c r="G39" s="516"/>
      <c r="H39" s="516" t="s">
        <v>39</v>
      </c>
      <c r="I39" s="517" t="s">
        <v>39</v>
      </c>
      <c r="J39" s="516"/>
      <c r="K39" s="517"/>
      <c r="L39" s="520"/>
    </row>
    <row r="40" spans="2:12" ht="13">
      <c r="B40" s="516" t="s">
        <v>45</v>
      </c>
      <c r="C40" s="516" t="s">
        <v>39</v>
      </c>
      <c r="D40" s="517" t="s">
        <v>39</v>
      </c>
      <c r="E40" s="516"/>
      <c r="F40" s="517"/>
      <c r="G40" s="516"/>
      <c r="H40" s="516" t="s">
        <v>39</v>
      </c>
      <c r="I40" s="517" t="s">
        <v>39</v>
      </c>
      <c r="J40" s="516"/>
      <c r="K40" s="517"/>
      <c r="L40" s="520"/>
    </row>
    <row r="41" spans="2:12" ht="13">
      <c r="B41" s="516" t="s">
        <v>46</v>
      </c>
      <c r="C41" s="516" t="s">
        <v>39</v>
      </c>
      <c r="D41" s="517" t="s">
        <v>39</v>
      </c>
      <c r="E41" s="516"/>
      <c r="F41" s="517"/>
      <c r="G41" s="516"/>
      <c r="H41" s="516" t="s">
        <v>39</v>
      </c>
      <c r="I41" s="517" t="s">
        <v>39</v>
      </c>
      <c r="J41" s="516"/>
      <c r="K41" s="517"/>
      <c r="L41" s="520"/>
    </row>
    <row r="42" spans="2:12" ht="13">
      <c r="B42" s="516" t="s">
        <v>47</v>
      </c>
      <c r="C42" s="516" t="s">
        <v>39</v>
      </c>
      <c r="D42" s="517" t="s">
        <v>39</v>
      </c>
      <c r="E42" s="516"/>
      <c r="F42" s="517"/>
      <c r="G42" s="516"/>
      <c r="H42" s="516" t="s">
        <v>39</v>
      </c>
      <c r="I42" s="517" t="s">
        <v>39</v>
      </c>
      <c r="J42" s="516"/>
      <c r="K42" s="517"/>
      <c r="L42" s="520"/>
    </row>
    <row r="43" spans="2:12" ht="13">
      <c r="B43" s="516" t="s">
        <v>48</v>
      </c>
      <c r="C43" s="516" t="s">
        <v>39</v>
      </c>
      <c r="D43" s="517" t="s">
        <v>39</v>
      </c>
      <c r="E43" s="516"/>
      <c r="F43" s="517"/>
      <c r="G43" s="516"/>
      <c r="H43" s="516" t="s">
        <v>39</v>
      </c>
      <c r="I43" s="517" t="s">
        <v>39</v>
      </c>
      <c r="J43" s="516"/>
      <c r="K43" s="517"/>
      <c r="L43" s="520"/>
    </row>
    <row r="44" spans="2:12" ht="13">
      <c r="B44" s="516" t="s">
        <v>49</v>
      </c>
      <c r="C44" s="516" t="s">
        <v>39</v>
      </c>
      <c r="D44" s="517" t="s">
        <v>39</v>
      </c>
      <c r="E44" s="516"/>
      <c r="F44" s="517"/>
      <c r="G44" s="516"/>
      <c r="H44" s="516" t="s">
        <v>39</v>
      </c>
      <c r="I44" s="517" t="s">
        <v>39</v>
      </c>
      <c r="J44" s="516"/>
      <c r="K44" s="517"/>
      <c r="L44" s="520"/>
    </row>
    <row r="45" spans="2:12" ht="13">
      <c r="B45" s="516" t="s">
        <v>50</v>
      </c>
      <c r="C45" s="516" t="s">
        <v>39</v>
      </c>
      <c r="D45" s="517" t="s">
        <v>39</v>
      </c>
      <c r="E45" s="516"/>
      <c r="F45" s="517"/>
      <c r="G45" s="516"/>
      <c r="H45" s="516" t="s">
        <v>39</v>
      </c>
      <c r="I45" s="517" t="s">
        <v>39</v>
      </c>
      <c r="J45" s="516"/>
      <c r="K45" s="517"/>
      <c r="L45" s="520"/>
    </row>
    <row r="46" spans="2:12" ht="13">
      <c r="B46" s="516" t="s">
        <v>51</v>
      </c>
      <c r="C46" s="516" t="s">
        <v>39</v>
      </c>
      <c r="D46" s="517" t="s">
        <v>39</v>
      </c>
      <c r="E46" s="516"/>
      <c r="F46" s="517"/>
      <c r="G46" s="516"/>
      <c r="H46" s="516" t="s">
        <v>39</v>
      </c>
      <c r="I46" s="517" t="s">
        <v>39</v>
      </c>
      <c r="J46" s="516"/>
      <c r="K46" s="517"/>
      <c r="L46" s="520"/>
    </row>
    <row r="47" spans="2:12" ht="13">
      <c r="B47" s="516" t="s">
        <v>52</v>
      </c>
      <c r="C47" s="516" t="s">
        <v>39</v>
      </c>
      <c r="D47" s="517" t="s">
        <v>39</v>
      </c>
      <c r="E47" s="516"/>
      <c r="F47" s="517"/>
      <c r="G47" s="516"/>
      <c r="H47" s="516" t="s">
        <v>39</v>
      </c>
      <c r="I47" s="517" t="s">
        <v>39</v>
      </c>
      <c r="J47" s="516"/>
      <c r="K47" s="517"/>
      <c r="L47" s="520"/>
    </row>
    <row r="48" spans="2:12" ht="13">
      <c r="B48" s="516" t="s">
        <v>53</v>
      </c>
      <c r="C48" s="516" t="s">
        <v>39</v>
      </c>
      <c r="D48" s="517" t="s">
        <v>39</v>
      </c>
      <c r="E48" s="516"/>
      <c r="F48" s="517"/>
      <c r="G48" s="516"/>
      <c r="H48" s="516" t="s">
        <v>39</v>
      </c>
      <c r="I48" s="517" t="s">
        <v>39</v>
      </c>
      <c r="J48" s="516"/>
      <c r="K48" s="517"/>
      <c r="L48" s="520"/>
    </row>
    <row r="49" spans="2:12" ht="13">
      <c r="B49" s="516" t="s">
        <v>54</v>
      </c>
      <c r="C49" s="516" t="s">
        <v>39</v>
      </c>
      <c r="D49" s="517" t="s">
        <v>39</v>
      </c>
      <c r="E49" s="516"/>
      <c r="F49" s="517"/>
      <c r="G49" s="516"/>
      <c r="H49" s="516" t="s">
        <v>39</v>
      </c>
      <c r="I49" s="517" t="s">
        <v>39</v>
      </c>
      <c r="J49" s="516"/>
      <c r="K49" s="517"/>
      <c r="L49" s="520"/>
    </row>
    <row r="50" spans="2:12" ht="13">
      <c r="B50" s="516" t="s">
        <v>55</v>
      </c>
      <c r="C50" s="516" t="s">
        <v>39</v>
      </c>
      <c r="D50" s="517" t="s">
        <v>39</v>
      </c>
      <c r="E50" s="516"/>
      <c r="F50" s="517"/>
      <c r="G50" s="516"/>
      <c r="H50" s="516" t="s">
        <v>39</v>
      </c>
      <c r="I50" s="517" t="s">
        <v>39</v>
      </c>
      <c r="J50" s="516"/>
      <c r="K50" s="517"/>
      <c r="L50" s="520"/>
    </row>
    <row r="51" spans="2:12" ht="13">
      <c r="B51" s="516" t="s">
        <v>56</v>
      </c>
      <c r="C51" s="516" t="s">
        <v>39</v>
      </c>
      <c r="D51" s="517" t="s">
        <v>39</v>
      </c>
      <c r="E51" s="516"/>
      <c r="F51" s="517"/>
      <c r="G51" s="516"/>
      <c r="H51" s="516" t="s">
        <v>39</v>
      </c>
      <c r="I51" s="517" t="s">
        <v>39</v>
      </c>
      <c r="J51" s="516"/>
      <c r="K51" s="517"/>
      <c r="L51" s="520"/>
    </row>
    <row r="52" spans="2:12" ht="13">
      <c r="B52" s="516" t="s">
        <v>57</v>
      </c>
      <c r="C52" s="516" t="s">
        <v>39</v>
      </c>
      <c r="D52" s="517" t="s">
        <v>39</v>
      </c>
      <c r="E52" s="516"/>
      <c r="F52" s="517"/>
      <c r="G52" s="516"/>
      <c r="H52" s="516" t="s">
        <v>39</v>
      </c>
      <c r="I52" s="517" t="s">
        <v>39</v>
      </c>
      <c r="J52" s="516"/>
      <c r="K52" s="517"/>
      <c r="L52" s="520"/>
    </row>
    <row r="53" spans="2:12" ht="13">
      <c r="B53" s="516" t="s">
        <v>58</v>
      </c>
      <c r="C53" s="516" t="s">
        <v>39</v>
      </c>
      <c r="D53" s="517" t="s">
        <v>39</v>
      </c>
      <c r="E53" s="516"/>
      <c r="F53" s="517"/>
      <c r="G53" s="516"/>
      <c r="H53" s="516" t="s">
        <v>39</v>
      </c>
      <c r="I53" s="517" t="s">
        <v>39</v>
      </c>
      <c r="J53" s="516"/>
      <c r="K53" s="517"/>
      <c r="L53" s="520"/>
    </row>
    <row r="54" spans="2:12" ht="13">
      <c r="B54" s="516" t="s">
        <v>59</v>
      </c>
      <c r="C54" s="516" t="s">
        <v>39</v>
      </c>
      <c r="D54" s="517" t="s">
        <v>39</v>
      </c>
      <c r="E54" s="516"/>
      <c r="F54" s="517"/>
      <c r="G54" s="516"/>
      <c r="H54" s="516" t="s">
        <v>39</v>
      </c>
      <c r="I54" s="517" t="s">
        <v>39</v>
      </c>
      <c r="J54" s="516"/>
      <c r="K54" s="517"/>
      <c r="L54" s="520"/>
    </row>
    <row r="55" spans="2:12" ht="13">
      <c r="B55" s="516" t="s">
        <v>60</v>
      </c>
      <c r="C55" s="516"/>
      <c r="D55" s="517"/>
      <c r="E55" s="516"/>
      <c r="F55" s="517"/>
      <c r="G55" s="516"/>
      <c r="H55" s="516"/>
      <c r="I55" s="517"/>
      <c r="J55" s="516"/>
      <c r="K55" s="517"/>
      <c r="L55" s="520"/>
    </row>
    <row r="56" spans="2:12" ht="13">
      <c r="B56" s="516" t="s">
        <v>61</v>
      </c>
      <c r="C56" s="516"/>
      <c r="D56" s="517"/>
      <c r="E56" s="516"/>
      <c r="F56" s="517"/>
      <c r="G56" s="516"/>
      <c r="H56" s="516"/>
      <c r="I56" s="517"/>
      <c r="J56" s="516"/>
      <c r="K56" s="517"/>
      <c r="L56" s="520"/>
    </row>
    <row r="57" spans="2:12" ht="13">
      <c r="B57" s="516" t="s">
        <v>62</v>
      </c>
      <c r="C57" s="516"/>
      <c r="D57" s="517"/>
      <c r="E57" s="516"/>
      <c r="F57" s="517"/>
      <c r="G57" s="516"/>
      <c r="H57" s="516"/>
      <c r="I57" s="517"/>
      <c r="J57" s="516"/>
      <c r="K57" s="517"/>
      <c r="L57" s="520"/>
    </row>
    <row r="58" spans="2:12" ht="13">
      <c r="B58" s="516" t="s">
        <v>63</v>
      </c>
      <c r="C58" s="516"/>
      <c r="D58" s="517"/>
      <c r="E58" s="516"/>
      <c r="F58" s="517"/>
      <c r="G58" s="516"/>
      <c r="H58" s="516"/>
      <c r="I58" s="517"/>
      <c r="J58" s="516"/>
      <c r="K58" s="517"/>
      <c r="L58" s="520"/>
    </row>
    <row r="59" spans="2:12" ht="13">
      <c r="B59" s="516" t="s">
        <v>64</v>
      </c>
      <c r="C59" s="516"/>
      <c r="D59" s="517"/>
      <c r="E59" s="516"/>
      <c r="F59" s="517"/>
      <c r="G59" s="516"/>
      <c r="H59" s="516"/>
      <c r="I59" s="517"/>
      <c r="J59" s="516"/>
      <c r="K59" s="517"/>
      <c r="L59" s="520"/>
    </row>
    <row r="60" spans="2:12" ht="13">
      <c r="B60" s="516" t="s">
        <v>65</v>
      </c>
      <c r="C60" s="516"/>
      <c r="D60" s="517"/>
      <c r="E60" s="516"/>
      <c r="F60" s="517"/>
      <c r="G60" s="516"/>
      <c r="H60" s="516"/>
      <c r="I60" s="517"/>
      <c r="J60" s="516"/>
      <c r="K60" s="517"/>
      <c r="L60" s="520"/>
    </row>
    <row r="61" spans="2:12" ht="13">
      <c r="B61" s="516" t="s">
        <v>66</v>
      </c>
      <c r="C61" s="516"/>
      <c r="D61" s="517"/>
      <c r="E61" s="516"/>
      <c r="F61" s="517"/>
      <c r="G61" s="516"/>
      <c r="H61" s="516"/>
      <c r="I61" s="517"/>
      <c r="J61" s="516"/>
      <c r="K61" s="517"/>
      <c r="L61" s="520"/>
    </row>
    <row r="62" spans="2:12" ht="13">
      <c r="B62" s="516" t="s">
        <v>67</v>
      </c>
      <c r="C62" s="516"/>
      <c r="D62" s="517"/>
      <c r="E62" s="516"/>
      <c r="F62" s="517"/>
      <c r="G62" s="516"/>
      <c r="H62" s="516"/>
      <c r="I62" s="517"/>
      <c r="J62" s="516"/>
      <c r="K62" s="517"/>
      <c r="L62" s="520"/>
    </row>
    <row r="63" spans="2:12" ht="13">
      <c r="B63" s="516" t="s">
        <v>68</v>
      </c>
      <c r="C63" s="516"/>
      <c r="D63" s="517"/>
      <c r="E63" s="516"/>
      <c r="F63" s="517"/>
      <c r="G63" s="516"/>
      <c r="H63" s="516"/>
      <c r="I63" s="517"/>
      <c r="J63" s="516"/>
      <c r="K63" s="517"/>
      <c r="L63" s="520"/>
    </row>
    <row r="64" spans="2:12" ht="13">
      <c r="B64" s="516" t="s">
        <v>69</v>
      </c>
      <c r="C64" s="516"/>
      <c r="D64" s="517"/>
      <c r="E64" s="516"/>
      <c r="F64" s="517"/>
      <c r="G64" s="516"/>
      <c r="H64" s="516"/>
      <c r="I64" s="517"/>
      <c r="J64" s="516"/>
      <c r="K64" s="517"/>
      <c r="L64" s="520"/>
    </row>
    <row r="65" spans="2:12" ht="13">
      <c r="B65" s="516" t="s">
        <v>70</v>
      </c>
      <c r="C65" s="516"/>
      <c r="D65" s="517"/>
      <c r="E65" s="516"/>
      <c r="F65" s="517"/>
      <c r="G65" s="516"/>
      <c r="H65" s="516"/>
      <c r="I65" s="517"/>
      <c r="J65" s="516"/>
      <c r="K65" s="517"/>
      <c r="L65" s="520"/>
    </row>
    <row r="66" spans="2:12" ht="13">
      <c r="B66" s="516" t="s">
        <v>71</v>
      </c>
      <c r="C66" s="516"/>
      <c r="D66" s="517"/>
      <c r="E66" s="516"/>
      <c r="F66" s="517"/>
      <c r="G66" s="516"/>
      <c r="H66" s="516"/>
      <c r="I66" s="517"/>
      <c r="J66" s="516"/>
      <c r="K66" s="517"/>
      <c r="L66" s="520"/>
    </row>
    <row r="67" spans="2:12" ht="13">
      <c r="B67" s="516" t="s">
        <v>72</v>
      </c>
      <c r="C67" s="516"/>
      <c r="D67" s="517"/>
      <c r="E67" s="516"/>
      <c r="F67" s="517"/>
      <c r="G67" s="516"/>
      <c r="H67" s="516"/>
      <c r="I67" s="517"/>
      <c r="J67" s="516"/>
      <c r="K67" s="517"/>
      <c r="L67" s="520"/>
    </row>
    <row r="68" spans="2:12" ht="13">
      <c r="B68" s="516" t="s">
        <v>73</v>
      </c>
      <c r="C68" s="516"/>
      <c r="D68" s="517"/>
      <c r="E68" s="516"/>
      <c r="F68" s="517"/>
      <c r="G68" s="516"/>
      <c r="H68" s="516"/>
      <c r="I68" s="517"/>
      <c r="J68" s="516"/>
      <c r="K68" s="517"/>
      <c r="L68" s="520"/>
    </row>
    <row r="69" spans="2:12" ht="13">
      <c r="B69" s="516" t="s">
        <v>74</v>
      </c>
      <c r="C69" s="516"/>
      <c r="D69" s="517"/>
      <c r="E69" s="516"/>
      <c r="F69" s="517"/>
      <c r="G69" s="516"/>
      <c r="H69" s="516"/>
      <c r="I69" s="517"/>
      <c r="J69" s="516"/>
      <c r="K69" s="517"/>
      <c r="L69" s="520"/>
    </row>
    <row r="70" spans="2:12" ht="13">
      <c r="B70" s="516" t="s">
        <v>75</v>
      </c>
      <c r="C70" s="516"/>
      <c r="D70" s="517"/>
      <c r="E70" s="516"/>
      <c r="F70" s="517"/>
      <c r="G70" s="516"/>
      <c r="H70" s="516"/>
      <c r="I70" s="517"/>
      <c r="J70" s="516"/>
      <c r="K70" s="517"/>
      <c r="L70" s="520"/>
    </row>
    <row r="71" spans="2:12" ht="13">
      <c r="B71" s="516" t="s">
        <v>76</v>
      </c>
      <c r="C71" s="516"/>
      <c r="D71" s="517"/>
      <c r="E71" s="516"/>
      <c r="F71" s="517"/>
      <c r="G71" s="516"/>
      <c r="H71" s="516"/>
      <c r="I71" s="517"/>
      <c r="J71" s="516"/>
      <c r="K71" s="517"/>
      <c r="L71" s="520"/>
    </row>
    <row r="72" spans="2:12" ht="13">
      <c r="B72" s="516" t="s">
        <v>77</v>
      </c>
      <c r="C72" s="516"/>
      <c r="D72" s="517"/>
      <c r="E72" s="516"/>
      <c r="F72" s="517"/>
      <c r="G72" s="516"/>
      <c r="H72" s="516"/>
      <c r="I72" s="517"/>
      <c r="J72" s="516"/>
      <c r="K72" s="517"/>
      <c r="L72" s="520"/>
    </row>
    <row r="73" spans="2:12" ht="13">
      <c r="B73" s="516" t="s">
        <v>78</v>
      </c>
      <c r="C73" s="516"/>
      <c r="D73" s="517"/>
      <c r="E73" s="516"/>
      <c r="F73" s="517"/>
      <c r="G73" s="516"/>
      <c r="H73" s="516"/>
      <c r="I73" s="517"/>
      <c r="J73" s="516"/>
      <c r="K73" s="517"/>
      <c r="L73" s="520"/>
    </row>
    <row r="74" spans="2:12" ht="13">
      <c r="B74" s="516" t="s">
        <v>79</v>
      </c>
      <c r="C74" s="516"/>
      <c r="D74" s="517"/>
      <c r="E74" s="516"/>
      <c r="F74" s="517"/>
      <c r="G74" s="516"/>
      <c r="H74" s="516"/>
      <c r="I74" s="517"/>
      <c r="J74" s="516"/>
      <c r="K74" s="517"/>
      <c r="L74" s="520"/>
    </row>
    <row r="75" spans="2:12" ht="13">
      <c r="B75" s="516" t="s">
        <v>80</v>
      </c>
      <c r="C75" s="516"/>
      <c r="D75" s="517"/>
      <c r="E75" s="516"/>
      <c r="F75" s="517"/>
      <c r="G75" s="516"/>
      <c r="H75" s="516"/>
      <c r="I75" s="517"/>
      <c r="J75" s="516"/>
      <c r="K75" s="517"/>
      <c r="L75" s="520"/>
    </row>
    <row r="76" spans="2:12" ht="13">
      <c r="B76" s="516" t="s">
        <v>81</v>
      </c>
      <c r="C76" s="516"/>
      <c r="D76" s="517"/>
      <c r="E76" s="516"/>
      <c r="F76" s="517"/>
      <c r="G76" s="516"/>
      <c r="H76" s="516"/>
      <c r="I76" s="517"/>
      <c r="J76" s="516"/>
      <c r="K76" s="517"/>
      <c r="L76" s="520"/>
    </row>
    <row r="77" spans="2:12" ht="13">
      <c r="B77" s="516" t="s">
        <v>82</v>
      </c>
      <c r="C77" s="516"/>
      <c r="D77" s="517"/>
      <c r="E77" s="516"/>
      <c r="F77" s="517"/>
      <c r="G77" s="516"/>
      <c r="H77" s="516"/>
      <c r="I77" s="517"/>
      <c r="J77" s="516"/>
      <c r="K77" s="517"/>
      <c r="L77" s="520"/>
    </row>
    <row r="78" spans="2:12" ht="13">
      <c r="B78" s="516" t="s">
        <v>83</v>
      </c>
      <c r="C78" s="516"/>
      <c r="D78" s="517"/>
      <c r="E78" s="516"/>
      <c r="F78" s="517"/>
      <c r="G78" s="516"/>
      <c r="H78" s="516"/>
      <c r="I78" s="517"/>
      <c r="J78" s="516"/>
      <c r="K78" s="517"/>
      <c r="L78" s="520"/>
    </row>
    <row r="79" spans="2:12" ht="13">
      <c r="B79" s="516" t="s">
        <v>84</v>
      </c>
      <c r="C79" s="516"/>
      <c r="D79" s="517"/>
      <c r="E79" s="516"/>
      <c r="F79" s="517"/>
      <c r="G79" s="516"/>
      <c r="H79" s="516"/>
      <c r="I79" s="517"/>
      <c r="J79" s="516"/>
      <c r="K79" s="517"/>
      <c r="L79" s="520"/>
    </row>
    <row r="80" spans="2:12" ht="13">
      <c r="B80" s="516" t="s">
        <v>85</v>
      </c>
      <c r="C80" s="516"/>
      <c r="D80" s="517"/>
      <c r="E80" s="516"/>
      <c r="F80" s="517"/>
      <c r="G80" s="516"/>
      <c r="H80" s="516"/>
      <c r="I80" s="517"/>
      <c r="J80" s="516"/>
      <c r="K80" s="517"/>
      <c r="L80" s="520"/>
    </row>
    <row r="81" spans="2:12" ht="13">
      <c r="B81" s="516" t="s">
        <v>86</v>
      </c>
      <c r="C81" s="516"/>
      <c r="D81" s="517"/>
      <c r="E81" s="516"/>
      <c r="F81" s="517"/>
      <c r="G81" s="516"/>
      <c r="H81" s="516"/>
      <c r="I81" s="517"/>
      <c r="J81" s="516"/>
      <c r="K81" s="517"/>
      <c r="L81" s="520"/>
    </row>
    <row r="82" spans="2:12" ht="13">
      <c r="B82" s="516" t="s">
        <v>87</v>
      </c>
      <c r="C82" s="516"/>
      <c r="D82" s="517"/>
      <c r="E82" s="516"/>
      <c r="F82" s="517"/>
      <c r="G82" s="516"/>
      <c r="H82" s="516"/>
      <c r="I82" s="517"/>
      <c r="J82" s="516"/>
      <c r="K82" s="517"/>
      <c r="L82" s="520"/>
    </row>
    <row r="83" spans="2:12" ht="13">
      <c r="B83" s="516" t="s">
        <v>88</v>
      </c>
      <c r="C83" s="516"/>
      <c r="D83" s="517"/>
      <c r="E83" s="516"/>
      <c r="F83" s="517"/>
      <c r="G83" s="516"/>
      <c r="H83" s="516"/>
      <c r="I83" s="517"/>
      <c r="J83" s="516"/>
      <c r="K83" s="517"/>
      <c r="L83" s="520"/>
    </row>
    <row r="84" spans="2:12" ht="13">
      <c r="B84" s="516" t="s">
        <v>89</v>
      </c>
      <c r="C84" s="516"/>
      <c r="D84" s="517"/>
      <c r="E84" s="516"/>
      <c r="F84" s="517"/>
      <c r="G84" s="516"/>
      <c r="H84" s="516"/>
      <c r="I84" s="517"/>
      <c r="J84" s="516"/>
      <c r="K84" s="517"/>
      <c r="L84" s="520"/>
    </row>
    <row r="85" spans="2:12" ht="13">
      <c r="B85" s="516" t="s">
        <v>90</v>
      </c>
      <c r="C85" s="516"/>
      <c r="D85" s="517"/>
      <c r="E85" s="516"/>
      <c r="F85" s="517"/>
      <c r="G85" s="516"/>
      <c r="H85" s="516"/>
      <c r="I85" s="517"/>
      <c r="J85" s="516"/>
      <c r="K85" s="517"/>
      <c r="L85" s="520"/>
    </row>
    <row r="86" spans="2:12" ht="13">
      <c r="B86" s="516" t="s">
        <v>91</v>
      </c>
      <c r="C86" s="516"/>
      <c r="D86" s="517"/>
      <c r="E86" s="516"/>
      <c r="F86" s="517"/>
      <c r="G86" s="516"/>
      <c r="H86" s="516"/>
      <c r="I86" s="517"/>
      <c r="J86" s="516"/>
      <c r="K86" s="517"/>
      <c r="L86" s="520"/>
    </row>
    <row r="87" spans="2:12" ht="13">
      <c r="B87" s="516" t="s">
        <v>92</v>
      </c>
      <c r="C87" s="516"/>
      <c r="D87" s="517"/>
      <c r="E87" s="516"/>
      <c r="F87" s="517"/>
      <c r="G87" s="516"/>
      <c r="H87" s="516"/>
      <c r="I87" s="517"/>
      <c r="J87" s="516"/>
      <c r="K87" s="517"/>
      <c r="L87" s="520"/>
    </row>
    <row r="88" spans="2:12" ht="13">
      <c r="B88" s="516" t="s">
        <v>93</v>
      </c>
      <c r="C88" s="516"/>
      <c r="D88" s="517"/>
      <c r="E88" s="516"/>
      <c r="F88" s="517"/>
      <c r="G88" s="516"/>
      <c r="H88" s="516"/>
      <c r="I88" s="517"/>
      <c r="J88" s="516"/>
      <c r="K88" s="517"/>
      <c r="L88" s="520"/>
    </row>
    <row r="89" spans="2:12" ht="13">
      <c r="B89" s="516" t="s">
        <v>94</v>
      </c>
      <c r="C89" s="516"/>
      <c r="D89" s="517"/>
      <c r="E89" s="516"/>
      <c r="F89" s="517"/>
      <c r="G89" s="516"/>
      <c r="H89" s="516"/>
      <c r="I89" s="517"/>
      <c r="J89" s="516"/>
      <c r="K89" s="517"/>
      <c r="L89" s="520"/>
    </row>
    <row r="90" spans="2:12" ht="13">
      <c r="B90" s="516" t="s">
        <v>95</v>
      </c>
      <c r="C90" s="516"/>
      <c r="D90" s="517"/>
      <c r="E90" s="516"/>
      <c r="F90" s="517"/>
      <c r="G90" s="516"/>
      <c r="H90" s="516"/>
      <c r="I90" s="517"/>
      <c r="J90" s="516"/>
      <c r="K90" s="517"/>
      <c r="L90" s="520"/>
    </row>
    <row r="91" spans="2:12" ht="13">
      <c r="B91" s="516" t="s">
        <v>96</v>
      </c>
      <c r="C91" s="516"/>
      <c r="D91" s="517"/>
      <c r="E91" s="516"/>
      <c r="F91" s="517"/>
      <c r="G91" s="516"/>
      <c r="H91" s="516"/>
      <c r="I91" s="517"/>
      <c r="J91" s="516"/>
      <c r="K91" s="517"/>
      <c r="L91" s="520"/>
    </row>
    <row r="92" spans="2:12" ht="13">
      <c r="B92" s="516" t="s">
        <v>97</v>
      </c>
      <c r="C92" s="516"/>
      <c r="D92" s="517"/>
      <c r="E92" s="516"/>
      <c r="F92" s="517"/>
      <c r="G92" s="516"/>
      <c r="H92" s="516"/>
      <c r="I92" s="517"/>
      <c r="J92" s="516"/>
      <c r="K92" s="517"/>
      <c r="L92" s="520"/>
    </row>
    <row r="93" spans="2:12" ht="13">
      <c r="B93" s="516" t="s">
        <v>98</v>
      </c>
      <c r="C93" s="516"/>
      <c r="D93" s="517"/>
      <c r="E93" s="516"/>
      <c r="F93" s="517"/>
      <c r="G93" s="516"/>
      <c r="H93" s="516"/>
      <c r="I93" s="517"/>
      <c r="J93" s="516"/>
      <c r="K93" s="517"/>
      <c r="L93" s="520"/>
    </row>
    <row r="94" spans="2:12" ht="13">
      <c r="B94" s="516" t="s">
        <v>99</v>
      </c>
      <c r="C94" s="516"/>
      <c r="D94" s="517"/>
      <c r="E94" s="516"/>
      <c r="F94" s="517"/>
      <c r="G94" s="516"/>
      <c r="H94" s="516"/>
      <c r="I94" s="517"/>
      <c r="J94" s="516"/>
      <c r="K94" s="517"/>
      <c r="L94" s="520"/>
    </row>
    <row r="95" spans="2:12" ht="13">
      <c r="B95" s="516" t="s">
        <v>100</v>
      </c>
      <c r="C95" s="516"/>
      <c r="D95" s="517"/>
      <c r="E95" s="516"/>
      <c r="F95" s="517"/>
      <c r="G95" s="516"/>
      <c r="H95" s="516"/>
      <c r="I95" s="517"/>
      <c r="J95" s="516"/>
      <c r="K95" s="517"/>
      <c r="L95" s="520"/>
    </row>
    <row r="96" spans="2:12" ht="13">
      <c r="B96" s="516" t="s">
        <v>101</v>
      </c>
      <c r="C96" s="516"/>
      <c r="D96" s="517"/>
      <c r="E96" s="516"/>
      <c r="F96" s="517"/>
      <c r="G96" s="516"/>
      <c r="H96" s="516"/>
      <c r="I96" s="517"/>
      <c r="J96" s="516"/>
      <c r="K96" s="517"/>
      <c r="L96" s="520"/>
    </row>
    <row r="97" spans="2:12" ht="13">
      <c r="B97" s="516" t="s">
        <v>102</v>
      </c>
      <c r="C97" s="516"/>
      <c r="D97" s="517"/>
      <c r="E97" s="516"/>
      <c r="F97" s="517"/>
      <c r="G97" s="516"/>
      <c r="H97" s="516"/>
      <c r="I97" s="517"/>
      <c r="J97" s="516"/>
      <c r="K97" s="517"/>
      <c r="L97" s="520"/>
    </row>
    <row r="98" spans="2:12" ht="13">
      <c r="B98" s="516" t="s">
        <v>103</v>
      </c>
      <c r="C98" s="516"/>
      <c r="D98" s="517"/>
      <c r="E98" s="516"/>
      <c r="F98" s="517"/>
      <c r="G98" s="516"/>
      <c r="H98" s="516"/>
      <c r="I98" s="517"/>
      <c r="J98" s="516"/>
      <c r="K98" s="517"/>
      <c r="L98" s="520"/>
    </row>
    <row r="99" spans="2:12" ht="13">
      <c r="B99" s="516" t="s">
        <v>104</v>
      </c>
      <c r="C99" s="516"/>
      <c r="D99" s="517"/>
      <c r="E99" s="516"/>
      <c r="F99" s="517"/>
      <c r="G99" s="516"/>
      <c r="H99" s="516"/>
      <c r="I99" s="517"/>
      <c r="J99" s="516"/>
      <c r="K99" s="517"/>
      <c r="L99" s="520"/>
    </row>
    <row r="100" spans="2:12" ht="13">
      <c r="B100" s="516" t="s">
        <v>105</v>
      </c>
      <c r="C100" s="516"/>
      <c r="D100" s="517"/>
      <c r="E100" s="516"/>
      <c r="F100" s="517"/>
      <c r="G100" s="516"/>
      <c r="H100" s="516"/>
      <c r="I100" s="517"/>
      <c r="J100" s="516"/>
      <c r="K100" s="517"/>
      <c r="L100" s="520"/>
    </row>
    <row r="101" spans="2:12" ht="13">
      <c r="B101" s="516" t="s">
        <v>106</v>
      </c>
      <c r="C101" s="516"/>
      <c r="D101" s="517"/>
      <c r="E101" s="516"/>
      <c r="F101" s="517"/>
      <c r="G101" s="516"/>
      <c r="H101" s="516"/>
      <c r="I101" s="517"/>
      <c r="J101" s="516"/>
      <c r="K101" s="517"/>
      <c r="L101" s="520"/>
    </row>
    <row r="102" spans="2:12" ht="13">
      <c r="B102" s="516" t="s">
        <v>107</v>
      </c>
      <c r="C102" s="516"/>
      <c r="D102" s="517"/>
      <c r="E102" s="516"/>
      <c r="F102" s="517"/>
      <c r="G102" s="516"/>
      <c r="H102" s="516"/>
      <c r="I102" s="517"/>
      <c r="J102" s="516"/>
      <c r="K102" s="517"/>
      <c r="L102" s="520"/>
    </row>
    <row r="103" spans="2:12" ht="13">
      <c r="B103" s="516" t="s">
        <v>108</v>
      </c>
      <c r="C103" s="516"/>
      <c r="D103" s="517"/>
      <c r="E103" s="516"/>
      <c r="F103" s="517"/>
      <c r="G103" s="516"/>
      <c r="H103" s="516"/>
      <c r="I103" s="517"/>
      <c r="J103" s="516"/>
      <c r="K103" s="517"/>
      <c r="L103" s="520"/>
    </row>
    <row r="104" spans="2:12" ht="13">
      <c r="B104" s="516" t="s">
        <v>109</v>
      </c>
      <c r="C104" s="516"/>
      <c r="D104" s="517"/>
      <c r="E104" s="516"/>
      <c r="F104" s="517"/>
      <c r="G104" s="516"/>
      <c r="H104" s="516"/>
      <c r="I104" s="517"/>
      <c r="J104" s="516"/>
      <c r="K104" s="517"/>
      <c r="L104" s="520"/>
    </row>
    <row r="105" spans="2:12" ht="13">
      <c r="B105" s="516" t="s">
        <v>110</v>
      </c>
      <c r="C105" s="516"/>
      <c r="D105" s="517"/>
      <c r="E105" s="516"/>
      <c r="F105" s="517"/>
      <c r="G105" s="516"/>
      <c r="H105" s="516"/>
      <c r="I105" s="517"/>
      <c r="J105" s="516"/>
      <c r="K105" s="517"/>
      <c r="L105" s="520"/>
    </row>
    <row r="106" spans="2:12" ht="13">
      <c r="B106" s="516" t="s">
        <v>111</v>
      </c>
      <c r="C106" s="516"/>
      <c r="D106" s="517"/>
      <c r="E106" s="516"/>
      <c r="F106" s="517"/>
      <c r="G106" s="516"/>
      <c r="H106" s="516"/>
      <c r="I106" s="517"/>
      <c r="J106" s="516"/>
      <c r="K106" s="517"/>
      <c r="L106" s="520"/>
    </row>
    <row r="107" spans="2:12" ht="13">
      <c r="B107" s="516" t="s">
        <v>112</v>
      </c>
      <c r="C107" s="516"/>
      <c r="D107" s="517"/>
      <c r="E107" s="516"/>
      <c r="F107" s="517"/>
      <c r="G107" s="516"/>
      <c r="H107" s="516"/>
      <c r="I107" s="517"/>
      <c r="J107" s="516"/>
      <c r="K107" s="517"/>
      <c r="L107" s="520"/>
    </row>
    <row r="108" spans="2:12" ht="13">
      <c r="B108" s="516" t="s">
        <v>113</v>
      </c>
      <c r="C108" s="516"/>
      <c r="D108" s="517"/>
      <c r="E108" s="516"/>
      <c r="F108" s="517"/>
      <c r="G108" s="516"/>
      <c r="H108" s="516"/>
      <c r="I108" s="517"/>
      <c r="J108" s="516"/>
      <c r="K108" s="517"/>
      <c r="L108" s="520"/>
    </row>
    <row r="109" spans="2:12" ht="13">
      <c r="B109" s="516" t="s">
        <v>114</v>
      </c>
      <c r="C109" s="516"/>
      <c r="D109" s="517"/>
      <c r="E109" s="516"/>
      <c r="F109" s="517"/>
      <c r="G109" s="516"/>
      <c r="H109" s="516"/>
      <c r="I109" s="517"/>
      <c r="J109" s="516"/>
      <c r="K109" s="517"/>
      <c r="L109" s="520"/>
    </row>
    <row r="110" spans="2:12" ht="13">
      <c r="B110" s="516" t="s">
        <v>115</v>
      </c>
      <c r="C110" s="516"/>
      <c r="D110" s="517"/>
      <c r="E110" s="516"/>
      <c r="F110" s="517"/>
      <c r="G110" s="516"/>
      <c r="H110" s="516"/>
      <c r="I110" s="517"/>
      <c r="J110" s="516"/>
      <c r="K110" s="517"/>
      <c r="L110" s="520"/>
    </row>
    <row r="111" spans="2:12" ht="13">
      <c r="B111" s="516" t="s">
        <v>116</v>
      </c>
      <c r="C111" s="516"/>
      <c r="D111" s="517"/>
      <c r="E111" s="516"/>
      <c r="F111" s="517"/>
      <c r="G111" s="516"/>
      <c r="H111" s="516"/>
      <c r="I111" s="517"/>
      <c r="J111" s="516"/>
      <c r="K111" s="517"/>
      <c r="L111" s="520"/>
    </row>
    <row r="112" spans="2:12" ht="13">
      <c r="B112" s="516" t="s">
        <v>117</v>
      </c>
      <c r="C112" s="516"/>
      <c r="D112" s="517"/>
      <c r="E112" s="516"/>
      <c r="F112" s="517"/>
      <c r="G112" s="516"/>
      <c r="H112" s="516"/>
      <c r="I112" s="517"/>
      <c r="J112" s="516"/>
      <c r="K112" s="517"/>
      <c r="L112" s="520"/>
    </row>
    <row r="113" spans="2:12" ht="13">
      <c r="B113" s="516" t="s">
        <v>118</v>
      </c>
      <c r="C113" s="516"/>
      <c r="D113" s="517"/>
      <c r="E113" s="516"/>
      <c r="F113" s="517"/>
      <c r="G113" s="516"/>
      <c r="H113" s="516"/>
      <c r="I113" s="517"/>
      <c r="J113" s="516"/>
      <c r="K113" s="517"/>
      <c r="L113" s="520"/>
    </row>
    <row r="114" spans="2:12" ht="13">
      <c r="B114" s="516" t="s">
        <v>119</v>
      </c>
      <c r="C114" s="516"/>
      <c r="D114" s="517"/>
      <c r="E114" s="516"/>
      <c r="F114" s="517"/>
      <c r="G114" s="516"/>
      <c r="H114" s="516"/>
      <c r="I114" s="517"/>
      <c r="J114" s="516"/>
      <c r="K114" s="517"/>
      <c r="L114" s="520"/>
    </row>
    <row r="115" spans="2:12" ht="13">
      <c r="B115" s="516" t="s">
        <v>120</v>
      </c>
      <c r="C115" s="516"/>
      <c r="D115" s="517"/>
      <c r="E115" s="516"/>
      <c r="F115" s="517"/>
      <c r="G115" s="516"/>
      <c r="H115" s="516"/>
      <c r="I115" s="517"/>
      <c r="J115" s="516"/>
      <c r="K115" s="517"/>
      <c r="L115" s="520"/>
    </row>
    <row r="116" spans="2:12" ht="13">
      <c r="B116" s="516" t="s">
        <v>121</v>
      </c>
      <c r="C116" s="516"/>
      <c r="D116" s="517"/>
      <c r="E116" s="516"/>
      <c r="F116" s="517"/>
      <c r="G116" s="516"/>
      <c r="H116" s="516"/>
      <c r="I116" s="517"/>
      <c r="J116" s="516"/>
      <c r="K116" s="517"/>
      <c r="L116" s="520"/>
    </row>
    <row r="117" spans="2:12" ht="13">
      <c r="B117" s="516" t="s">
        <v>122</v>
      </c>
      <c r="C117" s="516"/>
      <c r="D117" s="517"/>
      <c r="E117" s="516"/>
      <c r="F117" s="517"/>
      <c r="G117" s="516"/>
      <c r="H117" s="516"/>
      <c r="I117" s="517"/>
      <c r="J117" s="516"/>
      <c r="K117" s="517"/>
      <c r="L117" s="520"/>
    </row>
    <row r="118" spans="2:12" ht="13">
      <c r="B118" s="516" t="s">
        <v>123</v>
      </c>
      <c r="C118" s="516"/>
      <c r="D118" s="517"/>
      <c r="E118" s="516"/>
      <c r="F118" s="517"/>
      <c r="G118" s="516"/>
      <c r="H118" s="516"/>
      <c r="I118" s="517"/>
      <c r="J118" s="516"/>
      <c r="K118" s="517"/>
      <c r="L118" s="520"/>
    </row>
    <row r="119" spans="2:12" ht="13">
      <c r="B119" s="516" t="s">
        <v>124</v>
      </c>
      <c r="C119" s="516"/>
      <c r="D119" s="517"/>
      <c r="E119" s="516"/>
      <c r="F119" s="517"/>
      <c r="G119" s="516"/>
      <c r="H119" s="516"/>
      <c r="I119" s="517"/>
      <c r="J119" s="516"/>
      <c r="K119" s="517"/>
      <c r="L119" s="520"/>
    </row>
    <row r="120" spans="2:12" ht="13">
      <c r="B120" s="516" t="s">
        <v>125</v>
      </c>
      <c r="C120" s="516"/>
      <c r="D120" s="517"/>
      <c r="E120" s="516"/>
      <c r="F120" s="517"/>
      <c r="G120" s="516"/>
      <c r="H120" s="516"/>
      <c r="I120" s="517"/>
      <c r="J120" s="516"/>
      <c r="K120" s="517"/>
      <c r="L120" s="520"/>
    </row>
    <row r="121" spans="2:12" ht="13">
      <c r="B121" s="516" t="s">
        <v>126</v>
      </c>
      <c r="C121" s="516"/>
      <c r="D121" s="517"/>
      <c r="E121" s="516"/>
      <c r="F121" s="517"/>
      <c r="G121" s="516"/>
      <c r="H121" s="516"/>
      <c r="I121" s="517"/>
      <c r="J121" s="516"/>
      <c r="K121" s="517"/>
      <c r="L121" s="520"/>
    </row>
    <row r="122" spans="2:12" ht="13">
      <c r="B122" s="516" t="s">
        <v>127</v>
      </c>
      <c r="C122" s="516"/>
      <c r="D122" s="517"/>
      <c r="E122" s="516"/>
      <c r="F122" s="517"/>
      <c r="G122" s="516"/>
      <c r="H122" s="516"/>
      <c r="I122" s="517"/>
      <c r="J122" s="516"/>
      <c r="K122" s="517"/>
      <c r="L122" s="520"/>
    </row>
    <row r="123" spans="2:12" ht="13">
      <c r="B123" s="516" t="s">
        <v>128</v>
      </c>
      <c r="C123" s="516"/>
      <c r="D123" s="517"/>
      <c r="E123" s="516"/>
      <c r="F123" s="517"/>
      <c r="G123" s="516"/>
      <c r="H123" s="516"/>
      <c r="I123" s="517"/>
      <c r="J123" s="516"/>
      <c r="K123" s="517"/>
      <c r="L123" s="520"/>
    </row>
    <row r="124" spans="2:12" ht="13">
      <c r="B124" s="516" t="s">
        <v>129</v>
      </c>
      <c r="C124" s="516"/>
      <c r="D124" s="517"/>
      <c r="E124" s="516" t="s">
        <v>39</v>
      </c>
      <c r="F124" s="517" t="s">
        <v>39</v>
      </c>
      <c r="G124" s="516"/>
      <c r="H124" s="516"/>
      <c r="I124" s="517"/>
      <c r="J124" s="516" t="s">
        <v>39</v>
      </c>
      <c r="K124" s="517" t="s">
        <v>39</v>
      </c>
      <c r="L124" s="520"/>
    </row>
    <row r="125" spans="2:12" ht="13">
      <c r="B125" s="516" t="s">
        <v>130</v>
      </c>
      <c r="C125" s="516"/>
      <c r="D125" s="517"/>
      <c r="E125" s="516" t="s">
        <v>39</v>
      </c>
      <c r="F125" s="517" t="s">
        <v>39</v>
      </c>
      <c r="G125" s="516"/>
      <c r="H125" s="516"/>
      <c r="I125" s="517"/>
      <c r="J125" s="516" t="s">
        <v>39</v>
      </c>
      <c r="K125" s="517" t="s">
        <v>39</v>
      </c>
      <c r="L125" s="520"/>
    </row>
    <row r="126" spans="2:12" ht="13">
      <c r="B126" s="516" t="s">
        <v>131</v>
      </c>
      <c r="C126" s="516"/>
      <c r="D126" s="517"/>
      <c r="E126" s="516" t="s">
        <v>39</v>
      </c>
      <c r="F126" s="517" t="s">
        <v>39</v>
      </c>
      <c r="G126" s="516"/>
      <c r="H126" s="516"/>
      <c r="I126" s="517"/>
      <c r="J126" s="516" t="s">
        <v>39</v>
      </c>
      <c r="K126" s="517" t="s">
        <v>39</v>
      </c>
      <c r="L126" s="520"/>
    </row>
    <row r="127" spans="2:12" ht="13">
      <c r="B127" s="516" t="s">
        <v>132</v>
      </c>
      <c r="C127" s="516"/>
      <c r="D127" s="517"/>
      <c r="E127" s="516" t="s">
        <v>39</v>
      </c>
      <c r="F127" s="517" t="s">
        <v>39</v>
      </c>
      <c r="G127" s="516"/>
      <c r="H127" s="516"/>
      <c r="I127" s="517"/>
      <c r="J127" s="516" t="s">
        <v>39</v>
      </c>
      <c r="K127" s="517" t="s">
        <v>39</v>
      </c>
      <c r="L127" s="520"/>
    </row>
    <row r="128" spans="2:12" ht="13">
      <c r="B128" s="516" t="s">
        <v>133</v>
      </c>
      <c r="C128" s="516"/>
      <c r="D128" s="517"/>
      <c r="E128" s="516" t="s">
        <v>39</v>
      </c>
      <c r="F128" s="517" t="s">
        <v>39</v>
      </c>
      <c r="G128" s="516"/>
      <c r="H128" s="516"/>
      <c r="I128" s="517"/>
      <c r="J128" s="516" t="s">
        <v>39</v>
      </c>
      <c r="K128" s="517" t="s">
        <v>39</v>
      </c>
      <c r="L128" s="520"/>
    </row>
    <row r="129" spans="2:12" ht="13">
      <c r="B129" s="516" t="s">
        <v>134</v>
      </c>
      <c r="C129" s="516"/>
      <c r="D129" s="517"/>
      <c r="E129" s="516" t="s">
        <v>39</v>
      </c>
      <c r="F129" s="517" t="s">
        <v>39</v>
      </c>
      <c r="G129" s="516"/>
      <c r="H129" s="516"/>
      <c r="I129" s="517"/>
      <c r="J129" s="516" t="s">
        <v>39</v>
      </c>
      <c r="K129" s="517" t="s">
        <v>39</v>
      </c>
      <c r="L129" s="520"/>
    </row>
    <row r="130" spans="2:12" ht="13">
      <c r="B130" s="516" t="s">
        <v>135</v>
      </c>
      <c r="C130" s="516"/>
      <c r="D130" s="517"/>
      <c r="E130" s="516" t="s">
        <v>39</v>
      </c>
      <c r="F130" s="517" t="s">
        <v>39</v>
      </c>
      <c r="G130" s="516"/>
      <c r="H130" s="516"/>
      <c r="I130" s="517"/>
      <c r="J130" s="516" t="s">
        <v>39</v>
      </c>
      <c r="K130" s="517" t="s">
        <v>39</v>
      </c>
      <c r="L130" s="520"/>
    </row>
    <row r="131" spans="2:12" ht="13">
      <c r="B131" s="516" t="s">
        <v>136</v>
      </c>
      <c r="C131" s="516"/>
      <c r="D131" s="517"/>
      <c r="E131" s="516" t="s">
        <v>39</v>
      </c>
      <c r="F131" s="517" t="s">
        <v>39</v>
      </c>
      <c r="G131" s="516"/>
      <c r="H131" s="516"/>
      <c r="I131" s="517"/>
      <c r="J131" s="516" t="s">
        <v>39</v>
      </c>
      <c r="K131" s="517" t="s">
        <v>39</v>
      </c>
      <c r="L131" s="520"/>
    </row>
    <row r="132" spans="2:12" ht="13">
      <c r="B132" s="516" t="s">
        <v>137</v>
      </c>
      <c r="C132" s="516"/>
      <c r="D132" s="517"/>
      <c r="E132" s="516" t="s">
        <v>39</v>
      </c>
      <c r="F132" s="517" t="s">
        <v>39</v>
      </c>
      <c r="G132" s="516"/>
      <c r="H132" s="516"/>
      <c r="I132" s="517"/>
      <c r="J132" s="516" t="s">
        <v>39</v>
      </c>
      <c r="K132" s="517" t="s">
        <v>39</v>
      </c>
      <c r="L132" s="520"/>
    </row>
    <row r="133" spans="2:12" ht="13">
      <c r="B133" s="516" t="s">
        <v>138</v>
      </c>
      <c r="C133" s="516"/>
      <c r="D133" s="517"/>
      <c r="E133" s="516" t="s">
        <v>39</v>
      </c>
      <c r="F133" s="517" t="s">
        <v>39</v>
      </c>
      <c r="G133" s="516"/>
      <c r="H133" s="516"/>
      <c r="I133" s="517"/>
      <c r="J133" s="516" t="s">
        <v>39</v>
      </c>
      <c r="K133" s="517" t="s">
        <v>39</v>
      </c>
      <c r="L133" s="520"/>
    </row>
    <row r="134" spans="2:12" ht="13">
      <c r="B134" s="516" t="s">
        <v>139</v>
      </c>
      <c r="C134" s="516"/>
      <c r="D134" s="517"/>
      <c r="E134" s="516" t="s">
        <v>39</v>
      </c>
      <c r="F134" s="517" t="s">
        <v>39</v>
      </c>
      <c r="G134" s="516"/>
      <c r="H134" s="516"/>
      <c r="I134" s="517"/>
      <c r="J134" s="516" t="s">
        <v>39</v>
      </c>
      <c r="K134" s="517" t="s">
        <v>39</v>
      </c>
      <c r="L134" s="520"/>
    </row>
    <row r="135" spans="2:12" ht="13">
      <c r="B135" s="516" t="s">
        <v>140</v>
      </c>
      <c r="C135" s="516"/>
      <c r="D135" s="517"/>
      <c r="E135" s="516" t="s">
        <v>39</v>
      </c>
      <c r="F135" s="517" t="s">
        <v>39</v>
      </c>
      <c r="G135" s="516"/>
      <c r="H135" s="516"/>
      <c r="I135" s="517"/>
      <c r="J135" s="516" t="s">
        <v>39</v>
      </c>
      <c r="K135" s="517" t="s">
        <v>39</v>
      </c>
      <c r="L135" s="520"/>
    </row>
    <row r="136" spans="2:12" ht="13">
      <c r="B136" s="516" t="s">
        <v>141</v>
      </c>
      <c r="C136" s="516"/>
      <c r="D136" s="517"/>
      <c r="E136" s="516" t="s">
        <v>39</v>
      </c>
      <c r="F136" s="517" t="s">
        <v>39</v>
      </c>
      <c r="G136" s="516"/>
      <c r="H136" s="516"/>
      <c r="I136" s="517"/>
      <c r="J136" s="516" t="s">
        <v>39</v>
      </c>
      <c r="K136" s="517" t="s">
        <v>39</v>
      </c>
      <c r="L136" s="520"/>
    </row>
    <row r="137" spans="2:12" ht="13">
      <c r="B137" s="516" t="s">
        <v>142</v>
      </c>
      <c r="C137" s="516"/>
      <c r="D137" s="517"/>
      <c r="E137" s="516" t="s">
        <v>39</v>
      </c>
      <c r="F137" s="517" t="s">
        <v>39</v>
      </c>
      <c r="G137" s="516"/>
      <c r="H137" s="516"/>
      <c r="I137" s="517"/>
      <c r="J137" s="516" t="s">
        <v>39</v>
      </c>
      <c r="K137" s="517" t="s">
        <v>39</v>
      </c>
      <c r="L137" s="520"/>
    </row>
    <row r="138" spans="2:12" ht="13">
      <c r="B138" s="516" t="s">
        <v>143</v>
      </c>
      <c r="C138" s="516"/>
      <c r="D138" s="517"/>
      <c r="E138" s="516" t="s">
        <v>39</v>
      </c>
      <c r="F138" s="517" t="s">
        <v>39</v>
      </c>
      <c r="G138" s="516"/>
      <c r="H138" s="516"/>
      <c r="I138" s="517"/>
      <c r="J138" s="516" t="s">
        <v>39</v>
      </c>
      <c r="K138" s="517" t="s">
        <v>39</v>
      </c>
      <c r="L138" s="520"/>
    </row>
    <row r="139" spans="2:12" ht="13">
      <c r="B139" s="516" t="s">
        <v>144</v>
      </c>
      <c r="C139" s="516"/>
      <c r="D139" s="517"/>
      <c r="E139" s="516" t="s">
        <v>39</v>
      </c>
      <c r="F139" s="517" t="s">
        <v>39</v>
      </c>
      <c r="G139" s="516"/>
      <c r="H139" s="516"/>
      <c r="I139" s="517"/>
      <c r="J139" s="516" t="s">
        <v>39</v>
      </c>
      <c r="K139" s="517" t="s">
        <v>39</v>
      </c>
      <c r="L139" s="520"/>
    </row>
    <row r="140" spans="2:12" ht="13">
      <c r="B140" s="518" t="s">
        <v>145</v>
      </c>
      <c r="C140" s="518"/>
      <c r="D140" s="519"/>
      <c r="E140" s="518" t="s">
        <v>39</v>
      </c>
      <c r="F140" s="519" t="s">
        <v>39</v>
      </c>
      <c r="G140" s="518"/>
      <c r="H140" s="518"/>
      <c r="I140" s="519"/>
      <c r="J140" s="518" t="s">
        <v>39</v>
      </c>
      <c r="K140" s="519" t="s">
        <v>39</v>
      </c>
      <c r="L140" s="521"/>
    </row>
    <row r="141" spans="2:12" ht="13">
      <c r="B141" s="518" t="s">
        <v>146</v>
      </c>
      <c r="C141" s="518"/>
      <c r="D141" s="519"/>
      <c r="E141" s="518" t="s">
        <v>39</v>
      </c>
      <c r="F141" s="519" t="s">
        <v>39</v>
      </c>
      <c r="G141" s="518"/>
      <c r="H141" s="518"/>
      <c r="I141" s="519"/>
      <c r="J141" s="518" t="s">
        <v>39</v>
      </c>
      <c r="K141" s="519" t="s">
        <v>39</v>
      </c>
      <c r="L141" s="521"/>
    </row>
    <row r="142" spans="2:12" ht="13">
      <c r="B142" s="518" t="s">
        <v>147</v>
      </c>
      <c r="C142" s="518"/>
      <c r="D142" s="519"/>
      <c r="E142" s="518" t="s">
        <v>39</v>
      </c>
      <c r="F142" s="519" t="s">
        <v>39</v>
      </c>
      <c r="G142" s="518"/>
      <c r="H142" s="518"/>
      <c r="I142" s="519"/>
      <c r="J142" s="518" t="s">
        <v>39</v>
      </c>
      <c r="K142" s="519" t="s">
        <v>39</v>
      </c>
      <c r="L142" s="521"/>
    </row>
    <row r="143" spans="2:12" ht="13">
      <c r="B143" s="518" t="s">
        <v>148</v>
      </c>
      <c r="C143" s="518"/>
      <c r="D143" s="519"/>
      <c r="E143" s="518" t="s">
        <v>39</v>
      </c>
      <c r="F143" s="519" t="s">
        <v>39</v>
      </c>
      <c r="G143" s="518"/>
      <c r="H143" s="518"/>
      <c r="I143" s="519"/>
      <c r="J143" s="518" t="s">
        <v>39</v>
      </c>
      <c r="K143" s="519" t="s">
        <v>39</v>
      </c>
      <c r="L143" s="521"/>
    </row>
    <row r="144" spans="2:12" ht="13">
      <c r="B144" s="518" t="s">
        <v>149</v>
      </c>
      <c r="C144" s="518"/>
      <c r="D144" s="519"/>
      <c r="E144" s="518" t="s">
        <v>39</v>
      </c>
      <c r="F144" s="519" t="s">
        <v>39</v>
      </c>
      <c r="G144" s="518"/>
      <c r="H144" s="518"/>
      <c r="I144" s="519"/>
      <c r="J144" s="518" t="s">
        <v>39</v>
      </c>
      <c r="K144" s="519" t="s">
        <v>39</v>
      </c>
      <c r="L144" s="521"/>
    </row>
    <row r="145" spans="2:12" ht="13">
      <c r="B145" s="522" t="s">
        <v>150</v>
      </c>
      <c r="C145" s="522" t="s">
        <v>151</v>
      </c>
      <c r="D145" s="523">
        <v>21</v>
      </c>
      <c r="E145" s="522" t="s">
        <v>151</v>
      </c>
      <c r="F145" s="523">
        <v>21</v>
      </c>
      <c r="G145" s="522" t="s">
        <v>152</v>
      </c>
      <c r="H145" s="522" t="s">
        <v>151</v>
      </c>
      <c r="I145" s="523" t="s">
        <v>151</v>
      </c>
      <c r="J145" s="522" t="s">
        <v>151</v>
      </c>
      <c r="K145" s="523" t="s">
        <v>151</v>
      </c>
      <c r="L145" s="524" t="s">
        <v>152</v>
      </c>
    </row>
    <row r="146" spans="2:12" ht="13">
      <c r="D146" s="15"/>
      <c r="F146" s="15"/>
      <c r="I146" s="15"/>
      <c r="K146" s="15"/>
    </row>
    <row r="147" spans="2:12" ht="13">
      <c r="D147" s="15"/>
      <c r="F147" s="15"/>
      <c r="I147" s="15"/>
      <c r="K147" s="15"/>
    </row>
    <row r="148" spans="2:12" ht="13">
      <c r="D148" s="15"/>
      <c r="F148" s="15"/>
      <c r="I148" s="15"/>
      <c r="K148" s="15"/>
    </row>
    <row r="149" spans="2:12" ht="13">
      <c r="D149" s="15"/>
      <c r="F149" s="15"/>
      <c r="I149" s="15"/>
      <c r="K149" s="15"/>
    </row>
    <row r="150" spans="2:12" ht="13">
      <c r="D150" s="15"/>
      <c r="F150" s="15"/>
      <c r="I150" s="15"/>
      <c r="K150" s="15"/>
    </row>
    <row r="151" spans="2:12" ht="13">
      <c r="D151" s="15"/>
      <c r="F151" s="15"/>
      <c r="I151" s="15"/>
      <c r="K151" s="15"/>
    </row>
    <row r="152" spans="2:12" ht="13">
      <c r="D152" s="15"/>
      <c r="F152" s="15"/>
      <c r="I152" s="15"/>
      <c r="K152" s="15"/>
    </row>
    <row r="153" spans="2:12" ht="13">
      <c r="D153" s="15"/>
      <c r="F153" s="15"/>
      <c r="I153" s="15"/>
      <c r="K153" s="15"/>
    </row>
    <row r="154" spans="2:12" ht="13">
      <c r="D154" s="15"/>
      <c r="F154" s="15"/>
      <c r="I154" s="15"/>
      <c r="K154" s="15"/>
    </row>
    <row r="155" spans="2:12" ht="13">
      <c r="D155" s="15"/>
      <c r="F155" s="15"/>
      <c r="I155" s="15"/>
      <c r="K155" s="15"/>
    </row>
    <row r="156" spans="2:12" ht="13">
      <c r="D156" s="15"/>
      <c r="F156" s="15"/>
      <c r="I156" s="15"/>
      <c r="K156" s="15"/>
    </row>
    <row r="157" spans="2:12" ht="13">
      <c r="D157" s="15"/>
      <c r="F157" s="15"/>
      <c r="I157" s="15"/>
      <c r="K157" s="15"/>
    </row>
    <row r="158" spans="2:12" ht="13">
      <c r="D158" s="15"/>
      <c r="F158" s="15"/>
      <c r="I158" s="15"/>
      <c r="K158" s="15"/>
    </row>
    <row r="159" spans="2:12" ht="13">
      <c r="D159" s="15"/>
      <c r="F159" s="15"/>
      <c r="I159" s="15"/>
      <c r="K159" s="15"/>
    </row>
    <row r="160" spans="2:12" ht="13">
      <c r="D160" s="15"/>
      <c r="F160" s="15"/>
      <c r="I160" s="15"/>
      <c r="K160" s="15"/>
    </row>
    <row r="161" spans="4:11" ht="13">
      <c r="D161" s="15"/>
      <c r="F161" s="15"/>
      <c r="I161" s="15"/>
      <c r="K161" s="15"/>
    </row>
    <row r="162" spans="4:11" ht="13">
      <c r="D162" s="15"/>
      <c r="F162" s="15"/>
      <c r="I162" s="15"/>
      <c r="K162" s="15"/>
    </row>
    <row r="163" spans="4:11" ht="13">
      <c r="D163" s="15"/>
      <c r="F163" s="15"/>
      <c r="I163" s="15"/>
      <c r="K163" s="15"/>
    </row>
    <row r="164" spans="4:11" ht="13">
      <c r="D164" s="15"/>
      <c r="F164" s="15"/>
      <c r="I164" s="15"/>
      <c r="K164" s="15"/>
    </row>
    <row r="165" spans="4:11" ht="13">
      <c r="D165" s="15"/>
      <c r="F165" s="15"/>
      <c r="I165" s="15"/>
      <c r="K165" s="15"/>
    </row>
    <row r="166" spans="4:11" ht="13">
      <c r="D166" s="15"/>
      <c r="F166" s="15"/>
      <c r="I166" s="15"/>
      <c r="K166" s="15"/>
    </row>
    <row r="167" spans="4:11" ht="13">
      <c r="D167" s="15"/>
      <c r="F167" s="15"/>
      <c r="I167" s="15"/>
      <c r="K167" s="15"/>
    </row>
    <row r="168" spans="4:11" ht="13">
      <c r="D168" s="15"/>
      <c r="F168" s="15"/>
      <c r="I168" s="15"/>
      <c r="K168" s="15"/>
    </row>
    <row r="169" spans="4:11" ht="13">
      <c r="D169" s="15"/>
      <c r="F169" s="15"/>
      <c r="I169" s="15"/>
      <c r="K169" s="15"/>
    </row>
    <row r="170" spans="4:11" ht="13">
      <c r="D170" s="15"/>
      <c r="F170" s="15"/>
      <c r="I170" s="15"/>
      <c r="K170" s="15"/>
    </row>
    <row r="171" spans="4:11" ht="13">
      <c r="D171" s="15"/>
      <c r="F171" s="15"/>
      <c r="I171" s="15"/>
      <c r="K171" s="15"/>
    </row>
    <row r="172" spans="4:11" ht="13">
      <c r="D172" s="15"/>
      <c r="F172" s="15"/>
      <c r="I172" s="15"/>
      <c r="K172" s="15"/>
    </row>
    <row r="173" spans="4:11" ht="13">
      <c r="D173" s="15"/>
      <c r="F173" s="15"/>
      <c r="I173" s="15"/>
      <c r="K173" s="15"/>
    </row>
    <row r="174" spans="4:11" ht="13">
      <c r="D174" s="15"/>
      <c r="F174" s="15"/>
      <c r="I174" s="15"/>
      <c r="K174" s="15"/>
    </row>
    <row r="175" spans="4:11" ht="13">
      <c r="D175" s="15"/>
      <c r="F175" s="15"/>
      <c r="I175" s="15"/>
      <c r="K175" s="15"/>
    </row>
    <row r="176" spans="4:11" ht="13">
      <c r="D176" s="15"/>
      <c r="F176" s="15"/>
      <c r="I176" s="15"/>
      <c r="K176" s="15"/>
    </row>
    <row r="177" spans="4:11" ht="13">
      <c r="D177" s="15"/>
      <c r="F177" s="15"/>
      <c r="I177" s="15"/>
      <c r="K177" s="15"/>
    </row>
    <row r="178" spans="4:11" ht="13">
      <c r="D178" s="15"/>
      <c r="F178" s="15"/>
      <c r="I178" s="15"/>
      <c r="K178" s="15"/>
    </row>
    <row r="179" spans="4:11" ht="13">
      <c r="D179" s="15"/>
      <c r="F179" s="15"/>
      <c r="I179" s="15"/>
      <c r="K179" s="15"/>
    </row>
    <row r="180" spans="4:11" ht="13">
      <c r="D180" s="15"/>
      <c r="F180" s="15"/>
      <c r="I180" s="15"/>
      <c r="K180" s="15"/>
    </row>
    <row r="181" spans="4:11" ht="13">
      <c r="D181" s="15"/>
      <c r="F181" s="15"/>
      <c r="I181" s="15"/>
      <c r="K181" s="15"/>
    </row>
    <row r="182" spans="4:11" ht="13">
      <c r="D182" s="15"/>
      <c r="F182" s="15"/>
      <c r="I182" s="15"/>
      <c r="K182" s="15"/>
    </row>
    <row r="183" spans="4:11" ht="13">
      <c r="D183" s="15"/>
      <c r="F183" s="15"/>
      <c r="I183" s="15"/>
      <c r="K183" s="15"/>
    </row>
    <row r="184" spans="4:11" ht="13">
      <c r="D184" s="15"/>
      <c r="F184" s="15"/>
      <c r="I184" s="15"/>
      <c r="K184" s="15"/>
    </row>
    <row r="185" spans="4:11" ht="13">
      <c r="D185" s="15"/>
      <c r="F185" s="15"/>
      <c r="I185" s="15"/>
      <c r="K185" s="15"/>
    </row>
    <row r="186" spans="4:11" ht="13">
      <c r="D186" s="15"/>
      <c r="F186" s="15"/>
      <c r="I186" s="15"/>
      <c r="K186" s="15"/>
    </row>
    <row r="187" spans="4:11" ht="13">
      <c r="D187" s="15"/>
      <c r="F187" s="15"/>
      <c r="I187" s="15"/>
      <c r="K187" s="15"/>
    </row>
    <row r="188" spans="4:11" ht="13">
      <c r="D188" s="15"/>
      <c r="F188" s="15"/>
      <c r="I188" s="15"/>
      <c r="K188" s="15"/>
    </row>
    <row r="189" spans="4:11" ht="13">
      <c r="D189" s="15"/>
      <c r="F189" s="15"/>
      <c r="I189" s="15"/>
      <c r="K189" s="15"/>
    </row>
    <row r="190" spans="4:11" ht="13">
      <c r="D190" s="15"/>
      <c r="F190" s="15"/>
      <c r="I190" s="15"/>
      <c r="K190" s="15"/>
    </row>
    <row r="191" spans="4:11" ht="13">
      <c r="D191" s="15"/>
      <c r="F191" s="15"/>
      <c r="I191" s="15"/>
      <c r="K191" s="15"/>
    </row>
    <row r="192" spans="4:11" ht="13">
      <c r="D192" s="15"/>
      <c r="F192" s="15"/>
      <c r="I192" s="15"/>
      <c r="K192" s="15"/>
    </row>
    <row r="193" spans="4:11" ht="13">
      <c r="D193" s="15"/>
      <c r="F193" s="15"/>
      <c r="I193" s="15"/>
      <c r="K193" s="15"/>
    </row>
    <row r="194" spans="4:11" ht="13">
      <c r="D194" s="15"/>
      <c r="F194" s="15"/>
      <c r="I194" s="15"/>
      <c r="K194" s="15"/>
    </row>
    <row r="195" spans="4:11" ht="13">
      <c r="D195" s="15"/>
      <c r="F195" s="15"/>
      <c r="I195" s="15"/>
      <c r="K195" s="15"/>
    </row>
    <row r="196" spans="4:11" ht="13">
      <c r="D196" s="15"/>
      <c r="F196" s="15"/>
      <c r="I196" s="15"/>
      <c r="K196" s="15"/>
    </row>
    <row r="197" spans="4:11" ht="13">
      <c r="D197" s="15"/>
      <c r="F197" s="15"/>
      <c r="I197" s="15"/>
      <c r="K197" s="15"/>
    </row>
    <row r="198" spans="4:11" ht="13">
      <c r="D198" s="15"/>
      <c r="F198" s="15"/>
      <c r="I198" s="15"/>
      <c r="K198" s="15"/>
    </row>
    <row r="199" spans="4:11" ht="13">
      <c r="D199" s="15"/>
      <c r="F199" s="15"/>
      <c r="I199" s="15"/>
      <c r="K199" s="15"/>
    </row>
    <row r="200" spans="4:11" ht="13">
      <c r="D200" s="15"/>
      <c r="F200" s="15"/>
      <c r="I200" s="15"/>
      <c r="K200" s="15"/>
    </row>
    <row r="201" spans="4:11" ht="13">
      <c r="D201" s="15"/>
      <c r="F201" s="15"/>
      <c r="I201" s="15"/>
      <c r="K201" s="15"/>
    </row>
    <row r="202" spans="4:11" ht="13">
      <c r="D202" s="15"/>
      <c r="F202" s="15"/>
      <c r="I202" s="15"/>
      <c r="K202" s="15"/>
    </row>
    <row r="203" spans="4:11" ht="13">
      <c r="D203" s="15"/>
      <c r="F203" s="15"/>
      <c r="I203" s="15"/>
      <c r="K203" s="15"/>
    </row>
    <row r="204" spans="4:11" ht="13">
      <c r="D204" s="15"/>
      <c r="F204" s="15"/>
      <c r="I204" s="15"/>
      <c r="K204" s="15"/>
    </row>
    <row r="205" spans="4:11" ht="13">
      <c r="D205" s="15"/>
      <c r="F205" s="15"/>
      <c r="I205" s="15"/>
      <c r="K205" s="15"/>
    </row>
    <row r="206" spans="4:11" ht="13">
      <c r="D206" s="15"/>
      <c r="F206" s="15"/>
      <c r="I206" s="15"/>
      <c r="K206" s="15"/>
    </row>
    <row r="207" spans="4:11" ht="13">
      <c r="D207" s="15"/>
      <c r="F207" s="15"/>
      <c r="I207" s="15"/>
      <c r="K207" s="15"/>
    </row>
    <row r="208" spans="4:11" ht="13">
      <c r="D208" s="15"/>
      <c r="F208" s="15"/>
      <c r="I208" s="15"/>
      <c r="K208" s="15"/>
    </row>
    <row r="209" spans="4:11" ht="13">
      <c r="D209" s="15"/>
      <c r="F209" s="15"/>
      <c r="I209" s="15"/>
      <c r="K209" s="15"/>
    </row>
    <row r="210" spans="4:11" ht="13">
      <c r="D210" s="15"/>
      <c r="F210" s="15"/>
      <c r="I210" s="15"/>
      <c r="K210" s="15"/>
    </row>
    <row r="211" spans="4:11" ht="13">
      <c r="D211" s="15"/>
      <c r="F211" s="15"/>
      <c r="I211" s="15"/>
      <c r="K211" s="15"/>
    </row>
    <row r="212" spans="4:11" ht="13">
      <c r="D212" s="15"/>
      <c r="F212" s="15"/>
      <c r="I212" s="15"/>
      <c r="K212" s="15"/>
    </row>
    <row r="213" spans="4:11" ht="13">
      <c r="D213" s="15"/>
      <c r="F213" s="15"/>
      <c r="I213" s="15"/>
      <c r="K213" s="15"/>
    </row>
    <row r="214" spans="4:11" ht="13">
      <c r="D214" s="15"/>
      <c r="F214" s="15"/>
      <c r="I214" s="15"/>
      <c r="K214" s="15"/>
    </row>
    <row r="215" spans="4:11" ht="13">
      <c r="D215" s="15"/>
      <c r="F215" s="15"/>
      <c r="I215" s="15"/>
      <c r="K215" s="15"/>
    </row>
    <row r="216" spans="4:11" ht="13">
      <c r="D216" s="15"/>
      <c r="F216" s="15"/>
      <c r="I216" s="15"/>
      <c r="K216" s="15"/>
    </row>
    <row r="217" spans="4:11" ht="13">
      <c r="D217" s="15"/>
      <c r="F217" s="15"/>
      <c r="I217" s="15"/>
      <c r="K217" s="15"/>
    </row>
    <row r="218" spans="4:11" ht="13">
      <c r="D218" s="15"/>
      <c r="F218" s="15"/>
      <c r="I218" s="15"/>
      <c r="K218" s="15"/>
    </row>
    <row r="219" spans="4:11" ht="13">
      <c r="D219" s="15"/>
      <c r="F219" s="15"/>
      <c r="I219" s="15"/>
      <c r="K219" s="15"/>
    </row>
    <row r="220" spans="4:11" ht="13">
      <c r="D220" s="15"/>
      <c r="F220" s="15"/>
      <c r="I220" s="15"/>
      <c r="K220" s="15"/>
    </row>
    <row r="221" spans="4:11" ht="13">
      <c r="D221" s="15"/>
      <c r="F221" s="15"/>
      <c r="I221" s="15"/>
      <c r="K221" s="15"/>
    </row>
    <row r="222" spans="4:11" ht="13">
      <c r="D222" s="15"/>
      <c r="F222" s="15"/>
      <c r="I222" s="15"/>
      <c r="K222" s="15"/>
    </row>
    <row r="223" spans="4:11" ht="13">
      <c r="D223" s="15"/>
      <c r="F223" s="15"/>
      <c r="I223" s="15"/>
      <c r="K223" s="15"/>
    </row>
    <row r="224" spans="4:11" ht="13">
      <c r="D224" s="15"/>
      <c r="F224" s="15"/>
      <c r="I224" s="15"/>
      <c r="K224" s="15"/>
    </row>
    <row r="225" spans="4:11" ht="13">
      <c r="D225" s="15"/>
      <c r="F225" s="15"/>
      <c r="I225" s="15"/>
      <c r="K225" s="15"/>
    </row>
    <row r="226" spans="4:11" ht="13">
      <c r="D226" s="15"/>
      <c r="F226" s="15"/>
      <c r="I226" s="15"/>
      <c r="K226" s="15"/>
    </row>
    <row r="227" spans="4:11" ht="13">
      <c r="D227" s="15"/>
      <c r="F227" s="15"/>
      <c r="I227" s="15"/>
      <c r="K227" s="15"/>
    </row>
    <row r="228" spans="4:11" ht="13">
      <c r="D228" s="15"/>
      <c r="F228" s="15"/>
      <c r="I228" s="15"/>
      <c r="K228" s="15"/>
    </row>
    <row r="229" spans="4:11" ht="13">
      <c r="D229" s="15"/>
      <c r="F229" s="15"/>
      <c r="I229" s="15"/>
      <c r="K229" s="15"/>
    </row>
    <row r="230" spans="4:11" ht="13">
      <c r="D230" s="15"/>
      <c r="F230" s="15"/>
      <c r="I230" s="15"/>
      <c r="K230" s="15"/>
    </row>
    <row r="231" spans="4:11" ht="13">
      <c r="D231" s="15"/>
      <c r="F231" s="15"/>
      <c r="I231" s="15"/>
      <c r="K231" s="15"/>
    </row>
    <row r="232" spans="4:11" ht="13">
      <c r="D232" s="15"/>
      <c r="F232" s="15"/>
      <c r="I232" s="15"/>
      <c r="K232" s="15"/>
    </row>
    <row r="233" spans="4:11" ht="13">
      <c r="D233" s="15"/>
      <c r="F233" s="15"/>
      <c r="I233" s="15"/>
      <c r="K233" s="15"/>
    </row>
    <row r="234" spans="4:11" ht="13">
      <c r="D234" s="15"/>
      <c r="F234" s="15"/>
      <c r="I234" s="15"/>
      <c r="K234" s="15"/>
    </row>
    <row r="235" spans="4:11" ht="13">
      <c r="D235" s="15"/>
      <c r="F235" s="15"/>
      <c r="I235" s="15"/>
      <c r="K235" s="15"/>
    </row>
    <row r="236" spans="4:11" ht="13">
      <c r="D236" s="15"/>
      <c r="F236" s="15"/>
      <c r="I236" s="15"/>
      <c r="K236" s="15"/>
    </row>
    <row r="237" spans="4:11" ht="13">
      <c r="D237" s="15"/>
      <c r="F237" s="15"/>
      <c r="I237" s="15"/>
      <c r="K237" s="15"/>
    </row>
    <row r="238" spans="4:11" ht="13">
      <c r="D238" s="15"/>
      <c r="F238" s="15"/>
      <c r="I238" s="15"/>
      <c r="K238" s="15"/>
    </row>
    <row r="239" spans="4:11" ht="13">
      <c r="D239" s="15"/>
      <c r="F239" s="15"/>
      <c r="I239" s="15"/>
      <c r="K239" s="15"/>
    </row>
    <row r="240" spans="4:11" ht="13">
      <c r="D240" s="15"/>
      <c r="F240" s="15"/>
      <c r="I240" s="15"/>
      <c r="K240" s="15"/>
    </row>
    <row r="241" spans="4:11" ht="13">
      <c r="D241" s="15"/>
      <c r="F241" s="15"/>
      <c r="I241" s="15"/>
      <c r="K241" s="15"/>
    </row>
    <row r="242" spans="4:11" ht="13">
      <c r="D242" s="15"/>
      <c r="F242" s="15"/>
      <c r="I242" s="15"/>
      <c r="K242" s="15"/>
    </row>
    <row r="243" spans="4:11" ht="13">
      <c r="D243" s="15"/>
      <c r="F243" s="15"/>
      <c r="I243" s="15"/>
      <c r="K243" s="15"/>
    </row>
    <row r="244" spans="4:11" ht="13">
      <c r="D244" s="15"/>
      <c r="F244" s="15"/>
      <c r="I244" s="15"/>
      <c r="K244" s="15"/>
    </row>
    <row r="245" spans="4:11" ht="13">
      <c r="D245" s="15"/>
      <c r="F245" s="15"/>
      <c r="I245" s="15"/>
      <c r="K245" s="15"/>
    </row>
    <row r="246" spans="4:11" ht="13">
      <c r="D246" s="15"/>
      <c r="F246" s="15"/>
      <c r="I246" s="15"/>
      <c r="K246" s="15"/>
    </row>
    <row r="247" spans="4:11" ht="13">
      <c r="D247" s="15"/>
      <c r="F247" s="15"/>
      <c r="I247" s="15"/>
      <c r="K247" s="15"/>
    </row>
    <row r="248" spans="4:11" ht="13">
      <c r="D248" s="15"/>
      <c r="F248" s="15"/>
      <c r="I248" s="15"/>
      <c r="K248" s="15"/>
    </row>
    <row r="249" spans="4:11" ht="13">
      <c r="D249" s="15"/>
      <c r="F249" s="15"/>
      <c r="I249" s="15"/>
      <c r="K249" s="15"/>
    </row>
    <row r="250" spans="4:11" ht="13">
      <c r="D250" s="15"/>
      <c r="F250" s="15"/>
      <c r="I250" s="15"/>
      <c r="K250" s="15"/>
    </row>
    <row r="251" spans="4:11" ht="13">
      <c r="D251" s="15"/>
      <c r="F251" s="15"/>
      <c r="I251" s="15"/>
      <c r="K251" s="15"/>
    </row>
    <row r="252" spans="4:11" ht="13">
      <c r="D252" s="15"/>
      <c r="F252" s="15"/>
      <c r="I252" s="15"/>
      <c r="K252" s="15"/>
    </row>
    <row r="253" spans="4:11" ht="13">
      <c r="D253" s="15"/>
      <c r="F253" s="15"/>
      <c r="I253" s="15"/>
      <c r="K253" s="15"/>
    </row>
    <row r="254" spans="4:11" ht="13">
      <c r="D254" s="15"/>
      <c r="F254" s="15"/>
      <c r="I254" s="15"/>
      <c r="K254" s="15"/>
    </row>
    <row r="255" spans="4:11" ht="13">
      <c r="D255" s="15"/>
      <c r="F255" s="15"/>
      <c r="I255" s="15"/>
      <c r="K255" s="15"/>
    </row>
    <row r="256" spans="4:11" ht="13">
      <c r="D256" s="15"/>
      <c r="F256" s="15"/>
      <c r="I256" s="15"/>
      <c r="K256" s="15"/>
    </row>
    <row r="257" spans="4:11" ht="13">
      <c r="D257" s="15"/>
      <c r="F257" s="15"/>
      <c r="I257" s="15"/>
      <c r="K257" s="15"/>
    </row>
    <row r="258" spans="4:11" ht="13">
      <c r="D258" s="15"/>
      <c r="F258" s="15"/>
      <c r="I258" s="15"/>
      <c r="K258" s="15"/>
    </row>
    <row r="259" spans="4:11" ht="13">
      <c r="D259" s="15"/>
      <c r="F259" s="15"/>
      <c r="I259" s="15"/>
      <c r="K259" s="15"/>
    </row>
    <row r="260" spans="4:11" ht="13">
      <c r="D260" s="15"/>
      <c r="F260" s="15"/>
      <c r="I260" s="15"/>
      <c r="K260" s="15"/>
    </row>
    <row r="261" spans="4:11" ht="13">
      <c r="D261" s="15"/>
      <c r="F261" s="15"/>
      <c r="I261" s="15"/>
      <c r="K261" s="15"/>
    </row>
    <row r="262" spans="4:11" ht="13">
      <c r="D262" s="15"/>
      <c r="F262" s="15"/>
      <c r="I262" s="15"/>
      <c r="K262" s="15"/>
    </row>
    <row r="263" spans="4:11" ht="13">
      <c r="D263" s="15"/>
      <c r="F263" s="15"/>
      <c r="I263" s="15"/>
      <c r="K263" s="15"/>
    </row>
    <row r="264" spans="4:11" ht="13">
      <c r="D264" s="15"/>
      <c r="F264" s="15"/>
      <c r="I264" s="15"/>
      <c r="K264" s="15"/>
    </row>
    <row r="265" spans="4:11" ht="13">
      <c r="D265" s="15"/>
      <c r="F265" s="15"/>
      <c r="I265" s="15"/>
      <c r="K265" s="15"/>
    </row>
    <row r="266" spans="4:11" ht="13">
      <c r="D266" s="15"/>
      <c r="F266" s="15"/>
      <c r="I266" s="15"/>
      <c r="K266" s="15"/>
    </row>
    <row r="267" spans="4:11" ht="13">
      <c r="D267" s="15"/>
      <c r="F267" s="15"/>
      <c r="I267" s="15"/>
      <c r="K267" s="15"/>
    </row>
    <row r="268" spans="4:11" ht="13">
      <c r="D268" s="15"/>
      <c r="F268" s="15"/>
      <c r="I268" s="15"/>
      <c r="K268" s="15"/>
    </row>
    <row r="269" spans="4:11" ht="13">
      <c r="D269" s="15"/>
      <c r="F269" s="15"/>
      <c r="I269" s="15"/>
      <c r="K269" s="15"/>
    </row>
    <row r="270" spans="4:11" ht="13">
      <c r="D270" s="15"/>
      <c r="F270" s="15"/>
      <c r="I270" s="15"/>
      <c r="K270" s="15"/>
    </row>
    <row r="271" spans="4:11" ht="13">
      <c r="D271" s="15"/>
      <c r="F271" s="15"/>
      <c r="I271" s="15"/>
      <c r="K271" s="15"/>
    </row>
    <row r="272" spans="4:11" ht="13">
      <c r="D272" s="15"/>
      <c r="F272" s="15"/>
      <c r="I272" s="15"/>
      <c r="K272" s="15"/>
    </row>
    <row r="273" spans="4:11" ht="13">
      <c r="D273" s="15"/>
      <c r="F273" s="15"/>
      <c r="I273" s="15"/>
      <c r="K273" s="15"/>
    </row>
    <row r="274" spans="4:11" ht="13">
      <c r="D274" s="15"/>
      <c r="F274" s="15"/>
      <c r="I274" s="15"/>
      <c r="K274" s="15"/>
    </row>
    <row r="275" spans="4:11" ht="13">
      <c r="D275" s="15"/>
      <c r="F275" s="15"/>
      <c r="I275" s="15"/>
      <c r="K275" s="15"/>
    </row>
    <row r="276" spans="4:11" ht="13">
      <c r="D276" s="15"/>
      <c r="F276" s="15"/>
      <c r="I276" s="15"/>
      <c r="K276" s="15"/>
    </row>
    <row r="277" spans="4:11" ht="13">
      <c r="D277" s="15"/>
      <c r="F277" s="15"/>
      <c r="I277" s="15"/>
      <c r="K277" s="15"/>
    </row>
    <row r="278" spans="4:11" ht="13">
      <c r="D278" s="15"/>
      <c r="F278" s="15"/>
      <c r="I278" s="15"/>
      <c r="K278" s="15"/>
    </row>
    <row r="279" spans="4:11" ht="13">
      <c r="D279" s="15"/>
      <c r="F279" s="15"/>
      <c r="I279" s="15"/>
      <c r="K279" s="15"/>
    </row>
    <row r="280" spans="4:11" ht="13">
      <c r="D280" s="15"/>
      <c r="F280" s="15"/>
      <c r="I280" s="15"/>
      <c r="K280" s="15"/>
    </row>
    <row r="281" spans="4:11" ht="13">
      <c r="D281" s="15"/>
      <c r="F281" s="15"/>
      <c r="I281" s="15"/>
      <c r="K281" s="15"/>
    </row>
    <row r="282" spans="4:11" ht="13">
      <c r="D282" s="15"/>
      <c r="F282" s="15"/>
      <c r="I282" s="15"/>
      <c r="K282" s="15"/>
    </row>
    <row r="283" spans="4:11" ht="13">
      <c r="D283" s="15"/>
      <c r="F283" s="15"/>
      <c r="I283" s="15"/>
      <c r="K283" s="15"/>
    </row>
    <row r="284" spans="4:11" ht="13">
      <c r="D284" s="15"/>
      <c r="F284" s="15"/>
      <c r="I284" s="15"/>
      <c r="K284" s="15"/>
    </row>
    <row r="285" spans="4:11" ht="13">
      <c r="D285" s="15"/>
      <c r="F285" s="15"/>
      <c r="I285" s="15"/>
      <c r="K285" s="15"/>
    </row>
    <row r="286" spans="4:11" ht="13">
      <c r="D286" s="15"/>
      <c r="F286" s="15"/>
      <c r="I286" s="15"/>
      <c r="K286" s="15"/>
    </row>
    <row r="287" spans="4:11" ht="13">
      <c r="D287" s="15"/>
      <c r="F287" s="15"/>
      <c r="I287" s="15"/>
      <c r="K287" s="15"/>
    </row>
    <row r="288" spans="4:11" ht="13">
      <c r="D288" s="15"/>
      <c r="F288" s="15"/>
      <c r="I288" s="15"/>
      <c r="K288" s="15"/>
    </row>
    <row r="289" spans="4:11" ht="13">
      <c r="D289" s="15"/>
      <c r="F289" s="15"/>
      <c r="I289" s="15"/>
      <c r="K289" s="15"/>
    </row>
    <row r="290" spans="4:11" ht="13">
      <c r="D290" s="15"/>
      <c r="F290" s="15"/>
      <c r="I290" s="15"/>
      <c r="K290" s="15"/>
    </row>
    <row r="291" spans="4:11" ht="13">
      <c r="D291" s="15"/>
      <c r="F291" s="15"/>
      <c r="I291" s="15"/>
      <c r="K291" s="15"/>
    </row>
    <row r="292" spans="4:11" ht="13">
      <c r="D292" s="15"/>
      <c r="F292" s="15"/>
      <c r="I292" s="15"/>
      <c r="K292" s="15"/>
    </row>
    <row r="293" spans="4:11" ht="13">
      <c r="D293" s="15"/>
      <c r="F293" s="15"/>
      <c r="I293" s="15"/>
      <c r="K293" s="15"/>
    </row>
    <row r="294" spans="4:11" ht="13">
      <c r="D294" s="15"/>
      <c r="F294" s="15"/>
      <c r="I294" s="15"/>
      <c r="K294" s="15"/>
    </row>
    <row r="295" spans="4:11" ht="13">
      <c r="D295" s="15"/>
      <c r="F295" s="15"/>
      <c r="I295" s="15"/>
      <c r="K295" s="15"/>
    </row>
    <row r="296" spans="4:11" ht="13">
      <c r="D296" s="15"/>
      <c r="F296" s="15"/>
      <c r="I296" s="15"/>
      <c r="K296" s="15"/>
    </row>
    <row r="297" spans="4:11" ht="13">
      <c r="D297" s="15"/>
      <c r="F297" s="15"/>
      <c r="I297" s="15"/>
      <c r="K297" s="15"/>
    </row>
    <row r="298" spans="4:11" ht="13">
      <c r="D298" s="15"/>
      <c r="F298" s="15"/>
      <c r="I298" s="15"/>
      <c r="K298" s="15"/>
    </row>
    <row r="299" spans="4:11" ht="13">
      <c r="D299" s="15"/>
      <c r="F299" s="15"/>
      <c r="I299" s="15"/>
      <c r="K299" s="15"/>
    </row>
    <row r="300" spans="4:11" ht="13">
      <c r="D300" s="15"/>
      <c r="F300" s="15"/>
      <c r="I300" s="15"/>
      <c r="K300" s="15"/>
    </row>
    <row r="301" spans="4:11" ht="13">
      <c r="D301" s="15"/>
      <c r="F301" s="15"/>
      <c r="I301" s="15"/>
      <c r="K301" s="15"/>
    </row>
    <row r="302" spans="4:11" ht="13">
      <c r="D302" s="15"/>
      <c r="F302" s="15"/>
      <c r="I302" s="15"/>
      <c r="K302" s="15"/>
    </row>
    <row r="303" spans="4:11" ht="13">
      <c r="D303" s="15"/>
      <c r="F303" s="15"/>
      <c r="I303" s="15"/>
      <c r="K303" s="15"/>
    </row>
    <row r="304" spans="4:11" ht="13">
      <c r="D304" s="15"/>
      <c r="F304" s="15"/>
      <c r="I304" s="15"/>
      <c r="K304" s="15"/>
    </row>
    <row r="305" spans="4:11" ht="13">
      <c r="D305" s="15"/>
      <c r="F305" s="15"/>
      <c r="I305" s="15"/>
      <c r="K305" s="15"/>
    </row>
    <row r="306" spans="4:11" ht="13">
      <c r="D306" s="15"/>
      <c r="F306" s="15"/>
      <c r="I306" s="15"/>
      <c r="K306" s="15"/>
    </row>
    <row r="307" spans="4:11" ht="13">
      <c r="D307" s="15"/>
      <c r="F307" s="15"/>
      <c r="I307" s="15"/>
      <c r="K307" s="15"/>
    </row>
    <row r="308" spans="4:11" ht="13">
      <c r="D308" s="15"/>
      <c r="F308" s="15"/>
      <c r="I308" s="15"/>
      <c r="K308" s="15"/>
    </row>
    <row r="309" spans="4:11" ht="13">
      <c r="D309" s="15"/>
      <c r="F309" s="15"/>
      <c r="I309" s="15"/>
      <c r="K309" s="15"/>
    </row>
    <row r="310" spans="4:11" ht="13">
      <c r="D310" s="15"/>
      <c r="F310" s="15"/>
      <c r="I310" s="15"/>
      <c r="K310" s="15"/>
    </row>
    <row r="311" spans="4:11" ht="13">
      <c r="D311" s="15"/>
      <c r="F311" s="15"/>
      <c r="I311" s="15"/>
      <c r="K311" s="15"/>
    </row>
    <row r="312" spans="4:11" ht="13">
      <c r="D312" s="15"/>
      <c r="F312" s="15"/>
      <c r="I312" s="15"/>
      <c r="K312" s="15"/>
    </row>
    <row r="313" spans="4:11" ht="13">
      <c r="D313" s="15"/>
      <c r="F313" s="15"/>
      <c r="I313" s="15"/>
      <c r="K313" s="15"/>
    </row>
    <row r="314" spans="4:11" ht="13">
      <c r="D314" s="15"/>
      <c r="F314" s="15"/>
      <c r="I314" s="15"/>
      <c r="K314" s="15"/>
    </row>
    <row r="315" spans="4:11" ht="13">
      <c r="D315" s="15"/>
      <c r="F315" s="15"/>
      <c r="I315" s="15"/>
      <c r="K315" s="15"/>
    </row>
    <row r="316" spans="4:11" ht="13">
      <c r="D316" s="15"/>
      <c r="F316" s="15"/>
      <c r="I316" s="15"/>
      <c r="K316" s="15"/>
    </row>
    <row r="317" spans="4:11" ht="13">
      <c r="D317" s="15"/>
      <c r="F317" s="15"/>
      <c r="I317" s="15"/>
      <c r="K317" s="15"/>
    </row>
    <row r="318" spans="4:11" ht="13">
      <c r="D318" s="15"/>
      <c r="F318" s="15"/>
      <c r="I318" s="15"/>
      <c r="K318" s="15"/>
    </row>
    <row r="319" spans="4:11" ht="13">
      <c r="D319" s="15"/>
      <c r="F319" s="15"/>
      <c r="I319" s="15"/>
      <c r="K319" s="15"/>
    </row>
    <row r="320" spans="4:11" ht="13">
      <c r="D320" s="15"/>
      <c r="F320" s="15"/>
      <c r="I320" s="15"/>
      <c r="K320" s="15"/>
    </row>
    <row r="321" spans="4:11" ht="13">
      <c r="D321" s="15"/>
      <c r="F321" s="15"/>
      <c r="I321" s="15"/>
      <c r="K321" s="15"/>
    </row>
    <row r="322" spans="4:11" ht="13">
      <c r="D322" s="15"/>
      <c r="F322" s="15"/>
      <c r="I322" s="15"/>
      <c r="K322" s="15"/>
    </row>
    <row r="323" spans="4:11" ht="13">
      <c r="D323" s="15"/>
      <c r="F323" s="15"/>
      <c r="I323" s="15"/>
      <c r="K323" s="15"/>
    </row>
    <row r="324" spans="4:11" ht="13">
      <c r="D324" s="15"/>
      <c r="F324" s="15"/>
      <c r="I324" s="15"/>
      <c r="K324" s="15"/>
    </row>
    <row r="325" spans="4:11" ht="13">
      <c r="D325" s="15"/>
      <c r="F325" s="15"/>
      <c r="I325" s="15"/>
      <c r="K325" s="15"/>
    </row>
    <row r="326" spans="4:11" ht="13">
      <c r="D326" s="15"/>
      <c r="F326" s="15"/>
      <c r="I326" s="15"/>
      <c r="K326" s="15"/>
    </row>
    <row r="327" spans="4:11" ht="13">
      <c r="D327" s="15"/>
      <c r="F327" s="15"/>
      <c r="I327" s="15"/>
      <c r="K327" s="15"/>
    </row>
    <row r="328" spans="4:11" ht="13">
      <c r="D328" s="15"/>
      <c r="F328" s="15"/>
      <c r="I328" s="15"/>
      <c r="K328" s="15"/>
    </row>
    <row r="329" spans="4:11" ht="13">
      <c r="D329" s="15"/>
      <c r="F329" s="15"/>
      <c r="I329" s="15"/>
      <c r="K329" s="15"/>
    </row>
    <row r="330" spans="4:11" ht="13">
      <c r="D330" s="15"/>
      <c r="F330" s="15"/>
      <c r="I330" s="15"/>
      <c r="K330" s="15"/>
    </row>
    <row r="331" spans="4:11" ht="13">
      <c r="D331" s="15"/>
      <c r="F331" s="15"/>
      <c r="I331" s="15"/>
      <c r="K331" s="15"/>
    </row>
    <row r="332" spans="4:11" ht="13">
      <c r="D332" s="15"/>
      <c r="F332" s="15"/>
      <c r="I332" s="15"/>
      <c r="K332" s="15"/>
    </row>
    <row r="333" spans="4:11" ht="13">
      <c r="D333" s="15"/>
      <c r="F333" s="15"/>
      <c r="I333" s="15"/>
      <c r="K333" s="15"/>
    </row>
    <row r="334" spans="4:11" ht="13">
      <c r="D334" s="15"/>
      <c r="F334" s="15"/>
      <c r="I334" s="15"/>
      <c r="K334" s="15"/>
    </row>
    <row r="335" spans="4:11" ht="13">
      <c r="D335" s="15"/>
      <c r="F335" s="15"/>
      <c r="I335" s="15"/>
      <c r="K335" s="15"/>
    </row>
    <row r="336" spans="4:11" ht="13">
      <c r="D336" s="15"/>
      <c r="F336" s="15"/>
      <c r="I336" s="15"/>
      <c r="K336" s="15"/>
    </row>
    <row r="337" spans="4:11" ht="13">
      <c r="D337" s="15"/>
      <c r="F337" s="15"/>
      <c r="I337" s="15"/>
      <c r="K337" s="15"/>
    </row>
    <row r="338" spans="4:11" ht="13">
      <c r="D338" s="15"/>
      <c r="F338" s="15"/>
      <c r="I338" s="15"/>
      <c r="K338" s="15"/>
    </row>
    <row r="339" spans="4:11" ht="13">
      <c r="D339" s="15"/>
      <c r="F339" s="15"/>
      <c r="I339" s="15"/>
      <c r="K339" s="15"/>
    </row>
    <row r="340" spans="4:11" ht="13">
      <c r="D340" s="15"/>
      <c r="F340" s="15"/>
      <c r="I340" s="15"/>
      <c r="K340" s="15"/>
    </row>
    <row r="341" spans="4:11" ht="13">
      <c r="D341" s="15"/>
      <c r="F341" s="15"/>
      <c r="I341" s="15"/>
      <c r="K341" s="15"/>
    </row>
    <row r="342" spans="4:11" ht="13">
      <c r="D342" s="15"/>
      <c r="F342" s="15"/>
      <c r="I342" s="15"/>
      <c r="K342" s="15"/>
    </row>
    <row r="343" spans="4:11" ht="13">
      <c r="D343" s="15"/>
      <c r="F343" s="15"/>
      <c r="I343" s="15"/>
      <c r="K343" s="15"/>
    </row>
    <row r="344" spans="4:11" ht="13">
      <c r="D344" s="15"/>
      <c r="F344" s="15"/>
      <c r="I344" s="15"/>
      <c r="K344" s="15"/>
    </row>
    <row r="345" spans="4:11" ht="13">
      <c r="D345" s="15"/>
      <c r="F345" s="15"/>
      <c r="I345" s="15"/>
      <c r="K345" s="15"/>
    </row>
    <row r="346" spans="4:11" ht="13">
      <c r="D346" s="15"/>
      <c r="F346" s="15"/>
      <c r="I346" s="15"/>
      <c r="K346" s="15"/>
    </row>
    <row r="347" spans="4:11" ht="13">
      <c r="D347" s="15"/>
      <c r="F347" s="15"/>
      <c r="I347" s="15"/>
      <c r="K347" s="15"/>
    </row>
    <row r="348" spans="4:11" ht="13">
      <c r="D348" s="15"/>
      <c r="F348" s="15"/>
      <c r="I348" s="15"/>
      <c r="K348" s="15"/>
    </row>
    <row r="349" spans="4:11" ht="13">
      <c r="D349" s="15"/>
      <c r="F349" s="15"/>
      <c r="I349" s="15"/>
      <c r="K349" s="15"/>
    </row>
    <row r="350" spans="4:11" ht="13">
      <c r="D350" s="15"/>
      <c r="F350" s="15"/>
      <c r="I350" s="15"/>
      <c r="K350" s="15"/>
    </row>
    <row r="351" spans="4:11" ht="13">
      <c r="D351" s="15"/>
      <c r="F351" s="15"/>
      <c r="I351" s="15"/>
      <c r="K351" s="15"/>
    </row>
    <row r="352" spans="4:11" ht="13">
      <c r="D352" s="15"/>
      <c r="F352" s="15"/>
      <c r="I352" s="15"/>
      <c r="K352" s="15"/>
    </row>
    <row r="353" spans="4:11" ht="13">
      <c r="D353" s="15"/>
      <c r="F353" s="15"/>
      <c r="I353" s="15"/>
      <c r="K353" s="15"/>
    </row>
    <row r="354" spans="4:11" ht="13">
      <c r="D354" s="15"/>
      <c r="F354" s="15"/>
      <c r="I354" s="15"/>
      <c r="K354" s="15"/>
    </row>
    <row r="355" spans="4:11" ht="13">
      <c r="D355" s="15"/>
      <c r="F355" s="15"/>
      <c r="I355" s="15"/>
      <c r="K355" s="15"/>
    </row>
    <row r="356" spans="4:11" ht="13">
      <c r="D356" s="15"/>
      <c r="F356" s="15"/>
      <c r="I356" s="15"/>
      <c r="K356" s="15"/>
    </row>
    <row r="357" spans="4:11" ht="13">
      <c r="D357" s="15"/>
      <c r="F357" s="15"/>
      <c r="I357" s="15"/>
      <c r="K357" s="15"/>
    </row>
    <row r="358" spans="4:11" ht="13">
      <c r="D358" s="15"/>
      <c r="F358" s="15"/>
      <c r="I358" s="15"/>
      <c r="K358" s="15"/>
    </row>
    <row r="359" spans="4:11" ht="13">
      <c r="D359" s="15"/>
      <c r="F359" s="15"/>
      <c r="I359" s="15"/>
      <c r="K359" s="15"/>
    </row>
    <row r="360" spans="4:11" ht="13">
      <c r="D360" s="15"/>
      <c r="F360" s="15"/>
      <c r="I360" s="15"/>
      <c r="K360" s="15"/>
    </row>
    <row r="361" spans="4:11" ht="13">
      <c r="D361" s="15"/>
      <c r="F361" s="15"/>
      <c r="I361" s="15"/>
      <c r="K361" s="15"/>
    </row>
    <row r="362" spans="4:11" ht="13">
      <c r="D362" s="15"/>
      <c r="F362" s="15"/>
      <c r="I362" s="15"/>
      <c r="K362" s="15"/>
    </row>
    <row r="363" spans="4:11" ht="13">
      <c r="D363" s="15"/>
      <c r="F363" s="15"/>
      <c r="I363" s="15"/>
      <c r="K363" s="15"/>
    </row>
    <row r="364" spans="4:11" ht="13">
      <c r="D364" s="15"/>
      <c r="F364" s="15"/>
      <c r="I364" s="15"/>
      <c r="K364" s="15"/>
    </row>
    <row r="365" spans="4:11" ht="13">
      <c r="D365" s="15"/>
      <c r="F365" s="15"/>
      <c r="I365" s="15"/>
      <c r="K365" s="15"/>
    </row>
    <row r="366" spans="4:11" ht="13">
      <c r="D366" s="15"/>
      <c r="F366" s="15"/>
      <c r="I366" s="15"/>
      <c r="K366" s="15"/>
    </row>
    <row r="367" spans="4:11" ht="13">
      <c r="D367" s="15"/>
      <c r="F367" s="15"/>
      <c r="I367" s="15"/>
      <c r="K367" s="15"/>
    </row>
    <row r="368" spans="4:11" ht="13">
      <c r="D368" s="15"/>
      <c r="F368" s="15"/>
      <c r="I368" s="15"/>
      <c r="K368" s="15"/>
    </row>
    <row r="369" spans="4:11" ht="13">
      <c r="D369" s="15"/>
      <c r="F369" s="15"/>
      <c r="I369" s="15"/>
      <c r="K369" s="15"/>
    </row>
    <row r="370" spans="4:11" ht="13">
      <c r="D370" s="15"/>
      <c r="F370" s="15"/>
      <c r="I370" s="15"/>
      <c r="K370" s="15"/>
    </row>
    <row r="371" spans="4:11" ht="13">
      <c r="D371" s="15"/>
      <c r="F371" s="15"/>
      <c r="I371" s="15"/>
      <c r="K371" s="15"/>
    </row>
    <row r="372" spans="4:11" ht="13">
      <c r="D372" s="15"/>
      <c r="F372" s="15"/>
      <c r="I372" s="15"/>
      <c r="K372" s="15"/>
    </row>
    <row r="373" spans="4:11" ht="13">
      <c r="D373" s="15"/>
      <c r="F373" s="15"/>
      <c r="I373" s="15"/>
      <c r="K373" s="15"/>
    </row>
    <row r="374" spans="4:11" ht="13">
      <c r="D374" s="15"/>
      <c r="F374" s="15"/>
      <c r="I374" s="15"/>
      <c r="K374" s="15"/>
    </row>
    <row r="375" spans="4:11" ht="13">
      <c r="D375" s="15"/>
      <c r="F375" s="15"/>
      <c r="I375" s="15"/>
      <c r="K375" s="15"/>
    </row>
    <row r="376" spans="4:11" ht="13">
      <c r="D376" s="15"/>
      <c r="F376" s="15"/>
      <c r="I376" s="15"/>
      <c r="K376" s="15"/>
    </row>
    <row r="377" spans="4:11" ht="13">
      <c r="D377" s="15"/>
      <c r="F377" s="15"/>
      <c r="I377" s="15"/>
      <c r="K377" s="15"/>
    </row>
    <row r="378" spans="4:11" ht="13">
      <c r="D378" s="15"/>
      <c r="F378" s="15"/>
      <c r="I378" s="15"/>
      <c r="K378" s="15"/>
    </row>
    <row r="379" spans="4:11" ht="13">
      <c r="D379" s="15"/>
      <c r="F379" s="15"/>
      <c r="I379" s="15"/>
      <c r="K379" s="15"/>
    </row>
    <row r="380" spans="4:11" ht="13">
      <c r="D380" s="15"/>
      <c r="F380" s="15"/>
      <c r="I380" s="15"/>
      <c r="K380" s="15"/>
    </row>
    <row r="381" spans="4:11" ht="13">
      <c r="D381" s="15"/>
      <c r="F381" s="15"/>
      <c r="I381" s="15"/>
      <c r="K381" s="15"/>
    </row>
    <row r="382" spans="4:11" ht="13">
      <c r="D382" s="15"/>
      <c r="F382" s="15"/>
      <c r="I382" s="15"/>
      <c r="K382" s="15"/>
    </row>
    <row r="383" spans="4:11" ht="13">
      <c r="D383" s="15"/>
      <c r="F383" s="15"/>
      <c r="I383" s="15"/>
      <c r="K383" s="15"/>
    </row>
    <row r="384" spans="4:11" ht="13">
      <c r="D384" s="15"/>
      <c r="F384" s="15"/>
      <c r="I384" s="15"/>
      <c r="K384" s="15"/>
    </row>
    <row r="385" spans="4:11" ht="13">
      <c r="D385" s="15"/>
      <c r="F385" s="15"/>
      <c r="I385" s="15"/>
      <c r="K385" s="15"/>
    </row>
    <row r="386" spans="4:11" ht="13">
      <c r="D386" s="15"/>
      <c r="F386" s="15"/>
      <c r="I386" s="15"/>
      <c r="K386" s="15"/>
    </row>
    <row r="387" spans="4:11" ht="13">
      <c r="D387" s="15"/>
      <c r="F387" s="15"/>
      <c r="I387" s="15"/>
      <c r="K387" s="15"/>
    </row>
    <row r="388" spans="4:11" ht="13">
      <c r="D388" s="15"/>
      <c r="F388" s="15"/>
      <c r="I388" s="15"/>
      <c r="K388" s="15"/>
    </row>
    <row r="389" spans="4:11" ht="13">
      <c r="D389" s="15"/>
      <c r="F389" s="15"/>
      <c r="I389" s="15"/>
      <c r="K389" s="15"/>
    </row>
    <row r="390" spans="4:11" ht="13">
      <c r="D390" s="15"/>
      <c r="F390" s="15"/>
      <c r="I390" s="15"/>
      <c r="K390" s="15"/>
    </row>
    <row r="391" spans="4:11" ht="13">
      <c r="D391" s="15"/>
      <c r="F391" s="15"/>
      <c r="I391" s="15"/>
      <c r="K391" s="15"/>
    </row>
    <row r="392" spans="4:11" ht="13">
      <c r="D392" s="15"/>
      <c r="F392" s="15"/>
      <c r="I392" s="15"/>
      <c r="K392" s="15"/>
    </row>
    <row r="393" spans="4:11" ht="13">
      <c r="D393" s="15"/>
      <c r="F393" s="15"/>
      <c r="I393" s="15"/>
      <c r="K393" s="15"/>
    </row>
    <row r="394" spans="4:11" ht="13">
      <c r="D394" s="15"/>
      <c r="F394" s="15"/>
      <c r="I394" s="15"/>
      <c r="K394" s="15"/>
    </row>
    <row r="395" spans="4:11" ht="13">
      <c r="D395" s="15"/>
      <c r="F395" s="15"/>
      <c r="I395" s="15"/>
      <c r="K395" s="15"/>
    </row>
    <row r="396" spans="4:11" ht="13">
      <c r="D396" s="15"/>
      <c r="F396" s="15"/>
      <c r="I396" s="15"/>
      <c r="K396" s="15"/>
    </row>
    <row r="397" spans="4:11" ht="13">
      <c r="D397" s="15"/>
      <c r="F397" s="15"/>
      <c r="I397" s="15"/>
      <c r="K397" s="15"/>
    </row>
    <row r="398" spans="4:11" ht="13">
      <c r="D398" s="15"/>
      <c r="F398" s="15"/>
      <c r="I398" s="15"/>
      <c r="K398" s="15"/>
    </row>
    <row r="399" spans="4:11" ht="13">
      <c r="D399" s="15"/>
      <c r="F399" s="15"/>
      <c r="I399" s="15"/>
      <c r="K399" s="15"/>
    </row>
    <row r="400" spans="4:11" ht="13">
      <c r="D400" s="15"/>
      <c r="F400" s="15"/>
      <c r="I400" s="15"/>
      <c r="K400" s="15"/>
    </row>
    <row r="401" spans="4:11" ht="13">
      <c r="D401" s="15"/>
      <c r="F401" s="15"/>
      <c r="I401" s="15"/>
      <c r="K401" s="15"/>
    </row>
    <row r="402" spans="4:11" ht="13">
      <c r="D402" s="15"/>
      <c r="F402" s="15"/>
      <c r="I402" s="15"/>
      <c r="K402" s="15"/>
    </row>
    <row r="403" spans="4:11" ht="13">
      <c r="D403" s="15"/>
      <c r="F403" s="15"/>
      <c r="I403" s="15"/>
      <c r="K403" s="15"/>
    </row>
    <row r="404" spans="4:11" ht="13">
      <c r="D404" s="15"/>
      <c r="F404" s="15"/>
      <c r="I404" s="15"/>
      <c r="K404" s="15"/>
    </row>
    <row r="405" spans="4:11" ht="13">
      <c r="D405" s="15"/>
      <c r="F405" s="15"/>
      <c r="I405" s="15"/>
      <c r="K405" s="15"/>
    </row>
    <row r="406" spans="4:11" ht="13">
      <c r="D406" s="15"/>
      <c r="F406" s="15"/>
      <c r="I406" s="15"/>
      <c r="K406" s="15"/>
    </row>
    <row r="407" spans="4:11" ht="13">
      <c r="D407" s="15"/>
      <c r="F407" s="15"/>
      <c r="I407" s="15"/>
      <c r="K407" s="15"/>
    </row>
    <row r="408" spans="4:11" ht="13">
      <c r="D408" s="15"/>
      <c r="F408" s="15"/>
      <c r="I408" s="15"/>
      <c r="K408" s="15"/>
    </row>
    <row r="409" spans="4:11" ht="13">
      <c r="D409" s="15"/>
      <c r="F409" s="15"/>
      <c r="I409" s="15"/>
      <c r="K409" s="15"/>
    </row>
    <row r="410" spans="4:11" ht="13">
      <c r="D410" s="15"/>
      <c r="F410" s="15"/>
      <c r="I410" s="15"/>
      <c r="K410" s="15"/>
    </row>
    <row r="411" spans="4:11" ht="13">
      <c r="D411" s="15"/>
      <c r="F411" s="15"/>
      <c r="I411" s="15"/>
      <c r="K411" s="15"/>
    </row>
    <row r="412" spans="4:11" ht="13">
      <c r="D412" s="15"/>
      <c r="F412" s="15"/>
      <c r="I412" s="15"/>
      <c r="K412" s="15"/>
    </row>
    <row r="413" spans="4:11" ht="13">
      <c r="D413" s="15"/>
      <c r="F413" s="15"/>
      <c r="I413" s="15"/>
      <c r="K413" s="15"/>
    </row>
    <row r="414" spans="4:11" ht="13">
      <c r="D414" s="15"/>
      <c r="F414" s="15"/>
      <c r="I414" s="15"/>
      <c r="K414" s="15"/>
    </row>
    <row r="415" spans="4:11" ht="13">
      <c r="D415" s="15"/>
      <c r="F415" s="15"/>
      <c r="I415" s="15"/>
      <c r="K415" s="15"/>
    </row>
    <row r="416" spans="4:11" ht="13">
      <c r="D416" s="15"/>
      <c r="F416" s="15"/>
      <c r="I416" s="15"/>
      <c r="K416" s="15"/>
    </row>
    <row r="417" spans="4:11" ht="13">
      <c r="D417" s="15"/>
      <c r="F417" s="15"/>
      <c r="I417" s="15"/>
      <c r="K417" s="15"/>
    </row>
    <row r="418" spans="4:11" ht="13">
      <c r="D418" s="15"/>
      <c r="F418" s="15"/>
      <c r="I418" s="15"/>
      <c r="K418" s="15"/>
    </row>
    <row r="419" spans="4:11" ht="13">
      <c r="D419" s="15"/>
      <c r="F419" s="15"/>
      <c r="I419" s="15"/>
      <c r="K419" s="15"/>
    </row>
    <row r="420" spans="4:11" ht="13">
      <c r="D420" s="15"/>
      <c r="F420" s="15"/>
      <c r="I420" s="15"/>
      <c r="K420" s="15"/>
    </row>
    <row r="421" spans="4:11" ht="13">
      <c r="D421" s="15"/>
      <c r="F421" s="15"/>
      <c r="I421" s="15"/>
      <c r="K421" s="15"/>
    </row>
    <row r="422" spans="4:11" ht="13">
      <c r="D422" s="15"/>
      <c r="F422" s="15"/>
      <c r="I422" s="15"/>
      <c r="K422" s="15"/>
    </row>
    <row r="423" spans="4:11" ht="13">
      <c r="D423" s="15"/>
      <c r="F423" s="15"/>
      <c r="I423" s="15"/>
      <c r="K423" s="15"/>
    </row>
    <row r="424" spans="4:11" ht="13">
      <c r="D424" s="15"/>
      <c r="F424" s="15"/>
      <c r="I424" s="15"/>
      <c r="K424" s="15"/>
    </row>
    <row r="425" spans="4:11" ht="13">
      <c r="D425" s="15"/>
      <c r="F425" s="15"/>
      <c r="I425" s="15"/>
      <c r="K425" s="15"/>
    </row>
    <row r="426" spans="4:11" ht="13">
      <c r="D426" s="15"/>
      <c r="F426" s="15"/>
      <c r="I426" s="15"/>
      <c r="K426" s="15"/>
    </row>
    <row r="427" spans="4:11" ht="13">
      <c r="D427" s="15"/>
      <c r="F427" s="15"/>
      <c r="I427" s="15"/>
      <c r="K427" s="15"/>
    </row>
    <row r="428" spans="4:11" ht="13">
      <c r="D428" s="15"/>
      <c r="F428" s="15"/>
      <c r="I428" s="15"/>
      <c r="K428" s="15"/>
    </row>
    <row r="429" spans="4:11" ht="13">
      <c r="D429" s="15"/>
      <c r="F429" s="15"/>
      <c r="I429" s="15"/>
      <c r="K429" s="15"/>
    </row>
    <row r="430" spans="4:11" ht="13">
      <c r="D430" s="15"/>
      <c r="F430" s="15"/>
      <c r="I430" s="15"/>
      <c r="K430" s="15"/>
    </row>
    <row r="431" spans="4:11" ht="13">
      <c r="D431" s="15"/>
      <c r="F431" s="15"/>
      <c r="I431" s="15"/>
      <c r="K431" s="15"/>
    </row>
    <row r="432" spans="4:11" ht="13">
      <c r="D432" s="15"/>
      <c r="F432" s="15"/>
      <c r="I432" s="15"/>
      <c r="K432" s="15"/>
    </row>
    <row r="433" spans="4:11" ht="13">
      <c r="D433" s="15"/>
      <c r="F433" s="15"/>
      <c r="I433" s="15"/>
      <c r="K433" s="15"/>
    </row>
    <row r="434" spans="4:11" ht="13">
      <c r="D434" s="15"/>
      <c r="F434" s="15"/>
      <c r="I434" s="15"/>
      <c r="K434" s="15"/>
    </row>
    <row r="435" spans="4:11" ht="13">
      <c r="D435" s="15"/>
      <c r="F435" s="15"/>
      <c r="I435" s="15"/>
      <c r="K435" s="15"/>
    </row>
    <row r="436" spans="4:11" ht="13">
      <c r="D436" s="15"/>
      <c r="F436" s="15"/>
      <c r="I436" s="15"/>
      <c r="K436" s="15"/>
    </row>
    <row r="437" spans="4:11" ht="13">
      <c r="D437" s="15"/>
      <c r="F437" s="15"/>
      <c r="I437" s="15"/>
      <c r="K437" s="15"/>
    </row>
    <row r="438" spans="4:11" ht="13">
      <c r="D438" s="15"/>
      <c r="F438" s="15"/>
      <c r="I438" s="15"/>
      <c r="K438" s="15"/>
    </row>
    <row r="439" spans="4:11" ht="13">
      <c r="D439" s="15"/>
      <c r="F439" s="15"/>
      <c r="I439" s="15"/>
      <c r="K439" s="15"/>
    </row>
    <row r="440" spans="4:11" ht="13">
      <c r="D440" s="15"/>
      <c r="F440" s="15"/>
      <c r="I440" s="15"/>
      <c r="K440" s="15"/>
    </row>
    <row r="441" spans="4:11" ht="13">
      <c r="D441" s="15"/>
      <c r="F441" s="15"/>
      <c r="I441" s="15"/>
      <c r="K441" s="15"/>
    </row>
    <row r="442" spans="4:11" ht="13">
      <c r="D442" s="15"/>
      <c r="F442" s="15"/>
      <c r="I442" s="15"/>
      <c r="K442" s="15"/>
    </row>
    <row r="443" spans="4:11" ht="13">
      <c r="D443" s="15"/>
      <c r="F443" s="15"/>
      <c r="I443" s="15"/>
      <c r="K443" s="15"/>
    </row>
    <row r="444" spans="4:11" ht="13">
      <c r="D444" s="15"/>
      <c r="F444" s="15"/>
      <c r="I444" s="15"/>
      <c r="K444" s="15"/>
    </row>
    <row r="445" spans="4:11" ht="13">
      <c r="D445" s="15"/>
      <c r="F445" s="15"/>
      <c r="I445" s="15"/>
      <c r="K445" s="15"/>
    </row>
    <row r="446" spans="4:11" ht="13">
      <c r="D446" s="15"/>
      <c r="F446" s="15"/>
      <c r="I446" s="15"/>
      <c r="K446" s="15"/>
    </row>
    <row r="447" spans="4:11" ht="13">
      <c r="D447" s="15"/>
      <c r="F447" s="15"/>
      <c r="I447" s="15"/>
      <c r="K447" s="15"/>
    </row>
    <row r="448" spans="4:11" ht="13">
      <c r="D448" s="15"/>
      <c r="F448" s="15"/>
      <c r="I448" s="15"/>
      <c r="K448" s="15"/>
    </row>
    <row r="449" spans="4:11" ht="13">
      <c r="D449" s="15"/>
      <c r="F449" s="15"/>
      <c r="I449" s="15"/>
      <c r="K449" s="15"/>
    </row>
    <row r="450" spans="4:11" ht="13">
      <c r="D450" s="15"/>
      <c r="F450" s="15"/>
      <c r="I450" s="15"/>
      <c r="K450" s="15"/>
    </row>
    <row r="451" spans="4:11" ht="13">
      <c r="D451" s="15"/>
      <c r="F451" s="15"/>
      <c r="I451" s="15"/>
      <c r="K451" s="15"/>
    </row>
    <row r="452" spans="4:11" ht="13">
      <c r="D452" s="15"/>
      <c r="F452" s="15"/>
      <c r="I452" s="15"/>
      <c r="K452" s="15"/>
    </row>
    <row r="453" spans="4:11" ht="13">
      <c r="D453" s="15"/>
      <c r="F453" s="15"/>
      <c r="I453" s="15"/>
      <c r="K453" s="15"/>
    </row>
    <row r="454" spans="4:11" ht="13">
      <c r="D454" s="15"/>
      <c r="F454" s="15"/>
      <c r="I454" s="15"/>
      <c r="K454" s="15"/>
    </row>
    <row r="455" spans="4:11" ht="13">
      <c r="D455" s="15"/>
      <c r="F455" s="15"/>
      <c r="I455" s="15"/>
      <c r="K455" s="15"/>
    </row>
    <row r="456" spans="4:11" ht="13">
      <c r="D456" s="15"/>
      <c r="F456" s="15"/>
      <c r="I456" s="15"/>
      <c r="K456" s="15"/>
    </row>
    <row r="457" spans="4:11" ht="13">
      <c r="D457" s="15"/>
      <c r="F457" s="15"/>
      <c r="I457" s="15"/>
      <c r="K457" s="15"/>
    </row>
    <row r="458" spans="4:11" ht="13">
      <c r="D458" s="15"/>
      <c r="F458" s="15"/>
      <c r="I458" s="15"/>
      <c r="K458" s="15"/>
    </row>
    <row r="459" spans="4:11" ht="13">
      <c r="D459" s="15"/>
      <c r="F459" s="15"/>
      <c r="I459" s="15"/>
      <c r="K459" s="15"/>
    </row>
    <row r="460" spans="4:11" ht="13">
      <c r="D460" s="15"/>
      <c r="F460" s="15"/>
      <c r="I460" s="15"/>
      <c r="K460" s="15"/>
    </row>
    <row r="461" spans="4:11" ht="13">
      <c r="D461" s="15"/>
      <c r="F461" s="15"/>
      <c r="I461" s="15"/>
      <c r="K461" s="15"/>
    </row>
    <row r="462" spans="4:11" ht="13">
      <c r="D462" s="15"/>
      <c r="F462" s="15"/>
      <c r="I462" s="15"/>
      <c r="K462" s="15"/>
    </row>
    <row r="463" spans="4:11" ht="13">
      <c r="D463" s="15"/>
      <c r="F463" s="15"/>
      <c r="I463" s="15"/>
      <c r="K463" s="15"/>
    </row>
    <row r="464" spans="4:11" ht="13">
      <c r="D464" s="15"/>
      <c r="F464" s="15"/>
      <c r="I464" s="15"/>
      <c r="K464" s="15"/>
    </row>
    <row r="465" spans="4:11" ht="13">
      <c r="D465" s="15"/>
      <c r="F465" s="15"/>
      <c r="I465" s="15"/>
      <c r="K465" s="15"/>
    </row>
    <row r="466" spans="4:11" ht="13">
      <c r="D466" s="15"/>
      <c r="F466" s="15"/>
      <c r="I466" s="15"/>
      <c r="K466" s="15"/>
    </row>
    <row r="467" spans="4:11" ht="13">
      <c r="D467" s="15"/>
      <c r="F467" s="15"/>
      <c r="I467" s="15"/>
      <c r="K467" s="15"/>
    </row>
    <row r="468" spans="4:11" ht="13">
      <c r="D468" s="15"/>
      <c r="F468" s="15"/>
      <c r="I468" s="15"/>
      <c r="K468" s="15"/>
    </row>
    <row r="469" spans="4:11" ht="13">
      <c r="D469" s="15"/>
      <c r="F469" s="15"/>
      <c r="I469" s="15"/>
      <c r="K469" s="15"/>
    </row>
    <row r="470" spans="4:11" ht="13">
      <c r="D470" s="15"/>
      <c r="F470" s="15"/>
      <c r="I470" s="15"/>
      <c r="K470" s="15"/>
    </row>
    <row r="471" spans="4:11" ht="13">
      <c r="D471" s="15"/>
      <c r="F471" s="15"/>
      <c r="I471" s="15"/>
      <c r="K471" s="15"/>
    </row>
    <row r="472" spans="4:11" ht="13">
      <c r="D472" s="15"/>
      <c r="F472" s="15"/>
      <c r="I472" s="15"/>
      <c r="K472" s="15"/>
    </row>
    <row r="473" spans="4:11" ht="13">
      <c r="D473" s="15"/>
      <c r="F473" s="15"/>
      <c r="I473" s="15"/>
      <c r="K473" s="15"/>
    </row>
    <row r="474" spans="4:11" ht="13">
      <c r="D474" s="15"/>
      <c r="F474" s="15"/>
      <c r="I474" s="15"/>
      <c r="K474" s="15"/>
    </row>
    <row r="475" spans="4:11" ht="13">
      <c r="D475" s="15"/>
      <c r="F475" s="15"/>
      <c r="I475" s="15"/>
      <c r="K475" s="15"/>
    </row>
    <row r="476" spans="4:11" ht="13">
      <c r="D476" s="15"/>
      <c r="F476" s="15"/>
      <c r="I476" s="15"/>
      <c r="K476" s="15"/>
    </row>
    <row r="477" spans="4:11" ht="13">
      <c r="D477" s="15"/>
      <c r="F477" s="15"/>
      <c r="I477" s="15"/>
      <c r="K477" s="15"/>
    </row>
    <row r="478" spans="4:11" ht="13">
      <c r="D478" s="15"/>
      <c r="F478" s="15"/>
      <c r="I478" s="15"/>
      <c r="K478" s="15"/>
    </row>
    <row r="479" spans="4:11" ht="13">
      <c r="D479" s="15"/>
      <c r="F479" s="15"/>
      <c r="I479" s="15"/>
      <c r="K479" s="15"/>
    </row>
    <row r="480" spans="4:11" ht="13">
      <c r="D480" s="15"/>
      <c r="F480" s="15"/>
      <c r="I480" s="15"/>
      <c r="K480" s="15"/>
    </row>
    <row r="481" spans="4:11" ht="13">
      <c r="D481" s="15"/>
      <c r="F481" s="15"/>
      <c r="I481" s="15"/>
      <c r="K481" s="15"/>
    </row>
    <row r="482" spans="4:11" ht="13">
      <c r="D482" s="15"/>
      <c r="F482" s="15"/>
      <c r="I482" s="15"/>
      <c r="K482" s="15"/>
    </row>
    <row r="483" spans="4:11" ht="13">
      <c r="D483" s="15"/>
      <c r="F483" s="15"/>
      <c r="I483" s="15"/>
      <c r="K483" s="15"/>
    </row>
    <row r="484" spans="4:11" ht="13">
      <c r="D484" s="15"/>
      <c r="F484" s="15"/>
      <c r="I484" s="15"/>
      <c r="K484" s="15"/>
    </row>
    <row r="485" spans="4:11" ht="13">
      <c r="D485" s="15"/>
      <c r="F485" s="15"/>
      <c r="I485" s="15"/>
      <c r="K485" s="15"/>
    </row>
    <row r="486" spans="4:11" ht="13">
      <c r="D486" s="15"/>
      <c r="F486" s="15"/>
      <c r="I486" s="15"/>
      <c r="K486" s="15"/>
    </row>
    <row r="487" spans="4:11" ht="13">
      <c r="D487" s="15"/>
      <c r="F487" s="15"/>
      <c r="I487" s="15"/>
      <c r="K487" s="15"/>
    </row>
    <row r="488" spans="4:11" ht="13">
      <c r="D488" s="15"/>
      <c r="F488" s="15"/>
      <c r="I488" s="15"/>
      <c r="K488" s="15"/>
    </row>
    <row r="489" spans="4:11" ht="13">
      <c r="D489" s="15"/>
      <c r="F489" s="15"/>
      <c r="I489" s="15"/>
      <c r="K489" s="15"/>
    </row>
    <row r="490" spans="4:11" ht="13">
      <c r="D490" s="15"/>
      <c r="F490" s="15"/>
      <c r="I490" s="15"/>
      <c r="K490" s="15"/>
    </row>
    <row r="491" spans="4:11" ht="13">
      <c r="D491" s="15"/>
      <c r="F491" s="15"/>
      <c r="I491" s="15"/>
      <c r="K491" s="15"/>
    </row>
    <row r="492" spans="4:11" ht="13">
      <c r="D492" s="15"/>
      <c r="F492" s="15"/>
      <c r="I492" s="15"/>
      <c r="K492" s="15"/>
    </row>
    <row r="493" spans="4:11" ht="13">
      <c r="D493" s="15"/>
      <c r="F493" s="15"/>
      <c r="I493" s="15"/>
      <c r="K493" s="15"/>
    </row>
    <row r="494" spans="4:11" ht="13">
      <c r="D494" s="15"/>
      <c r="F494" s="15"/>
      <c r="I494" s="15"/>
      <c r="K494" s="15"/>
    </row>
    <row r="495" spans="4:11" ht="13">
      <c r="D495" s="15"/>
      <c r="F495" s="15"/>
      <c r="I495" s="15"/>
      <c r="K495" s="15"/>
    </row>
    <row r="496" spans="4:11" ht="13">
      <c r="D496" s="15"/>
      <c r="F496" s="15"/>
      <c r="I496" s="15"/>
      <c r="K496" s="15"/>
    </row>
    <row r="497" spans="4:11" ht="13">
      <c r="D497" s="15"/>
      <c r="F497" s="15"/>
      <c r="I497" s="15"/>
      <c r="K497" s="15"/>
    </row>
    <row r="498" spans="4:11" ht="13">
      <c r="D498" s="15"/>
      <c r="F498" s="15"/>
      <c r="I498" s="15"/>
      <c r="K498" s="15"/>
    </row>
    <row r="499" spans="4:11" ht="13">
      <c r="D499" s="15"/>
      <c r="F499" s="15"/>
      <c r="I499" s="15"/>
      <c r="K499" s="15"/>
    </row>
    <row r="500" spans="4:11" ht="13">
      <c r="D500" s="15"/>
      <c r="F500" s="15"/>
      <c r="I500" s="15"/>
      <c r="K500" s="15"/>
    </row>
    <row r="501" spans="4:11" ht="13">
      <c r="D501" s="15"/>
      <c r="F501" s="15"/>
      <c r="I501" s="15"/>
      <c r="K501" s="15"/>
    </row>
    <row r="502" spans="4:11" ht="13">
      <c r="D502" s="15"/>
      <c r="F502" s="15"/>
      <c r="I502" s="15"/>
      <c r="K502" s="15"/>
    </row>
    <row r="503" spans="4:11" ht="13">
      <c r="D503" s="15"/>
      <c r="F503" s="15"/>
      <c r="I503" s="15"/>
      <c r="K503" s="15"/>
    </row>
    <row r="504" spans="4:11" ht="13">
      <c r="D504" s="15"/>
      <c r="F504" s="15"/>
      <c r="I504" s="15"/>
      <c r="K504" s="15"/>
    </row>
    <row r="505" spans="4:11" ht="13">
      <c r="D505" s="15"/>
      <c r="F505" s="15"/>
      <c r="I505" s="15"/>
      <c r="K505" s="15"/>
    </row>
    <row r="506" spans="4:11" ht="13">
      <c r="D506" s="15"/>
      <c r="F506" s="15"/>
      <c r="I506" s="15"/>
      <c r="K506" s="15"/>
    </row>
    <row r="507" spans="4:11" ht="13">
      <c r="D507" s="15"/>
      <c r="F507" s="15"/>
      <c r="I507" s="15"/>
      <c r="K507" s="15"/>
    </row>
    <row r="508" spans="4:11" ht="13">
      <c r="D508" s="15"/>
      <c r="F508" s="15"/>
      <c r="I508" s="15"/>
      <c r="K508" s="15"/>
    </row>
    <row r="509" spans="4:11" ht="13">
      <c r="D509" s="15"/>
      <c r="F509" s="15"/>
      <c r="I509" s="15"/>
      <c r="K509" s="15"/>
    </row>
    <row r="510" spans="4:11" ht="13">
      <c r="D510" s="15"/>
      <c r="F510" s="15"/>
      <c r="I510" s="15"/>
      <c r="K510" s="15"/>
    </row>
    <row r="511" spans="4:11" ht="13">
      <c r="D511" s="15"/>
      <c r="F511" s="15"/>
      <c r="I511" s="15"/>
      <c r="K511" s="15"/>
    </row>
    <row r="512" spans="4:11" ht="13">
      <c r="D512" s="15"/>
      <c r="F512" s="15"/>
      <c r="I512" s="15"/>
      <c r="K512" s="15"/>
    </row>
    <row r="513" spans="4:11" ht="13">
      <c r="D513" s="15"/>
      <c r="F513" s="15"/>
      <c r="I513" s="15"/>
      <c r="K513" s="15"/>
    </row>
    <row r="514" spans="4:11" ht="13">
      <c r="D514" s="15"/>
      <c r="F514" s="15"/>
      <c r="I514" s="15"/>
      <c r="K514" s="15"/>
    </row>
    <row r="515" spans="4:11" ht="13">
      <c r="D515" s="15"/>
      <c r="F515" s="15"/>
      <c r="I515" s="15"/>
      <c r="K515" s="15"/>
    </row>
    <row r="516" spans="4:11" ht="13">
      <c r="D516" s="15"/>
      <c r="F516" s="15"/>
      <c r="I516" s="15"/>
      <c r="K516" s="15"/>
    </row>
    <row r="517" spans="4:11" ht="13">
      <c r="D517" s="15"/>
      <c r="F517" s="15"/>
      <c r="I517" s="15"/>
      <c r="K517" s="15"/>
    </row>
    <row r="518" spans="4:11" ht="13">
      <c r="D518" s="15"/>
      <c r="F518" s="15"/>
      <c r="I518" s="15"/>
      <c r="K518" s="15"/>
    </row>
    <row r="519" spans="4:11" ht="13">
      <c r="D519" s="15"/>
      <c r="F519" s="15"/>
      <c r="I519" s="15"/>
      <c r="K519" s="15"/>
    </row>
    <row r="520" spans="4:11" ht="13">
      <c r="D520" s="15"/>
      <c r="F520" s="15"/>
      <c r="I520" s="15"/>
      <c r="K520" s="15"/>
    </row>
    <row r="521" spans="4:11" ht="13">
      <c r="D521" s="15"/>
      <c r="F521" s="15"/>
      <c r="I521" s="15"/>
      <c r="K521" s="15"/>
    </row>
    <row r="522" spans="4:11" ht="13">
      <c r="D522" s="15"/>
      <c r="F522" s="15"/>
      <c r="I522" s="15"/>
      <c r="K522" s="15"/>
    </row>
    <row r="523" spans="4:11" ht="13">
      <c r="D523" s="15"/>
      <c r="F523" s="15"/>
      <c r="I523" s="15"/>
      <c r="K523" s="15"/>
    </row>
    <row r="524" spans="4:11" ht="13">
      <c r="D524" s="15"/>
      <c r="F524" s="15"/>
      <c r="I524" s="15"/>
      <c r="K524" s="15"/>
    </row>
    <row r="525" spans="4:11" ht="13">
      <c r="D525" s="15"/>
      <c r="F525" s="15"/>
      <c r="I525" s="15"/>
      <c r="K525" s="15"/>
    </row>
    <row r="526" spans="4:11" ht="13">
      <c r="D526" s="15"/>
      <c r="F526" s="15"/>
      <c r="I526" s="15"/>
      <c r="K526" s="15"/>
    </row>
    <row r="527" spans="4:11" ht="13">
      <c r="D527" s="15"/>
      <c r="F527" s="15"/>
      <c r="I527" s="15"/>
      <c r="K527" s="15"/>
    </row>
    <row r="528" spans="4:11" ht="13">
      <c r="D528" s="15"/>
      <c r="F528" s="15"/>
      <c r="I528" s="15"/>
      <c r="K528" s="15"/>
    </row>
    <row r="529" spans="4:11" ht="13">
      <c r="D529" s="15"/>
      <c r="F529" s="15"/>
      <c r="I529" s="15"/>
      <c r="K529" s="15"/>
    </row>
    <row r="530" spans="4:11" ht="13">
      <c r="D530" s="15"/>
      <c r="F530" s="15"/>
      <c r="I530" s="15"/>
      <c r="K530" s="15"/>
    </row>
    <row r="531" spans="4:11" ht="13">
      <c r="D531" s="15"/>
      <c r="F531" s="15"/>
      <c r="I531" s="15"/>
      <c r="K531" s="15"/>
    </row>
    <row r="532" spans="4:11" ht="13">
      <c r="D532" s="15"/>
      <c r="F532" s="15"/>
      <c r="I532" s="15"/>
      <c r="K532" s="15"/>
    </row>
    <row r="533" spans="4:11" ht="13">
      <c r="D533" s="15"/>
      <c r="F533" s="15"/>
      <c r="I533" s="15"/>
      <c r="K533" s="15"/>
    </row>
    <row r="534" spans="4:11" ht="13">
      <c r="D534" s="15"/>
      <c r="F534" s="15"/>
      <c r="I534" s="15"/>
      <c r="K534" s="15"/>
    </row>
    <row r="535" spans="4:11" ht="13">
      <c r="D535" s="15"/>
      <c r="F535" s="15"/>
      <c r="I535" s="15"/>
      <c r="K535" s="15"/>
    </row>
    <row r="536" spans="4:11" ht="13">
      <c r="D536" s="15"/>
      <c r="F536" s="15"/>
      <c r="I536" s="15"/>
      <c r="K536" s="15"/>
    </row>
    <row r="537" spans="4:11" ht="13">
      <c r="D537" s="15"/>
      <c r="F537" s="15"/>
      <c r="I537" s="15"/>
      <c r="K537" s="15"/>
    </row>
    <row r="538" spans="4:11" ht="13">
      <c r="D538" s="15"/>
      <c r="F538" s="15"/>
      <c r="I538" s="15"/>
      <c r="K538" s="15"/>
    </row>
    <row r="539" spans="4:11" ht="13">
      <c r="D539" s="15"/>
      <c r="F539" s="15"/>
      <c r="I539" s="15"/>
      <c r="K539" s="15"/>
    </row>
    <row r="540" spans="4:11" ht="13">
      <c r="D540" s="15"/>
      <c r="F540" s="15"/>
      <c r="I540" s="15"/>
      <c r="K540" s="15"/>
    </row>
    <row r="541" spans="4:11" ht="13">
      <c r="D541" s="15"/>
      <c r="F541" s="15"/>
      <c r="I541" s="15"/>
      <c r="K541" s="15"/>
    </row>
    <row r="542" spans="4:11" ht="13">
      <c r="D542" s="15"/>
      <c r="F542" s="15"/>
      <c r="I542" s="15"/>
      <c r="K542" s="15"/>
    </row>
    <row r="543" spans="4:11" ht="13">
      <c r="D543" s="15"/>
      <c r="F543" s="15"/>
      <c r="I543" s="15"/>
      <c r="K543" s="15"/>
    </row>
    <row r="544" spans="4:11" ht="13">
      <c r="D544" s="15"/>
      <c r="F544" s="15"/>
      <c r="I544" s="15"/>
      <c r="K544" s="15"/>
    </row>
    <row r="545" spans="4:11" ht="13">
      <c r="D545" s="15"/>
      <c r="F545" s="15"/>
      <c r="I545" s="15"/>
      <c r="K545" s="15"/>
    </row>
    <row r="546" spans="4:11" ht="13">
      <c r="D546" s="15"/>
      <c r="F546" s="15"/>
      <c r="I546" s="15"/>
      <c r="K546" s="15"/>
    </row>
    <row r="547" spans="4:11" ht="13">
      <c r="D547" s="15"/>
      <c r="F547" s="15"/>
      <c r="I547" s="15"/>
      <c r="K547" s="15"/>
    </row>
    <row r="548" spans="4:11" ht="13">
      <c r="D548" s="15"/>
      <c r="F548" s="15"/>
      <c r="I548" s="15"/>
      <c r="K548" s="15"/>
    </row>
    <row r="549" spans="4:11" ht="13">
      <c r="D549" s="15"/>
      <c r="F549" s="15"/>
      <c r="I549" s="15"/>
      <c r="K549" s="15"/>
    </row>
    <row r="550" spans="4:11" ht="13">
      <c r="D550" s="15"/>
      <c r="F550" s="15"/>
      <c r="I550" s="15"/>
      <c r="K550" s="15"/>
    </row>
    <row r="551" spans="4:11" ht="13">
      <c r="D551" s="15"/>
      <c r="F551" s="15"/>
      <c r="I551" s="15"/>
      <c r="K551" s="15"/>
    </row>
    <row r="552" spans="4:11" ht="13">
      <c r="D552" s="15"/>
      <c r="F552" s="15"/>
      <c r="I552" s="15"/>
      <c r="K552" s="15"/>
    </row>
    <row r="553" spans="4:11" ht="13">
      <c r="D553" s="15"/>
      <c r="F553" s="15"/>
      <c r="I553" s="15"/>
      <c r="K553" s="15"/>
    </row>
    <row r="554" spans="4:11" ht="13">
      <c r="D554" s="15"/>
      <c r="F554" s="15"/>
      <c r="I554" s="15"/>
      <c r="K554" s="15"/>
    </row>
    <row r="555" spans="4:11" ht="13">
      <c r="D555" s="15"/>
      <c r="F555" s="15"/>
      <c r="I555" s="15"/>
      <c r="K555" s="15"/>
    </row>
    <row r="556" spans="4:11" ht="13">
      <c r="D556" s="15"/>
      <c r="F556" s="15"/>
      <c r="I556" s="15"/>
      <c r="K556" s="15"/>
    </row>
    <row r="557" spans="4:11" ht="13">
      <c r="D557" s="15"/>
      <c r="F557" s="15"/>
      <c r="I557" s="15"/>
      <c r="K557" s="15"/>
    </row>
    <row r="558" spans="4:11" ht="13">
      <c r="D558" s="15"/>
      <c r="F558" s="15"/>
      <c r="I558" s="15"/>
      <c r="K558" s="15"/>
    </row>
    <row r="559" spans="4:11" ht="13">
      <c r="D559" s="15"/>
      <c r="F559" s="15"/>
      <c r="I559" s="15"/>
      <c r="K559" s="15"/>
    </row>
    <row r="560" spans="4:11" ht="13">
      <c r="D560" s="15"/>
      <c r="F560" s="15"/>
      <c r="I560" s="15"/>
      <c r="K560" s="15"/>
    </row>
    <row r="561" spans="4:11" ht="13">
      <c r="D561" s="15"/>
      <c r="F561" s="15"/>
      <c r="I561" s="15"/>
      <c r="K561" s="15"/>
    </row>
    <row r="562" spans="4:11" ht="13">
      <c r="D562" s="15"/>
      <c r="F562" s="15"/>
      <c r="I562" s="15"/>
      <c r="K562" s="15"/>
    </row>
    <row r="563" spans="4:11" ht="13">
      <c r="D563" s="15"/>
      <c r="F563" s="15"/>
      <c r="I563" s="15"/>
      <c r="K563" s="15"/>
    </row>
    <row r="564" spans="4:11" ht="13">
      <c r="D564" s="15"/>
      <c r="F564" s="15"/>
      <c r="I564" s="15"/>
      <c r="K564" s="15"/>
    </row>
    <row r="565" spans="4:11" ht="13">
      <c r="D565" s="15"/>
      <c r="F565" s="15"/>
      <c r="I565" s="15"/>
      <c r="K565" s="15"/>
    </row>
    <row r="566" spans="4:11" ht="13">
      <c r="D566" s="15"/>
      <c r="F566" s="15"/>
      <c r="I566" s="15"/>
      <c r="K566" s="15"/>
    </row>
    <row r="567" spans="4:11" ht="13">
      <c r="D567" s="15"/>
      <c r="F567" s="15"/>
      <c r="I567" s="15"/>
      <c r="K567" s="15"/>
    </row>
    <row r="568" spans="4:11" ht="13">
      <c r="D568" s="15"/>
      <c r="F568" s="15"/>
      <c r="I568" s="15"/>
      <c r="K568" s="15"/>
    </row>
    <row r="569" spans="4:11" ht="13">
      <c r="D569" s="15"/>
      <c r="F569" s="15"/>
      <c r="I569" s="15"/>
      <c r="K569" s="15"/>
    </row>
    <row r="570" spans="4:11" ht="13">
      <c r="D570" s="15"/>
      <c r="F570" s="15"/>
      <c r="I570" s="15"/>
      <c r="K570" s="15"/>
    </row>
    <row r="571" spans="4:11" ht="13">
      <c r="D571" s="15"/>
      <c r="F571" s="15"/>
      <c r="I571" s="15"/>
      <c r="K571" s="15"/>
    </row>
    <row r="572" spans="4:11" ht="13">
      <c r="D572" s="15"/>
      <c r="F572" s="15"/>
      <c r="I572" s="15"/>
      <c r="K572" s="15"/>
    </row>
    <row r="573" spans="4:11" ht="13">
      <c r="D573" s="15"/>
      <c r="F573" s="15"/>
      <c r="I573" s="15"/>
      <c r="K573" s="15"/>
    </row>
    <row r="574" spans="4:11" ht="13">
      <c r="D574" s="15"/>
      <c r="F574" s="15"/>
      <c r="I574" s="15"/>
      <c r="K574" s="15"/>
    </row>
    <row r="575" spans="4:11" ht="13">
      <c r="D575" s="15"/>
      <c r="F575" s="15"/>
      <c r="I575" s="15"/>
      <c r="K575" s="15"/>
    </row>
    <row r="576" spans="4:11" ht="13">
      <c r="D576" s="15"/>
      <c r="F576" s="15"/>
      <c r="I576" s="15"/>
      <c r="K576" s="15"/>
    </row>
    <row r="577" spans="4:11" ht="13">
      <c r="D577" s="15"/>
      <c r="F577" s="15"/>
      <c r="I577" s="15"/>
      <c r="K577" s="15"/>
    </row>
    <row r="578" spans="4:11" ht="13">
      <c r="D578" s="15"/>
      <c r="F578" s="15"/>
      <c r="I578" s="15"/>
      <c r="K578" s="15"/>
    </row>
    <row r="579" spans="4:11" ht="13">
      <c r="D579" s="15"/>
      <c r="F579" s="15"/>
      <c r="I579" s="15"/>
      <c r="K579" s="15"/>
    </row>
    <row r="580" spans="4:11" ht="13">
      <c r="D580" s="15"/>
      <c r="F580" s="15"/>
      <c r="I580" s="15"/>
      <c r="K580" s="15"/>
    </row>
    <row r="581" spans="4:11" ht="13">
      <c r="D581" s="15"/>
      <c r="F581" s="15"/>
      <c r="I581" s="15"/>
      <c r="K581" s="15"/>
    </row>
    <row r="582" spans="4:11" ht="13">
      <c r="D582" s="15"/>
      <c r="F582" s="15"/>
      <c r="I582" s="15"/>
      <c r="K582" s="15"/>
    </row>
    <row r="583" spans="4:11" ht="13">
      <c r="D583" s="15"/>
      <c r="F583" s="15"/>
      <c r="I583" s="15"/>
      <c r="K583" s="15"/>
    </row>
    <row r="584" spans="4:11" ht="13">
      <c r="D584" s="15"/>
      <c r="F584" s="15"/>
      <c r="K584" s="15"/>
    </row>
    <row r="585" spans="4:11" ht="13">
      <c r="D585" s="15"/>
      <c r="F585" s="15"/>
      <c r="K585" s="15"/>
    </row>
    <row r="586" spans="4:11" ht="13">
      <c r="D586" s="15"/>
      <c r="F586" s="15"/>
      <c r="K586" s="15"/>
    </row>
    <row r="587" spans="4:11" ht="13">
      <c r="D587" s="15"/>
      <c r="F587" s="15"/>
      <c r="K587" s="15"/>
    </row>
    <row r="588" spans="4:11" ht="13">
      <c r="D588" s="15"/>
      <c r="F588" s="15"/>
      <c r="K588" s="15"/>
    </row>
    <row r="589" spans="4:11" ht="13">
      <c r="D589" s="15"/>
      <c r="F589" s="15"/>
      <c r="K589" s="15"/>
    </row>
    <row r="590" spans="4:11" ht="13">
      <c r="D590" s="15"/>
      <c r="F590" s="15"/>
      <c r="K590" s="15"/>
    </row>
    <row r="591" spans="4:11" ht="13">
      <c r="D591" s="15"/>
      <c r="F591" s="15"/>
      <c r="K591" s="15"/>
    </row>
    <row r="592" spans="4:11" ht="13">
      <c r="D592" s="15"/>
      <c r="F592" s="15"/>
      <c r="K592" s="15"/>
    </row>
    <row r="593" spans="4:11" ht="13">
      <c r="D593" s="15"/>
      <c r="F593" s="15"/>
      <c r="K593" s="15"/>
    </row>
    <row r="594" spans="4:11" ht="13">
      <c r="D594" s="15"/>
      <c r="F594" s="15"/>
      <c r="K594" s="15"/>
    </row>
    <row r="595" spans="4:11" ht="13">
      <c r="D595" s="15"/>
      <c r="F595" s="15"/>
      <c r="K595" s="15"/>
    </row>
    <row r="596" spans="4:11" ht="13">
      <c r="D596" s="15"/>
      <c r="F596" s="15"/>
      <c r="K596" s="15"/>
    </row>
    <row r="597" spans="4:11" ht="13">
      <c r="D597" s="15"/>
      <c r="F597" s="15"/>
      <c r="K597" s="15"/>
    </row>
    <row r="598" spans="4:11" ht="13">
      <c r="D598" s="15"/>
      <c r="F598" s="15"/>
      <c r="K598" s="15"/>
    </row>
    <row r="599" spans="4:11" ht="13">
      <c r="D599" s="15"/>
      <c r="F599" s="15"/>
      <c r="K599" s="15"/>
    </row>
    <row r="600" spans="4:11" ht="13">
      <c r="D600" s="15"/>
      <c r="F600" s="15"/>
      <c r="K600" s="15"/>
    </row>
    <row r="601" spans="4:11" ht="13">
      <c r="D601" s="15"/>
      <c r="F601" s="15"/>
      <c r="K601" s="15"/>
    </row>
    <row r="602" spans="4:11" ht="13">
      <c r="D602" s="15"/>
      <c r="F602" s="15"/>
      <c r="K602" s="15"/>
    </row>
    <row r="603" spans="4:11" ht="13">
      <c r="D603" s="15"/>
      <c r="F603" s="15"/>
      <c r="K603" s="15"/>
    </row>
    <row r="604" spans="4:11" ht="13">
      <c r="D604" s="15"/>
      <c r="F604" s="15"/>
      <c r="K604" s="15"/>
    </row>
    <row r="605" spans="4:11" ht="13">
      <c r="D605" s="15"/>
      <c r="F605" s="15"/>
      <c r="K605" s="15"/>
    </row>
    <row r="606" spans="4:11" ht="13">
      <c r="D606" s="15"/>
      <c r="F606" s="15"/>
      <c r="K606" s="15"/>
    </row>
    <row r="607" spans="4:11" ht="13">
      <c r="D607" s="15"/>
      <c r="F607" s="15"/>
      <c r="K607" s="15"/>
    </row>
    <row r="608" spans="4:11" ht="13">
      <c r="D608" s="15"/>
      <c r="F608" s="15"/>
      <c r="K608" s="15"/>
    </row>
    <row r="609" spans="4:11" ht="13">
      <c r="D609" s="15"/>
      <c r="F609" s="15"/>
      <c r="K609" s="15"/>
    </row>
    <row r="610" spans="4:11" ht="13">
      <c r="D610" s="15"/>
      <c r="F610" s="15"/>
      <c r="K610" s="15"/>
    </row>
    <row r="611" spans="4:11" ht="13">
      <c r="D611" s="15"/>
      <c r="F611" s="15"/>
      <c r="K611" s="15"/>
    </row>
    <row r="612" spans="4:11" ht="13">
      <c r="D612" s="15"/>
      <c r="F612" s="15"/>
      <c r="K612" s="15"/>
    </row>
    <row r="613" spans="4:11" ht="13">
      <c r="D613" s="15"/>
      <c r="F613" s="15"/>
      <c r="K613" s="15"/>
    </row>
    <row r="614" spans="4:11" ht="13">
      <c r="D614" s="15"/>
      <c r="F614" s="15"/>
      <c r="K614" s="15"/>
    </row>
    <row r="615" spans="4:11" ht="13">
      <c r="D615" s="15"/>
      <c r="F615" s="15"/>
      <c r="K615" s="15"/>
    </row>
    <row r="616" spans="4:11" ht="13">
      <c r="D616" s="15"/>
      <c r="F616" s="15"/>
      <c r="K616" s="15"/>
    </row>
    <row r="617" spans="4:11" ht="13">
      <c r="D617" s="15"/>
      <c r="F617" s="15"/>
      <c r="K617" s="15"/>
    </row>
    <row r="618" spans="4:11" ht="13">
      <c r="D618" s="15"/>
      <c r="F618" s="15"/>
      <c r="K618" s="15"/>
    </row>
    <row r="619" spans="4:11" ht="13">
      <c r="D619" s="15"/>
      <c r="F619" s="15"/>
      <c r="K619" s="15"/>
    </row>
    <row r="620" spans="4:11" ht="13">
      <c r="D620" s="15"/>
      <c r="F620" s="15"/>
      <c r="K620" s="15"/>
    </row>
    <row r="621" spans="4:11" ht="13">
      <c r="D621" s="15"/>
      <c r="F621" s="15"/>
      <c r="K621" s="15"/>
    </row>
    <row r="622" spans="4:11" ht="13">
      <c r="D622" s="15"/>
      <c r="F622" s="15"/>
      <c r="K622" s="15"/>
    </row>
    <row r="623" spans="4:11" ht="13">
      <c r="D623" s="15"/>
      <c r="F623" s="15"/>
      <c r="K623" s="15"/>
    </row>
    <row r="624" spans="4:11" ht="13">
      <c r="D624" s="15"/>
      <c r="F624" s="15"/>
      <c r="K624" s="15"/>
    </row>
    <row r="625" spans="4:11" ht="13">
      <c r="D625" s="15"/>
      <c r="F625" s="15"/>
      <c r="K625" s="15"/>
    </row>
    <row r="626" spans="4:11" ht="13">
      <c r="D626" s="15"/>
      <c r="F626" s="15"/>
      <c r="K626" s="15"/>
    </row>
    <row r="627" spans="4:11" ht="13">
      <c r="D627" s="15"/>
      <c r="F627" s="15"/>
      <c r="K627" s="15"/>
    </row>
    <row r="628" spans="4:11" ht="13">
      <c r="D628" s="15"/>
      <c r="F628" s="15"/>
      <c r="K628" s="15"/>
    </row>
    <row r="629" spans="4:11" ht="13">
      <c r="D629" s="15"/>
      <c r="F629" s="15"/>
      <c r="K629" s="15"/>
    </row>
    <row r="630" spans="4:11" ht="13">
      <c r="D630" s="15"/>
      <c r="F630" s="15"/>
      <c r="K630" s="15"/>
    </row>
    <row r="631" spans="4:11" ht="13">
      <c r="D631" s="15"/>
      <c r="F631" s="15"/>
      <c r="K631" s="15"/>
    </row>
    <row r="632" spans="4:11" ht="13">
      <c r="D632" s="15"/>
      <c r="F632" s="15"/>
      <c r="K632" s="15"/>
    </row>
    <row r="633" spans="4:11" ht="13">
      <c r="D633" s="15"/>
      <c r="F633" s="15"/>
      <c r="K633" s="15"/>
    </row>
    <row r="634" spans="4:11" ht="13">
      <c r="D634" s="15"/>
      <c r="F634" s="15"/>
      <c r="K634" s="15"/>
    </row>
    <row r="635" spans="4:11" ht="13">
      <c r="D635" s="15"/>
      <c r="F635" s="15"/>
      <c r="K635" s="15"/>
    </row>
    <row r="636" spans="4:11" ht="13">
      <c r="D636" s="15"/>
      <c r="F636" s="15"/>
      <c r="K636" s="15"/>
    </row>
    <row r="637" spans="4:11" ht="13">
      <c r="D637" s="15"/>
      <c r="F637" s="15"/>
      <c r="K637" s="15"/>
    </row>
    <row r="638" spans="4:11" ht="13">
      <c r="D638" s="15"/>
      <c r="F638" s="15"/>
      <c r="K638" s="15"/>
    </row>
    <row r="639" spans="4:11" ht="13">
      <c r="D639" s="15"/>
      <c r="F639" s="15"/>
      <c r="K639" s="15"/>
    </row>
    <row r="640" spans="4:11" ht="13">
      <c r="D640" s="15"/>
      <c r="F640" s="15"/>
      <c r="K640" s="15"/>
    </row>
    <row r="641" spans="4:11" ht="13">
      <c r="D641" s="15"/>
      <c r="F641" s="15"/>
      <c r="K641" s="15"/>
    </row>
    <row r="642" spans="4:11" ht="13">
      <c r="D642" s="15"/>
      <c r="F642" s="15"/>
      <c r="K642" s="15"/>
    </row>
    <row r="643" spans="4:11" ht="13">
      <c r="D643" s="15"/>
      <c r="F643" s="15"/>
      <c r="K643" s="15"/>
    </row>
    <row r="644" spans="4:11" ht="13">
      <c r="D644" s="15"/>
      <c r="F644" s="15"/>
      <c r="K644" s="15"/>
    </row>
    <row r="645" spans="4:11" ht="13">
      <c r="D645" s="15"/>
      <c r="F645" s="15"/>
      <c r="K645" s="15"/>
    </row>
    <row r="646" spans="4:11" ht="13">
      <c r="D646" s="15"/>
      <c r="F646" s="15"/>
      <c r="K646" s="15"/>
    </row>
    <row r="647" spans="4:11" ht="13">
      <c r="D647" s="15"/>
      <c r="F647" s="15"/>
      <c r="K647" s="15"/>
    </row>
    <row r="648" spans="4:11" ht="13">
      <c r="D648" s="15"/>
      <c r="F648" s="15"/>
      <c r="K648" s="15"/>
    </row>
    <row r="649" spans="4:11" ht="13">
      <c r="D649" s="15"/>
      <c r="F649" s="15"/>
      <c r="K649" s="15"/>
    </row>
    <row r="650" spans="4:11" ht="13">
      <c r="D650" s="15"/>
      <c r="F650" s="15"/>
      <c r="K650" s="15"/>
    </row>
    <row r="651" spans="4:11" ht="13">
      <c r="D651" s="15"/>
    </row>
    <row r="652" spans="4:11" ht="13">
      <c r="D652" s="15"/>
    </row>
    <row r="653" spans="4:11" ht="13">
      <c r="D653" s="15"/>
    </row>
    <row r="654" spans="4:11" ht="13">
      <c r="D654" s="15"/>
    </row>
    <row r="655" spans="4:11" ht="13">
      <c r="D655" s="15"/>
    </row>
    <row r="656" spans="4:11" ht="13">
      <c r="D656" s="15"/>
    </row>
    <row r="657" spans="4:4" ht="13">
      <c r="D657" s="15"/>
    </row>
    <row r="658" spans="4:4" ht="13">
      <c r="D658" s="15"/>
    </row>
    <row r="659" spans="4:4" ht="13">
      <c r="D659" s="15"/>
    </row>
    <row r="660" spans="4:4" ht="13">
      <c r="D660" s="15"/>
    </row>
    <row r="661" spans="4:4" ht="13">
      <c r="D661" s="15"/>
    </row>
    <row r="662" spans="4:4" ht="13">
      <c r="D662" s="15"/>
    </row>
    <row r="663" spans="4:4" ht="13">
      <c r="D663" s="15"/>
    </row>
    <row r="664" spans="4:4" ht="13">
      <c r="D664" s="15"/>
    </row>
    <row r="665" spans="4:4" ht="13">
      <c r="D665" s="15"/>
    </row>
    <row r="666" spans="4:4" ht="13">
      <c r="D666" s="15"/>
    </row>
    <row r="667" spans="4:4" ht="13">
      <c r="D667" s="15"/>
    </row>
    <row r="668" spans="4:4" ht="13">
      <c r="D668" s="15"/>
    </row>
    <row r="669" spans="4:4" ht="13">
      <c r="D669" s="15"/>
    </row>
    <row r="670" spans="4:4" ht="13">
      <c r="D670" s="15"/>
    </row>
    <row r="671" spans="4:4" ht="13">
      <c r="D671" s="15"/>
    </row>
    <row r="672" spans="4:4" ht="13">
      <c r="D672" s="15"/>
    </row>
    <row r="673" spans="4:4" ht="13">
      <c r="D673" s="15"/>
    </row>
    <row r="674" spans="4:4" ht="13">
      <c r="D674" s="15"/>
    </row>
    <row r="675" spans="4:4" ht="13">
      <c r="D675" s="15"/>
    </row>
    <row r="676" spans="4:4" ht="13">
      <c r="D676" s="15"/>
    </row>
    <row r="677" spans="4:4" ht="13">
      <c r="D677" s="15"/>
    </row>
    <row r="678" spans="4:4" ht="13">
      <c r="D678" s="15"/>
    </row>
    <row r="679" spans="4:4" ht="13">
      <c r="D679" s="15"/>
    </row>
    <row r="680" spans="4:4" ht="13">
      <c r="D680" s="15"/>
    </row>
    <row r="681" spans="4:4" ht="13">
      <c r="D681" s="15"/>
    </row>
    <row r="682" spans="4:4" ht="13">
      <c r="D682" s="15"/>
    </row>
    <row r="683" spans="4:4" ht="13">
      <c r="D683" s="15"/>
    </row>
    <row r="684" spans="4:4" ht="13">
      <c r="D684" s="15"/>
    </row>
    <row r="685" spans="4:4" ht="13">
      <c r="D685" s="15"/>
    </row>
    <row r="686" spans="4:4" ht="13">
      <c r="D686" s="15"/>
    </row>
    <row r="687" spans="4:4" ht="13">
      <c r="D687" s="15"/>
    </row>
    <row r="688" spans="4:4" ht="13">
      <c r="D688" s="15"/>
    </row>
    <row r="689" spans="4:4" ht="13">
      <c r="D689" s="15"/>
    </row>
    <row r="690" spans="4:4" ht="13">
      <c r="D690" s="15"/>
    </row>
    <row r="691" spans="4:4" ht="13">
      <c r="D691" s="15"/>
    </row>
    <row r="692" spans="4:4" ht="13">
      <c r="D692" s="15"/>
    </row>
    <row r="693" spans="4:4" ht="13">
      <c r="D693" s="15"/>
    </row>
    <row r="694" spans="4:4" ht="13">
      <c r="D694" s="15"/>
    </row>
    <row r="695" spans="4:4" ht="13">
      <c r="D695" s="15"/>
    </row>
    <row r="696" spans="4:4" ht="13">
      <c r="D696" s="15"/>
    </row>
    <row r="697" spans="4:4" ht="13">
      <c r="D697" s="15"/>
    </row>
    <row r="698" spans="4:4" ht="13">
      <c r="D698" s="15"/>
    </row>
    <row r="699" spans="4:4" ht="13">
      <c r="D699" s="15"/>
    </row>
    <row r="700" spans="4:4" ht="13">
      <c r="D700" s="15"/>
    </row>
    <row r="701" spans="4:4" ht="13">
      <c r="D701" s="15"/>
    </row>
    <row r="702" spans="4:4" ht="13">
      <c r="D702" s="15"/>
    </row>
    <row r="703" spans="4:4" ht="13">
      <c r="D703" s="15"/>
    </row>
    <row r="704" spans="4:4" ht="13">
      <c r="D704" s="15"/>
    </row>
    <row r="705" spans="4:4" ht="13">
      <c r="D705" s="15"/>
    </row>
    <row r="706" spans="4:4" ht="13">
      <c r="D706" s="15"/>
    </row>
    <row r="707" spans="4:4" ht="13">
      <c r="D707" s="15"/>
    </row>
    <row r="708" spans="4:4" ht="13">
      <c r="D708" s="15"/>
    </row>
    <row r="709" spans="4:4" ht="13">
      <c r="D709" s="15"/>
    </row>
    <row r="710" spans="4:4" ht="13">
      <c r="D710" s="15"/>
    </row>
    <row r="711" spans="4:4" ht="13">
      <c r="D711" s="15"/>
    </row>
    <row r="712" spans="4:4" ht="13">
      <c r="D712" s="15"/>
    </row>
    <row r="713" spans="4:4" ht="13">
      <c r="D713" s="15"/>
    </row>
    <row r="714" spans="4:4" ht="13">
      <c r="D714" s="15"/>
    </row>
    <row r="715" spans="4:4" ht="13">
      <c r="D715" s="15"/>
    </row>
    <row r="716" spans="4:4" ht="13">
      <c r="D716" s="15"/>
    </row>
    <row r="717" spans="4:4" ht="13">
      <c r="D717" s="15"/>
    </row>
    <row r="718" spans="4:4" ht="13">
      <c r="D718" s="15"/>
    </row>
    <row r="719" spans="4:4" ht="13">
      <c r="D719" s="15"/>
    </row>
    <row r="720" spans="4:4" ht="13">
      <c r="D720" s="15"/>
    </row>
    <row r="721" spans="4:4" ht="13">
      <c r="D721" s="15"/>
    </row>
    <row r="722" spans="4:4" ht="13">
      <c r="D722" s="15"/>
    </row>
    <row r="723" spans="4:4" ht="13">
      <c r="D723" s="15"/>
    </row>
    <row r="724" spans="4:4" ht="13">
      <c r="D724" s="15"/>
    </row>
    <row r="725" spans="4:4" ht="13">
      <c r="D725" s="15"/>
    </row>
    <row r="726" spans="4:4" ht="13">
      <c r="D726" s="15"/>
    </row>
    <row r="727" spans="4:4" ht="13">
      <c r="D727" s="15"/>
    </row>
    <row r="728" spans="4:4" ht="13">
      <c r="D728" s="15"/>
    </row>
    <row r="729" spans="4:4" ht="13">
      <c r="D729" s="15"/>
    </row>
    <row r="730" spans="4:4" ht="13">
      <c r="D730" s="15"/>
    </row>
    <row r="731" spans="4:4" ht="13">
      <c r="D731" s="15"/>
    </row>
    <row r="732" spans="4:4" ht="13">
      <c r="D732" s="15"/>
    </row>
    <row r="733" spans="4:4" ht="13">
      <c r="D733" s="15"/>
    </row>
    <row r="734" spans="4:4" ht="13">
      <c r="D734" s="15"/>
    </row>
    <row r="735" spans="4:4" ht="13">
      <c r="D735" s="15"/>
    </row>
    <row r="736" spans="4:4" ht="13">
      <c r="D736" s="15"/>
    </row>
    <row r="737" spans="4:4" ht="13">
      <c r="D737" s="15"/>
    </row>
    <row r="738" spans="4:4" ht="13">
      <c r="D738" s="15"/>
    </row>
    <row r="739" spans="4:4" ht="13">
      <c r="D739" s="15"/>
    </row>
    <row r="740" spans="4:4" ht="13">
      <c r="D740" s="15"/>
    </row>
    <row r="741" spans="4:4" ht="13">
      <c r="D741" s="15"/>
    </row>
    <row r="742" spans="4:4" ht="13">
      <c r="D742" s="15"/>
    </row>
    <row r="743" spans="4:4" ht="13">
      <c r="D743" s="15"/>
    </row>
    <row r="744" spans="4:4" ht="13">
      <c r="D744" s="15"/>
    </row>
    <row r="745" spans="4:4" ht="13">
      <c r="D745" s="15"/>
    </row>
    <row r="746" spans="4:4" ht="13">
      <c r="D746" s="15"/>
    </row>
    <row r="747" spans="4:4" ht="13">
      <c r="D747" s="15"/>
    </row>
    <row r="748" spans="4:4" ht="13">
      <c r="D748" s="15"/>
    </row>
    <row r="749" spans="4:4" ht="13">
      <c r="D749" s="15"/>
    </row>
    <row r="750" spans="4:4" ht="13">
      <c r="D750" s="15"/>
    </row>
    <row r="751" spans="4:4" ht="13">
      <c r="D751" s="15"/>
    </row>
    <row r="752" spans="4:4" ht="13">
      <c r="D752" s="15"/>
    </row>
    <row r="753" spans="4:4" ht="13">
      <c r="D753" s="15"/>
    </row>
    <row r="754" spans="4:4" ht="13">
      <c r="D754" s="15"/>
    </row>
    <row r="755" spans="4:4" ht="13">
      <c r="D755" s="15"/>
    </row>
    <row r="756" spans="4:4" ht="13">
      <c r="D756" s="15"/>
    </row>
    <row r="757" spans="4:4" ht="13">
      <c r="D757" s="15"/>
    </row>
    <row r="758" spans="4:4" ht="13">
      <c r="D758" s="15"/>
    </row>
    <row r="759" spans="4:4" ht="13">
      <c r="D759" s="15"/>
    </row>
    <row r="760" spans="4:4" ht="13">
      <c r="D760" s="15"/>
    </row>
    <row r="761" spans="4:4" ht="13">
      <c r="D761" s="15"/>
    </row>
    <row r="762" spans="4:4" ht="13">
      <c r="D762" s="15"/>
    </row>
    <row r="763" spans="4:4" ht="13">
      <c r="D763" s="15"/>
    </row>
    <row r="764" spans="4:4" ht="13">
      <c r="D764" s="15"/>
    </row>
    <row r="765" spans="4:4" ht="13">
      <c r="D765" s="15"/>
    </row>
    <row r="766" spans="4:4" ht="13">
      <c r="D766" s="15"/>
    </row>
    <row r="767" spans="4:4" ht="13">
      <c r="D767" s="15"/>
    </row>
    <row r="768" spans="4:4" ht="13">
      <c r="D768" s="15"/>
    </row>
    <row r="769" spans="4:4" ht="13">
      <c r="D769" s="15"/>
    </row>
    <row r="770" spans="4:4" ht="13">
      <c r="D770" s="15"/>
    </row>
    <row r="771" spans="4:4" ht="13">
      <c r="D771" s="15"/>
    </row>
    <row r="772" spans="4:4" ht="13">
      <c r="D772" s="15"/>
    </row>
    <row r="773" spans="4:4" ht="13">
      <c r="D773" s="15"/>
    </row>
    <row r="774" spans="4:4" ht="13">
      <c r="D774" s="15"/>
    </row>
    <row r="775" spans="4:4" ht="13">
      <c r="D775" s="15"/>
    </row>
    <row r="776" spans="4:4" ht="13">
      <c r="D776" s="15"/>
    </row>
    <row r="777" spans="4:4" ht="13">
      <c r="D777" s="15"/>
    </row>
    <row r="778" spans="4:4" ht="13">
      <c r="D778" s="15"/>
    </row>
    <row r="779" spans="4:4" ht="13">
      <c r="D779" s="15"/>
    </row>
    <row r="780" spans="4:4" ht="13">
      <c r="D780" s="15"/>
    </row>
    <row r="781" spans="4:4" ht="13">
      <c r="D781" s="15"/>
    </row>
    <row r="782" spans="4:4" ht="13">
      <c r="D782" s="15"/>
    </row>
    <row r="783" spans="4:4" ht="13">
      <c r="D783" s="15"/>
    </row>
    <row r="784" spans="4:4" ht="13">
      <c r="D784" s="15"/>
    </row>
    <row r="785" spans="4:4" ht="13">
      <c r="D785" s="15"/>
    </row>
    <row r="786" spans="4:4" ht="13">
      <c r="D786" s="15"/>
    </row>
    <row r="787" spans="4:4" ht="13">
      <c r="D787" s="15"/>
    </row>
    <row r="788" spans="4:4" ht="13">
      <c r="D788" s="15"/>
    </row>
    <row r="789" spans="4:4" ht="13">
      <c r="D789" s="15"/>
    </row>
    <row r="790" spans="4:4" ht="13">
      <c r="D790" s="15"/>
    </row>
    <row r="791" spans="4:4" ht="13">
      <c r="D791" s="15"/>
    </row>
    <row r="792" spans="4:4" ht="13">
      <c r="D792" s="15"/>
    </row>
    <row r="793" spans="4:4" ht="13">
      <c r="D793" s="15"/>
    </row>
    <row r="794" spans="4:4" ht="13">
      <c r="D794" s="15"/>
    </row>
    <row r="795" spans="4:4" ht="13">
      <c r="D795" s="15"/>
    </row>
    <row r="796" spans="4:4" ht="13">
      <c r="D796" s="15"/>
    </row>
    <row r="797" spans="4:4" ht="13">
      <c r="D797" s="15"/>
    </row>
    <row r="798" spans="4:4" ht="13">
      <c r="D798" s="15"/>
    </row>
    <row r="799" spans="4:4" ht="13">
      <c r="D799" s="15"/>
    </row>
    <row r="800" spans="4:4" ht="13">
      <c r="D800" s="15"/>
    </row>
    <row r="801" spans="4:4" ht="13">
      <c r="D801" s="15"/>
    </row>
    <row r="802" spans="4:4" ht="13">
      <c r="D802" s="15"/>
    </row>
    <row r="803" spans="4:4" ht="13">
      <c r="D803" s="15"/>
    </row>
    <row r="804" spans="4:4" ht="13">
      <c r="D804" s="15"/>
    </row>
    <row r="805" spans="4:4" ht="13">
      <c r="D805" s="15"/>
    </row>
    <row r="806" spans="4:4" ht="13">
      <c r="D806" s="15"/>
    </row>
    <row r="807" spans="4:4" ht="13">
      <c r="D807" s="15"/>
    </row>
    <row r="808" spans="4:4" ht="13">
      <c r="D808" s="15"/>
    </row>
    <row r="809" spans="4:4" ht="13">
      <c r="D809" s="15"/>
    </row>
    <row r="810" spans="4:4" ht="13">
      <c r="D810" s="15"/>
    </row>
    <row r="811" spans="4:4" ht="13">
      <c r="D811" s="15"/>
    </row>
    <row r="812" spans="4:4" ht="13">
      <c r="D812" s="15"/>
    </row>
    <row r="813" spans="4:4" ht="13">
      <c r="D813" s="15"/>
    </row>
    <row r="814" spans="4:4" ht="13">
      <c r="D814" s="15"/>
    </row>
    <row r="815" spans="4:4" ht="13">
      <c r="D815" s="15"/>
    </row>
    <row r="816" spans="4:4" ht="13">
      <c r="D816" s="15"/>
    </row>
    <row r="817" spans="4:4" ht="13">
      <c r="D817" s="15"/>
    </row>
    <row r="818" spans="4:4" ht="13">
      <c r="D818" s="15"/>
    </row>
    <row r="819" spans="4:4" ht="13">
      <c r="D819" s="15"/>
    </row>
    <row r="820" spans="4:4" ht="13">
      <c r="D820" s="15"/>
    </row>
    <row r="821" spans="4:4" ht="13">
      <c r="D821" s="15"/>
    </row>
    <row r="822" spans="4:4" ht="13">
      <c r="D822" s="15"/>
    </row>
    <row r="823" spans="4:4" ht="13">
      <c r="D823" s="15"/>
    </row>
    <row r="824" spans="4:4" ht="13">
      <c r="D824" s="15"/>
    </row>
    <row r="825" spans="4:4" ht="13">
      <c r="D825" s="15"/>
    </row>
    <row r="826" spans="4:4" ht="13">
      <c r="D826" s="15"/>
    </row>
    <row r="827" spans="4:4" ht="13">
      <c r="D827" s="15"/>
    </row>
    <row r="828" spans="4:4" ht="13">
      <c r="D828" s="15"/>
    </row>
    <row r="829" spans="4:4" ht="13">
      <c r="D829" s="15"/>
    </row>
    <row r="830" spans="4:4" ht="13">
      <c r="D830" s="15"/>
    </row>
    <row r="831" spans="4:4" ht="13">
      <c r="D831" s="15"/>
    </row>
    <row r="832" spans="4:4" ht="13">
      <c r="D832" s="15"/>
    </row>
    <row r="833" spans="4:4" ht="13">
      <c r="D833" s="15"/>
    </row>
    <row r="834" spans="4:4" ht="13">
      <c r="D834" s="15"/>
    </row>
    <row r="835" spans="4:4" ht="13">
      <c r="D835" s="15"/>
    </row>
    <row r="836" spans="4:4" ht="13">
      <c r="D836" s="15"/>
    </row>
    <row r="837" spans="4:4" ht="13">
      <c r="D837" s="15"/>
    </row>
    <row r="838" spans="4:4" ht="13">
      <c r="D838" s="15"/>
    </row>
    <row r="839" spans="4:4" ht="13">
      <c r="D839" s="15"/>
    </row>
    <row r="840" spans="4:4" ht="13">
      <c r="D840" s="15"/>
    </row>
    <row r="841" spans="4:4" ht="13">
      <c r="D841" s="15"/>
    </row>
    <row r="842" spans="4:4" ht="13">
      <c r="D842" s="15"/>
    </row>
    <row r="843" spans="4:4" ht="13">
      <c r="D843" s="15"/>
    </row>
    <row r="844" spans="4:4" ht="13">
      <c r="D844" s="15"/>
    </row>
    <row r="845" spans="4:4" ht="13">
      <c r="D845" s="15"/>
    </row>
    <row r="846" spans="4:4" ht="13">
      <c r="D846" s="15"/>
    </row>
    <row r="847" spans="4:4" ht="13">
      <c r="D847" s="15"/>
    </row>
    <row r="848" spans="4:4" ht="13">
      <c r="D848" s="15"/>
    </row>
    <row r="849" spans="4:4" ht="13">
      <c r="D849" s="15"/>
    </row>
    <row r="850" spans="4:4" ht="13">
      <c r="D850" s="15"/>
    </row>
    <row r="851" spans="4:4" ht="13">
      <c r="D851" s="15"/>
    </row>
    <row r="852" spans="4:4" ht="13">
      <c r="D852" s="15"/>
    </row>
    <row r="853" spans="4:4" ht="13">
      <c r="D853" s="15"/>
    </row>
    <row r="854" spans="4:4" ht="13">
      <c r="D854" s="15"/>
    </row>
    <row r="855" spans="4:4" ht="13">
      <c r="D855" s="15"/>
    </row>
    <row r="856" spans="4:4" ht="13">
      <c r="D856" s="15"/>
    </row>
    <row r="857" spans="4:4" ht="13">
      <c r="D857" s="15"/>
    </row>
    <row r="858" spans="4:4" ht="13">
      <c r="D858" s="15"/>
    </row>
    <row r="859" spans="4:4" ht="13">
      <c r="D859" s="15"/>
    </row>
    <row r="860" spans="4:4" ht="13">
      <c r="D860" s="15"/>
    </row>
    <row r="861" spans="4:4" ht="13">
      <c r="D861" s="15"/>
    </row>
    <row r="862" spans="4:4" ht="13">
      <c r="D862" s="15"/>
    </row>
    <row r="863" spans="4:4" ht="13">
      <c r="D863" s="15"/>
    </row>
    <row r="864" spans="4:4" ht="13">
      <c r="D864" s="15"/>
    </row>
    <row r="865" spans="4:4" ht="13">
      <c r="D865" s="15"/>
    </row>
    <row r="866" spans="4:4" ht="13">
      <c r="D866" s="15"/>
    </row>
    <row r="867" spans="4:4" ht="13">
      <c r="D867" s="15"/>
    </row>
    <row r="868" spans="4:4" ht="13">
      <c r="D868" s="15"/>
    </row>
    <row r="869" spans="4:4" ht="13">
      <c r="D869" s="15"/>
    </row>
    <row r="870" spans="4:4" ht="13">
      <c r="D870" s="15"/>
    </row>
    <row r="871" spans="4:4" ht="13">
      <c r="D871" s="15"/>
    </row>
    <row r="872" spans="4:4" ht="13">
      <c r="D872" s="15"/>
    </row>
    <row r="873" spans="4:4" ht="13">
      <c r="D873" s="15"/>
    </row>
    <row r="874" spans="4:4" ht="13">
      <c r="D874" s="15"/>
    </row>
    <row r="875" spans="4:4" ht="13">
      <c r="D875" s="15"/>
    </row>
    <row r="876" spans="4:4" ht="13">
      <c r="D876" s="15"/>
    </row>
    <row r="877" spans="4:4" ht="13">
      <c r="D877" s="15"/>
    </row>
    <row r="878" spans="4:4" ht="13">
      <c r="D878" s="15"/>
    </row>
    <row r="879" spans="4:4" ht="13">
      <c r="D879" s="15"/>
    </row>
    <row r="880" spans="4:4" ht="13">
      <c r="D880" s="15"/>
    </row>
    <row r="881" spans="4:4" ht="13">
      <c r="D881" s="15"/>
    </row>
    <row r="882" spans="4:4" ht="13">
      <c r="D882" s="15"/>
    </row>
    <row r="883" spans="4:4" ht="13">
      <c r="D883" s="15"/>
    </row>
    <row r="884" spans="4:4" ht="13">
      <c r="D884" s="15"/>
    </row>
    <row r="885" spans="4:4" ht="13">
      <c r="D885" s="15"/>
    </row>
    <row r="886" spans="4:4" ht="13">
      <c r="D886" s="15"/>
    </row>
    <row r="887" spans="4:4" ht="13">
      <c r="D887" s="15"/>
    </row>
    <row r="888" spans="4:4" ht="13">
      <c r="D888" s="15"/>
    </row>
    <row r="889" spans="4:4" ht="13">
      <c r="D889" s="15"/>
    </row>
    <row r="890" spans="4:4" ht="13">
      <c r="D890" s="15"/>
    </row>
    <row r="891" spans="4:4" ht="13">
      <c r="D891" s="15"/>
    </row>
    <row r="892" spans="4:4" ht="13">
      <c r="D892" s="15"/>
    </row>
    <row r="893" spans="4:4" ht="13">
      <c r="D893" s="15"/>
    </row>
    <row r="894" spans="4:4" ht="13">
      <c r="D894" s="15"/>
    </row>
    <row r="895" spans="4:4" ht="13">
      <c r="D895" s="15"/>
    </row>
    <row r="896" spans="4:4" ht="13">
      <c r="D896" s="15"/>
    </row>
    <row r="897" spans="4:4" ht="13">
      <c r="D897" s="15"/>
    </row>
    <row r="898" spans="4:4" ht="13">
      <c r="D898" s="15"/>
    </row>
    <row r="899" spans="4:4" ht="13">
      <c r="D899" s="15"/>
    </row>
    <row r="900" spans="4:4" ht="13">
      <c r="D900" s="15"/>
    </row>
    <row r="901" spans="4:4" ht="13">
      <c r="D901" s="15"/>
    </row>
    <row r="902" spans="4:4" ht="13">
      <c r="D902" s="15"/>
    </row>
    <row r="903" spans="4:4" ht="13">
      <c r="D903" s="15"/>
    </row>
    <row r="904" spans="4:4" ht="13">
      <c r="D904" s="15"/>
    </row>
    <row r="905" spans="4:4" ht="13">
      <c r="D905" s="15"/>
    </row>
    <row r="906" spans="4:4" ht="13">
      <c r="D906" s="15"/>
    </row>
    <row r="907" spans="4:4" ht="13">
      <c r="D907" s="15"/>
    </row>
    <row r="908" spans="4:4" ht="13">
      <c r="D908" s="15"/>
    </row>
    <row r="909" spans="4:4" ht="13">
      <c r="D909" s="15"/>
    </row>
    <row r="910" spans="4:4" ht="13">
      <c r="D910" s="15"/>
    </row>
    <row r="911" spans="4:4" ht="13">
      <c r="D911" s="15"/>
    </row>
    <row r="912" spans="4:4" ht="13">
      <c r="D912" s="15"/>
    </row>
    <row r="913" spans="4:4" ht="13">
      <c r="D913" s="15"/>
    </row>
    <row r="914" spans="4:4" ht="13">
      <c r="D914" s="15"/>
    </row>
    <row r="915" spans="4:4" ht="13">
      <c r="D915" s="15"/>
    </row>
    <row r="916" spans="4:4" ht="13">
      <c r="D916" s="15"/>
    </row>
    <row r="917" spans="4:4" ht="13">
      <c r="D917" s="15"/>
    </row>
    <row r="918" spans="4:4" ht="13">
      <c r="D918" s="15"/>
    </row>
    <row r="919" spans="4:4" ht="13">
      <c r="D919" s="15"/>
    </row>
    <row r="920" spans="4:4" ht="13">
      <c r="D920" s="15"/>
    </row>
    <row r="921" spans="4:4" ht="13">
      <c r="D921" s="15"/>
    </row>
    <row r="922" spans="4:4" ht="13">
      <c r="D922" s="15"/>
    </row>
    <row r="923" spans="4:4" ht="13">
      <c r="D923" s="15"/>
    </row>
    <row r="924" spans="4:4" ht="13">
      <c r="D924" s="15"/>
    </row>
    <row r="925" spans="4:4" ht="13">
      <c r="D925" s="15"/>
    </row>
    <row r="926" spans="4:4" ht="13">
      <c r="D926" s="15"/>
    </row>
    <row r="927" spans="4:4" ht="13">
      <c r="D927" s="15"/>
    </row>
    <row r="928" spans="4:4" ht="13">
      <c r="D928" s="15"/>
    </row>
    <row r="929" spans="4:4" ht="13">
      <c r="D929" s="15"/>
    </row>
    <row r="930" spans="4:4" ht="13">
      <c r="D930" s="15"/>
    </row>
    <row r="931" spans="4:4" ht="13">
      <c r="D931" s="15"/>
    </row>
    <row r="932" spans="4:4" ht="13">
      <c r="D932" s="15"/>
    </row>
    <row r="933" spans="4:4" ht="13">
      <c r="D933" s="15"/>
    </row>
  </sheetData>
  <mergeCells count="22">
    <mergeCell ref="A1:D4"/>
    <mergeCell ref="B31:B33"/>
    <mergeCell ref="C31:G31"/>
    <mergeCell ref="H31:L31"/>
    <mergeCell ref="C32:D32"/>
    <mergeCell ref="E32:F32"/>
    <mergeCell ref="H32:I32"/>
    <mergeCell ref="J32:K32"/>
    <mergeCell ref="G32:G33"/>
    <mergeCell ref="L32:L33"/>
    <mergeCell ref="N6:P9"/>
    <mergeCell ref="K14:L14"/>
    <mergeCell ref="B7:D7"/>
    <mergeCell ref="B8:D8"/>
    <mergeCell ref="B9:D9"/>
    <mergeCell ref="E7:H7"/>
    <mergeCell ref="E8:H8"/>
    <mergeCell ref="E9:H9"/>
    <mergeCell ref="E10:H10"/>
    <mergeCell ref="E11:H11"/>
    <mergeCell ref="B10:D10"/>
    <mergeCell ref="B11:D11"/>
  </mergeCells>
  <phoneticPr fontId="24" type="noConversion"/>
  <pageMargins left="0.19685039370078741" right="0.11811023622047245" top="0.59055118110236227" bottom="0.27559055118110237" header="0.19685039370078741" footer="0"/>
  <pageSetup paperSize="9" scale="80"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B1135"/>
  <sheetViews>
    <sheetView showGridLines="0" zoomScale="75" zoomScaleNormal="75" workbookViewId="0">
      <selection activeCell="B2" sqref="B2:D3"/>
    </sheetView>
  </sheetViews>
  <sheetFormatPr baseColWidth="10" defaultRowHeight="12.5"/>
  <cols>
    <col min="1" max="1" width="2.54296875" customWidth="1"/>
    <col min="2" max="2" width="16.1796875" customWidth="1"/>
    <col min="3" max="3" width="15.81640625" customWidth="1"/>
    <col min="4" max="4" width="10" customWidth="1"/>
    <col min="5" max="5" width="4.81640625" customWidth="1"/>
    <col min="6" max="6" width="3" customWidth="1"/>
    <col min="7" max="7" width="18.1796875" customWidth="1"/>
    <col min="9" max="9" width="13.81640625" customWidth="1"/>
    <col min="10" max="10" width="9.1796875" customWidth="1"/>
    <col min="11" max="11" width="4.1796875" customWidth="1"/>
    <col min="12" max="12" width="9.1796875" customWidth="1"/>
    <col min="13" max="13" width="3" customWidth="1"/>
    <col min="14" max="14" width="8.81640625" customWidth="1"/>
    <col min="15" max="15" width="14.81640625" customWidth="1"/>
    <col min="16" max="16" width="8.81640625" customWidth="1"/>
    <col min="17" max="17" width="13.81640625" customWidth="1"/>
    <col min="18" max="18" width="8" customWidth="1"/>
    <col min="19" max="19" width="15" customWidth="1"/>
  </cols>
  <sheetData>
    <row r="1" spans="1:28">
      <c r="A1" s="41"/>
      <c r="B1" s="41"/>
      <c r="C1" s="41"/>
      <c r="D1" s="429"/>
      <c r="E1" s="429"/>
      <c r="F1" s="429"/>
      <c r="G1" s="429"/>
      <c r="H1" s="429"/>
      <c r="I1" s="429"/>
      <c r="J1" s="429"/>
      <c r="K1" s="429"/>
      <c r="L1" s="429"/>
      <c r="M1" s="41"/>
      <c r="N1" s="41"/>
      <c r="O1" s="41"/>
      <c r="P1" s="41"/>
      <c r="Q1" s="41"/>
      <c r="R1" s="41"/>
      <c r="S1" s="41"/>
    </row>
    <row r="2" spans="1:28" ht="18" customHeight="1">
      <c r="A2" s="41"/>
      <c r="B2" s="588" t="s">
        <v>153</v>
      </c>
      <c r="C2" s="588"/>
      <c r="D2" s="588"/>
      <c r="E2" s="590" t="str">
        <f>UPPER(REPORTS!$AB$1)</f>
        <v>NATURAL FLOW</v>
      </c>
      <c r="F2" s="590"/>
      <c r="G2" s="590"/>
      <c r="H2" s="590"/>
      <c r="I2" s="590"/>
      <c r="J2" s="590"/>
      <c r="K2" s="590"/>
      <c r="L2" s="590"/>
      <c r="M2" s="590"/>
      <c r="N2" s="590"/>
      <c r="O2" s="590"/>
      <c r="P2" s="590"/>
      <c r="Q2" s="590"/>
      <c r="R2" s="590"/>
      <c r="S2" s="590"/>
      <c r="T2" s="42"/>
      <c r="V2" s="42"/>
      <c r="W2" s="42"/>
    </row>
    <row r="3" spans="1:28" ht="18">
      <c r="A3" s="41"/>
      <c r="B3" s="588"/>
      <c r="C3" s="588"/>
      <c r="D3" s="588"/>
      <c r="E3" s="591" t="s">
        <v>154</v>
      </c>
      <c r="F3" s="591"/>
      <c r="G3" s="591"/>
      <c r="H3" s="591"/>
      <c r="I3" s="591"/>
      <c r="J3" s="591"/>
      <c r="K3" s="591"/>
      <c r="L3" s="591"/>
      <c r="M3" s="591"/>
      <c r="N3" s="591"/>
      <c r="O3" s="591"/>
      <c r="P3" s="591"/>
      <c r="Q3" s="591"/>
      <c r="R3" s="591"/>
      <c r="S3" s="591"/>
      <c r="T3" s="42"/>
      <c r="U3" s="42"/>
      <c r="V3" s="42"/>
      <c r="W3" s="42"/>
    </row>
    <row r="5" spans="1:28" ht="15.75" customHeight="1">
      <c r="B5" s="556" t="s">
        <v>1</v>
      </c>
      <c r="C5" s="556"/>
      <c r="D5" s="556"/>
      <c r="E5" s="589" t="str">
        <f>REPORTS!E7</f>
        <v>Natural Flow (Nat_F)</v>
      </c>
      <c r="F5" s="589"/>
      <c r="G5" s="589"/>
      <c r="H5" s="589"/>
      <c r="V5" s="48"/>
      <c r="W5" s="48"/>
      <c r="X5" s="48"/>
      <c r="Y5" s="48"/>
    </row>
    <row r="6" spans="1:28" ht="15.75" customHeight="1">
      <c r="B6" s="556" t="s">
        <v>2</v>
      </c>
      <c r="C6" s="556"/>
      <c r="D6" s="556"/>
      <c r="E6" s="589" t="str">
        <f>REPORTS!E8</f>
        <v>Altered Flow (Alt_F)</v>
      </c>
      <c r="F6" s="589"/>
      <c r="G6" s="589"/>
      <c r="H6" s="589"/>
      <c r="U6" s="48" t="str">
        <f>CONCATENATE("ANNUAL CONTRIBUTIONS IN ",UPPER(REPORTS!$AB$1)," (hm³)")</f>
        <v>ANNUAL CONTRIBUTIONS IN NATURAL FLOW (hm³)</v>
      </c>
      <c r="V6" s="48"/>
      <c r="W6" s="48"/>
      <c r="X6" s="48"/>
      <c r="Y6" s="48"/>
    </row>
    <row r="7" spans="1:28" ht="15" customHeight="1">
      <c r="B7" s="556" t="s">
        <v>3</v>
      </c>
      <c r="C7" s="556"/>
      <c r="D7" s="556"/>
      <c r="E7" s="587" t="s">
        <v>4</v>
      </c>
      <c r="F7" s="587"/>
      <c r="G7" s="587"/>
      <c r="H7" s="587"/>
      <c r="V7" s="48"/>
      <c r="W7" s="48"/>
      <c r="X7" s="48"/>
      <c r="Y7" s="48"/>
    </row>
    <row r="8" spans="1:28" ht="14">
      <c r="B8" s="560"/>
      <c r="C8" s="560"/>
      <c r="D8" s="560"/>
      <c r="E8" s="557"/>
      <c r="F8" s="557"/>
      <c r="G8" s="557"/>
      <c r="H8" s="557"/>
      <c r="I8" s="95"/>
      <c r="J8" s="95"/>
      <c r="K8" s="95"/>
      <c r="L8" s="95"/>
    </row>
    <row r="9" spans="1:28" ht="14">
      <c r="B9" s="560"/>
      <c r="C9" s="560"/>
      <c r="D9" s="560"/>
      <c r="E9" s="557"/>
      <c r="F9" s="557"/>
      <c r="G9" s="557"/>
      <c r="H9" s="557"/>
      <c r="I9" s="95"/>
      <c r="J9" s="95"/>
      <c r="K9" s="95"/>
      <c r="L9" s="95"/>
    </row>
    <row r="10" spans="1:28">
      <c r="V10" s="48"/>
      <c r="W10" s="48"/>
      <c r="X10" s="48"/>
      <c r="Y10" s="48"/>
    </row>
    <row r="11" spans="1:28" ht="18">
      <c r="B11" s="578" t="s">
        <v>155</v>
      </c>
      <c r="C11" s="578"/>
      <c r="E11" s="579" t="s">
        <v>156</v>
      </c>
      <c r="F11" s="579"/>
      <c r="G11" s="579"/>
      <c r="H11" s="579"/>
      <c r="I11" s="579"/>
      <c r="J11" s="579"/>
      <c r="K11" s="579"/>
      <c r="L11" s="579"/>
      <c r="M11" s="579"/>
      <c r="N11" s="579"/>
      <c r="O11" s="579"/>
      <c r="P11" s="579"/>
      <c r="Q11" s="579"/>
      <c r="R11" s="579"/>
      <c r="S11" s="579"/>
      <c r="V11" s="48"/>
      <c r="W11" s="48"/>
      <c r="X11" s="48"/>
      <c r="Y11" s="48"/>
      <c r="Z11" s="48"/>
      <c r="AA11" s="48"/>
      <c r="AB11" s="48"/>
    </row>
    <row r="12" spans="1:28" ht="16.5" customHeight="1">
      <c r="B12" s="580" t="s">
        <v>32</v>
      </c>
      <c r="C12" s="245" t="s">
        <v>157</v>
      </c>
      <c r="V12" s="48"/>
      <c r="W12" s="48"/>
      <c r="X12" s="48"/>
      <c r="Y12" s="48"/>
      <c r="Z12" s="48"/>
      <c r="AA12" s="48"/>
      <c r="AB12" s="48"/>
    </row>
    <row r="13" spans="1:28" ht="16.5" customHeight="1">
      <c r="B13" s="581"/>
      <c r="C13" s="246" t="s">
        <v>158</v>
      </c>
      <c r="E13" s="582" t="s">
        <v>159</v>
      </c>
      <c r="F13" s="582"/>
      <c r="G13" s="582"/>
      <c r="H13" s="582"/>
      <c r="I13" s="582"/>
      <c r="J13" s="582"/>
      <c r="K13" s="582"/>
      <c r="L13" s="582"/>
      <c r="N13" s="583" t="s">
        <v>160</v>
      </c>
      <c r="O13" s="584"/>
      <c r="P13" s="584"/>
      <c r="Q13" s="584"/>
      <c r="R13" s="584"/>
      <c r="S13" s="585"/>
      <c r="V13" s="48"/>
      <c r="W13" s="301" t="s">
        <v>161</v>
      </c>
      <c r="X13" s="301" t="str">
        <f>CONCATENATE("WET THRESHOLD ", REPORTS!$AA$1)</f>
        <v>WET THRESHOLD Nat_F</v>
      </c>
      <c r="Y13" s="301" t="str">
        <f>UPPER(REPORTS!$AA$1)</f>
        <v>NAT_F</v>
      </c>
      <c r="Z13" s="301" t="str">
        <f>CONCATENATE("DRY THRESHOLD ", REPORTS!$AA$1)</f>
        <v>DRY THRESHOLD Nat_F</v>
      </c>
      <c r="AA13" s="48"/>
      <c r="AB13" s="48"/>
    </row>
    <row r="14" spans="1:28" ht="16.5" customHeight="1">
      <c r="B14" s="525" t="s">
        <v>38</v>
      </c>
      <c r="C14" s="525">
        <v>92.2076416015625</v>
      </c>
      <c r="E14" s="582"/>
      <c r="F14" s="582"/>
      <c r="G14" s="582"/>
      <c r="H14" s="582"/>
      <c r="I14" s="582"/>
      <c r="J14" s="582"/>
      <c r="K14" s="582"/>
      <c r="L14" s="582"/>
      <c r="N14" s="586" t="s">
        <v>162</v>
      </c>
      <c r="O14" s="586"/>
      <c r="P14" s="586" t="s">
        <v>163</v>
      </c>
      <c r="Q14" s="586"/>
      <c r="R14" s="586" t="s">
        <v>164</v>
      </c>
      <c r="S14" s="586"/>
      <c r="V14" s="48"/>
      <c r="W14" s="301" t="str">
        <f t="shared" ref="W14:W77" si="0">B14</f>
        <v>1990-91</v>
      </c>
      <c r="X14" s="440">
        <f t="shared" ref="X14:X77" si="1">I$26</f>
        <v>105.73929214477539</v>
      </c>
      <c r="Y14" s="440">
        <f t="shared" ref="Y14:Y77" si="2">C14</f>
        <v>92.2076416015625</v>
      </c>
      <c r="Z14" s="440">
        <f t="shared" ref="Z14:Z77" si="3">I$23</f>
        <v>89.406955718994141</v>
      </c>
      <c r="AA14" s="48"/>
      <c r="AB14" s="48"/>
    </row>
    <row r="15" spans="1:28" ht="16.5" customHeight="1">
      <c r="B15" s="525" t="s">
        <v>40</v>
      </c>
      <c r="C15" s="525">
        <v>97.979019165039063</v>
      </c>
      <c r="E15" s="582"/>
      <c r="F15" s="582"/>
      <c r="G15" s="582"/>
      <c r="H15" s="582"/>
      <c r="I15" s="582"/>
      <c r="J15" s="582"/>
      <c r="K15" s="582"/>
      <c r="L15" s="582"/>
      <c r="N15" s="248" t="s">
        <v>32</v>
      </c>
      <c r="O15" s="44" t="s">
        <v>165</v>
      </c>
      <c r="P15" s="45" t="s">
        <v>32</v>
      </c>
      <c r="Q15" s="44" t="s">
        <v>165</v>
      </c>
      <c r="R15" s="45" t="s">
        <v>32</v>
      </c>
      <c r="S15" s="248" t="s">
        <v>165</v>
      </c>
      <c r="V15" s="48"/>
      <c r="W15" s="48" t="str">
        <f t="shared" si="0"/>
        <v>1991-92</v>
      </c>
      <c r="X15" s="206">
        <f t="shared" si="1"/>
        <v>105.73929214477539</v>
      </c>
      <c r="Y15" s="206">
        <f t="shared" si="2"/>
        <v>97.979019165039063</v>
      </c>
      <c r="Z15" s="206">
        <f t="shared" si="3"/>
        <v>89.406955718994141</v>
      </c>
      <c r="AA15" s="48"/>
      <c r="AB15" s="48"/>
    </row>
    <row r="16" spans="1:28">
      <c r="B16" s="525" t="s">
        <v>41</v>
      </c>
      <c r="C16" s="525">
        <v>100.94139862060547</v>
      </c>
      <c r="E16" s="582"/>
      <c r="F16" s="582"/>
      <c r="G16" s="582"/>
      <c r="H16" s="582"/>
      <c r="I16" s="582"/>
      <c r="J16" s="582"/>
      <c r="K16" s="582"/>
      <c r="L16" s="582"/>
      <c r="N16" s="526" t="s">
        <v>44</v>
      </c>
      <c r="O16" s="526">
        <v>109.82182312011719</v>
      </c>
      <c r="P16" s="526" t="s">
        <v>38</v>
      </c>
      <c r="Q16" s="526">
        <v>92.2076416015625</v>
      </c>
      <c r="R16" s="526" t="s">
        <v>48</v>
      </c>
      <c r="S16" s="526">
        <v>82.448440551757813</v>
      </c>
      <c r="V16" s="48"/>
      <c r="W16" s="48" t="str">
        <f t="shared" si="0"/>
        <v>1992-93</v>
      </c>
      <c r="X16" s="206">
        <f t="shared" si="1"/>
        <v>105.73929214477539</v>
      </c>
      <c r="Y16" s="206">
        <f t="shared" si="2"/>
        <v>100.94139862060547</v>
      </c>
      <c r="Z16" s="206">
        <f t="shared" si="3"/>
        <v>89.406955718994141</v>
      </c>
      <c r="AA16" s="48"/>
      <c r="AB16" s="48"/>
    </row>
    <row r="17" spans="2:28" ht="14.25" customHeight="1">
      <c r="B17" s="525" t="s">
        <v>42</v>
      </c>
      <c r="C17" s="525">
        <v>99.479499816894531</v>
      </c>
      <c r="E17" s="582"/>
      <c r="F17" s="582"/>
      <c r="G17" s="582"/>
      <c r="H17" s="582"/>
      <c r="I17" s="582"/>
      <c r="J17" s="582"/>
      <c r="K17" s="582"/>
      <c r="L17" s="582"/>
      <c r="N17" s="526" t="s">
        <v>45</v>
      </c>
      <c r="O17" s="526">
        <v>118.52344512939453</v>
      </c>
      <c r="P17" s="526" t="s">
        <v>40</v>
      </c>
      <c r="Q17" s="526">
        <v>97.979019165039063</v>
      </c>
      <c r="R17" s="526" t="s">
        <v>49</v>
      </c>
      <c r="S17" s="526">
        <v>73.970100402832031</v>
      </c>
      <c r="V17" s="48"/>
      <c r="W17" s="48" t="str">
        <f t="shared" si="0"/>
        <v>1993-94</v>
      </c>
      <c r="X17" s="206">
        <f t="shared" si="1"/>
        <v>105.73929214477539</v>
      </c>
      <c r="Y17" s="206">
        <f t="shared" si="2"/>
        <v>99.479499816894531</v>
      </c>
      <c r="Z17" s="206">
        <f t="shared" si="3"/>
        <v>89.406955718994141</v>
      </c>
      <c r="AA17" s="48"/>
      <c r="AB17" s="48"/>
    </row>
    <row r="18" spans="2:28">
      <c r="B18" s="525" t="s">
        <v>43</v>
      </c>
      <c r="C18" s="525">
        <v>103.67398834228516</v>
      </c>
      <c r="E18" s="582"/>
      <c r="F18" s="582"/>
      <c r="G18" s="582"/>
      <c r="H18" s="582"/>
      <c r="I18" s="582"/>
      <c r="J18" s="582"/>
      <c r="K18" s="582"/>
      <c r="L18" s="582"/>
      <c r="N18" s="526" t="s">
        <v>46</v>
      </c>
      <c r="O18" s="526">
        <v>116.83329772949219</v>
      </c>
      <c r="P18" s="526" t="s">
        <v>41</v>
      </c>
      <c r="Q18" s="526">
        <v>100.94139862060547</v>
      </c>
      <c r="R18" s="526" t="s">
        <v>54</v>
      </c>
      <c r="S18" s="526">
        <v>87.014266967773438</v>
      </c>
      <c r="V18" s="48"/>
      <c r="W18" s="48" t="str">
        <f t="shared" si="0"/>
        <v>1994-95</v>
      </c>
      <c r="X18" s="206">
        <f t="shared" si="1"/>
        <v>105.73929214477539</v>
      </c>
      <c r="Y18" s="206">
        <f t="shared" si="2"/>
        <v>103.67398834228516</v>
      </c>
      <c r="Z18" s="206">
        <f t="shared" si="3"/>
        <v>89.406955718994141</v>
      </c>
      <c r="AA18" s="48"/>
      <c r="AB18" s="48"/>
    </row>
    <row r="19" spans="2:28">
      <c r="B19" s="525" t="s">
        <v>44</v>
      </c>
      <c r="C19" s="525">
        <v>109.82182312011719</v>
      </c>
      <c r="N19" s="526" t="s">
        <v>52</v>
      </c>
      <c r="O19" s="526">
        <v>107.80459594726563</v>
      </c>
      <c r="P19" s="526" t="s">
        <v>42</v>
      </c>
      <c r="Q19" s="526">
        <v>99.479499816894531</v>
      </c>
      <c r="R19" s="526" t="s">
        <v>55</v>
      </c>
      <c r="S19" s="526">
        <v>88.203254699707031</v>
      </c>
      <c r="V19" s="48"/>
      <c r="W19" s="48" t="str">
        <f t="shared" si="0"/>
        <v>1995-96</v>
      </c>
      <c r="X19" s="206">
        <f t="shared" si="1"/>
        <v>105.73929214477539</v>
      </c>
      <c r="Y19" s="206">
        <f t="shared" si="2"/>
        <v>109.82182312011719</v>
      </c>
      <c r="Z19" s="206">
        <f t="shared" si="3"/>
        <v>89.406955718994141</v>
      </c>
      <c r="AA19" s="48"/>
      <c r="AB19" s="48"/>
    </row>
    <row r="20" spans="2:28">
      <c r="B20" s="525" t="s">
        <v>45</v>
      </c>
      <c r="C20" s="525">
        <v>118.52344512939453</v>
      </c>
      <c r="G20" s="572" t="s">
        <v>166</v>
      </c>
      <c r="H20" s="573"/>
      <c r="I20" s="573"/>
      <c r="J20" s="573"/>
      <c r="N20" s="526" t="s">
        <v>57</v>
      </c>
      <c r="O20" s="526">
        <v>114.83309936523438</v>
      </c>
      <c r="P20" s="526" t="s">
        <v>43</v>
      </c>
      <c r="Q20" s="526">
        <v>103.67398834228516</v>
      </c>
      <c r="R20" s="526" t="s">
        <v>58</v>
      </c>
      <c r="S20" s="526">
        <v>78.004104614257813</v>
      </c>
      <c r="V20" s="48"/>
      <c r="W20" s="48" t="str">
        <f t="shared" si="0"/>
        <v>1996-97</v>
      </c>
      <c r="X20" s="206">
        <f t="shared" si="1"/>
        <v>105.73929214477539</v>
      </c>
      <c r="Y20" s="206">
        <f t="shared" si="2"/>
        <v>118.52344512939453</v>
      </c>
      <c r="Z20" s="206">
        <f t="shared" si="3"/>
        <v>89.406955718994141</v>
      </c>
      <c r="AA20" s="48"/>
      <c r="AB20" s="48"/>
    </row>
    <row r="21" spans="2:28">
      <c r="B21" s="525" t="s">
        <v>46</v>
      </c>
      <c r="C21" s="525">
        <v>116.83329772949219</v>
      </c>
      <c r="G21" s="574"/>
      <c r="H21" s="574"/>
      <c r="I21" s="574"/>
      <c r="J21" s="574"/>
      <c r="N21" s="294"/>
      <c r="O21" s="294"/>
      <c r="P21" s="526" t="s">
        <v>47</v>
      </c>
      <c r="Q21" s="526">
        <v>102.62631225585938</v>
      </c>
      <c r="R21" s="294"/>
      <c r="S21" s="294"/>
      <c r="V21" s="48"/>
      <c r="W21" s="48" t="str">
        <f t="shared" si="0"/>
        <v>1997-98</v>
      </c>
      <c r="X21" s="206">
        <f t="shared" si="1"/>
        <v>105.73929214477539</v>
      </c>
      <c r="Y21" s="206">
        <f t="shared" si="2"/>
        <v>116.83329772949219</v>
      </c>
      <c r="Z21" s="206">
        <f t="shared" si="3"/>
        <v>89.406955718994141</v>
      </c>
      <c r="AA21" s="48"/>
      <c r="AB21" s="48"/>
    </row>
    <row r="22" spans="2:28" ht="14.5">
      <c r="B22" s="525" t="s">
        <v>47</v>
      </c>
      <c r="C22" s="525">
        <v>102.62631225585938</v>
      </c>
      <c r="G22" s="575" t="s">
        <v>167</v>
      </c>
      <c r="H22" s="575"/>
      <c r="I22" s="46">
        <f>MIN(C14:C614)</f>
        <v>73.970100402832031</v>
      </c>
      <c r="J22" s="338" t="s">
        <v>168</v>
      </c>
      <c r="N22" s="294"/>
      <c r="O22" s="294"/>
      <c r="P22" s="526" t="s">
        <v>50</v>
      </c>
      <c r="Q22" s="526">
        <v>90.61065673828125</v>
      </c>
      <c r="R22" s="294"/>
      <c r="S22" s="294"/>
      <c r="W22" s="48" t="str">
        <f t="shared" si="0"/>
        <v>1998-99</v>
      </c>
      <c r="X22" s="206">
        <f t="shared" si="1"/>
        <v>105.73929214477539</v>
      </c>
      <c r="Y22" s="206">
        <f t="shared" si="2"/>
        <v>102.62631225585938</v>
      </c>
      <c r="Z22" s="206">
        <f t="shared" si="3"/>
        <v>89.406955718994141</v>
      </c>
      <c r="AA22" s="48"/>
    </row>
    <row r="23" spans="2:28" ht="14.5">
      <c r="B23" s="525" t="s">
        <v>48</v>
      </c>
      <c r="C23" s="525">
        <v>82.448440551757813</v>
      </c>
      <c r="G23" s="570" t="s">
        <v>169</v>
      </c>
      <c r="H23" s="570"/>
      <c r="I23" s="47">
        <f>_xlfn.PERCENTILE.EXC(C14:C614,0.25)</f>
        <v>89.406955718994141</v>
      </c>
      <c r="J23" s="338" t="s">
        <v>168</v>
      </c>
      <c r="N23" s="294"/>
      <c r="O23" s="294"/>
      <c r="P23" s="526" t="s">
        <v>51</v>
      </c>
      <c r="Q23" s="526">
        <v>93.292648315429688</v>
      </c>
      <c r="R23" s="294"/>
      <c r="S23" s="294"/>
      <c r="W23" s="48" t="str">
        <f t="shared" si="0"/>
        <v>1999-00</v>
      </c>
      <c r="X23" s="206">
        <f t="shared" si="1"/>
        <v>105.73929214477539</v>
      </c>
      <c r="Y23" s="206">
        <f t="shared" si="2"/>
        <v>82.448440551757813</v>
      </c>
      <c r="Z23" s="206">
        <f t="shared" si="3"/>
        <v>89.406955718994141</v>
      </c>
      <c r="AA23" s="48"/>
    </row>
    <row r="24" spans="2:28" ht="14.5">
      <c r="B24" s="525" t="s">
        <v>49</v>
      </c>
      <c r="C24" s="525">
        <v>73.970100402832031</v>
      </c>
      <c r="G24" s="571" t="s">
        <v>170</v>
      </c>
      <c r="H24" s="571"/>
      <c r="I24" s="46">
        <f>_xlfn.PERCENTILE.EXC(C14:C614,0.5)</f>
        <v>99.479499816894531</v>
      </c>
      <c r="J24" s="338" t="s">
        <v>171</v>
      </c>
      <c r="N24" s="294"/>
      <c r="O24" s="294"/>
      <c r="P24" s="526" t="s">
        <v>53</v>
      </c>
      <c r="Q24" s="526">
        <v>99.997283935546875</v>
      </c>
      <c r="R24" s="294"/>
      <c r="S24" s="294"/>
      <c r="W24" s="48" t="str">
        <f t="shared" si="0"/>
        <v>2000-01</v>
      </c>
      <c r="X24" s="206">
        <f t="shared" si="1"/>
        <v>105.73929214477539</v>
      </c>
      <c r="Y24" s="206">
        <f t="shared" si="2"/>
        <v>73.970100402832031</v>
      </c>
      <c r="Z24" s="206">
        <f t="shared" si="3"/>
        <v>89.406955718994141</v>
      </c>
      <c r="AA24" s="48"/>
    </row>
    <row r="25" spans="2:28" ht="14.5">
      <c r="B25" s="525" t="s">
        <v>50</v>
      </c>
      <c r="C25" s="525">
        <v>90.61065673828125</v>
      </c>
      <c r="G25" s="571" t="s">
        <v>172</v>
      </c>
      <c r="H25" s="571"/>
      <c r="I25" s="46">
        <f>AVERAGE(C14:C614)</f>
        <v>97.722273327055433</v>
      </c>
      <c r="J25" s="338" t="s">
        <v>171</v>
      </c>
      <c r="N25" s="294"/>
      <c r="O25" s="294"/>
      <c r="P25" s="526" t="s">
        <v>56</v>
      </c>
      <c r="Q25" s="526">
        <v>93.575553894042969</v>
      </c>
      <c r="R25" s="294"/>
      <c r="S25" s="294"/>
      <c r="W25" s="48" t="str">
        <f t="shared" si="0"/>
        <v>2001-02</v>
      </c>
      <c r="X25" s="206">
        <f t="shared" si="1"/>
        <v>105.73929214477539</v>
      </c>
      <c r="Y25" s="206">
        <f t="shared" si="2"/>
        <v>90.61065673828125</v>
      </c>
      <c r="Z25" s="206">
        <f t="shared" si="3"/>
        <v>89.406955718994141</v>
      </c>
      <c r="AA25" s="48"/>
    </row>
    <row r="26" spans="2:28" ht="14.5">
      <c r="B26" s="525" t="s">
        <v>51</v>
      </c>
      <c r="C26" s="525">
        <v>93.292648315429688</v>
      </c>
      <c r="G26" s="571" t="s">
        <v>173</v>
      </c>
      <c r="H26" s="571"/>
      <c r="I26" s="47">
        <f>_xlfn.PERCENTILE.EXC(C14:C614,0.75)</f>
        <v>105.73929214477539</v>
      </c>
      <c r="J26" s="338" t="s">
        <v>171</v>
      </c>
      <c r="N26" s="294"/>
      <c r="O26" s="294"/>
      <c r="P26" s="526" t="s">
        <v>59</v>
      </c>
      <c r="Q26" s="526">
        <v>100.32730865478516</v>
      </c>
      <c r="R26" s="294"/>
      <c r="S26" s="294"/>
      <c r="W26" s="48" t="str">
        <f t="shared" si="0"/>
        <v>2002-03</v>
      </c>
      <c r="X26" s="206">
        <f t="shared" si="1"/>
        <v>105.73929214477539</v>
      </c>
      <c r="Y26" s="206">
        <f t="shared" si="2"/>
        <v>93.292648315429688</v>
      </c>
      <c r="Z26" s="206">
        <f t="shared" si="3"/>
        <v>89.406955718994141</v>
      </c>
      <c r="AA26" s="48"/>
    </row>
    <row r="27" spans="2:28" ht="14.5">
      <c r="B27" s="525" t="s">
        <v>52</v>
      </c>
      <c r="C27" s="525">
        <v>107.80459594726563</v>
      </c>
      <c r="G27" s="571" t="s">
        <v>174</v>
      </c>
      <c r="H27" s="571"/>
      <c r="I27" s="46">
        <f>MAX(C14:C614)</f>
        <v>118.52344512939453</v>
      </c>
      <c r="J27" s="338" t="s">
        <v>171</v>
      </c>
      <c r="L27" s="48" t="str">
        <f>REPORTS!$AA$1</f>
        <v>Nat_F</v>
      </c>
      <c r="N27" s="294"/>
      <c r="O27" s="294"/>
      <c r="P27" s="294"/>
      <c r="Q27" s="294"/>
      <c r="R27" s="294"/>
      <c r="S27" s="294"/>
      <c r="W27" s="48" t="str">
        <f t="shared" si="0"/>
        <v>2003-04</v>
      </c>
      <c r="X27" s="206">
        <f t="shared" si="1"/>
        <v>105.73929214477539</v>
      </c>
      <c r="Y27" s="206">
        <f t="shared" si="2"/>
        <v>107.80459594726563</v>
      </c>
      <c r="Z27" s="206">
        <f t="shared" si="3"/>
        <v>89.406955718994141</v>
      </c>
      <c r="AA27" s="48"/>
    </row>
    <row r="28" spans="2:28" ht="14.5">
      <c r="B28" s="525" t="s">
        <v>53</v>
      </c>
      <c r="C28" s="525">
        <v>99.997283935546875</v>
      </c>
      <c r="G28" s="576" t="s">
        <v>175</v>
      </c>
      <c r="H28" s="576"/>
      <c r="I28" s="46">
        <f>I26-I23</f>
        <v>16.33233642578125</v>
      </c>
      <c r="J28" s="338" t="s">
        <v>171</v>
      </c>
      <c r="N28" s="294"/>
      <c r="O28" s="294"/>
      <c r="P28" s="294"/>
      <c r="Q28" s="294"/>
      <c r="R28" s="294"/>
      <c r="S28" s="294"/>
      <c r="W28" s="48" t="str">
        <f t="shared" si="0"/>
        <v>2004-05</v>
      </c>
      <c r="X28" s="206">
        <f t="shared" si="1"/>
        <v>105.73929214477539</v>
      </c>
      <c r="Y28" s="206">
        <f t="shared" si="2"/>
        <v>99.997283935546875</v>
      </c>
      <c r="Z28" s="206">
        <f t="shared" si="3"/>
        <v>89.406955718994141</v>
      </c>
      <c r="AA28" s="48"/>
    </row>
    <row r="29" spans="2:28" ht="14.5">
      <c r="B29" s="525" t="s">
        <v>54</v>
      </c>
      <c r="C29" s="525">
        <v>87.014266967773438</v>
      </c>
      <c r="G29" s="577" t="s">
        <v>176</v>
      </c>
      <c r="H29" s="577"/>
      <c r="I29" s="46">
        <f>_xlfn.STDEV.S(C14:C614)</f>
        <v>12.109999421992359</v>
      </c>
      <c r="J29" s="109"/>
      <c r="N29" s="294"/>
      <c r="O29" s="294"/>
      <c r="P29" s="294"/>
      <c r="Q29" s="294"/>
      <c r="R29" s="294"/>
      <c r="S29" s="294"/>
      <c r="W29" s="48" t="str">
        <f t="shared" si="0"/>
        <v>2005-06</v>
      </c>
      <c r="X29" s="206">
        <f t="shared" si="1"/>
        <v>105.73929214477539</v>
      </c>
      <c r="Y29" s="206">
        <f t="shared" si="2"/>
        <v>87.014266967773438</v>
      </c>
      <c r="Z29" s="206">
        <f t="shared" si="3"/>
        <v>89.406955718994141</v>
      </c>
      <c r="AA29" s="48"/>
    </row>
    <row r="30" spans="2:28" ht="14.5">
      <c r="B30" s="525" t="s">
        <v>55</v>
      </c>
      <c r="C30" s="525">
        <v>88.203254699707031</v>
      </c>
      <c r="G30" s="569" t="s">
        <v>177</v>
      </c>
      <c r="H30" s="569"/>
      <c r="I30" s="49">
        <f>SKEW(C14:C614)</f>
        <v>-0.10027551075408028</v>
      </c>
      <c r="J30" s="247"/>
      <c r="W30" s="48" t="str">
        <f t="shared" si="0"/>
        <v>2006-07</v>
      </c>
      <c r="X30" s="206">
        <f t="shared" si="1"/>
        <v>105.73929214477539</v>
      </c>
      <c r="Y30" s="206">
        <f t="shared" si="2"/>
        <v>88.203254699707031</v>
      </c>
      <c r="Z30" s="206">
        <f t="shared" si="3"/>
        <v>89.406955718994141</v>
      </c>
      <c r="AA30" s="48"/>
    </row>
    <row r="31" spans="2:28">
      <c r="B31" s="525" t="s">
        <v>56</v>
      </c>
      <c r="C31" s="525">
        <v>93.575553894042969</v>
      </c>
      <c r="W31" s="48" t="str">
        <f t="shared" si="0"/>
        <v>2007-08</v>
      </c>
      <c r="X31" s="206">
        <f t="shared" si="1"/>
        <v>105.73929214477539</v>
      </c>
      <c r="Y31" s="206">
        <f t="shared" si="2"/>
        <v>93.575553894042969</v>
      </c>
      <c r="Z31" s="206">
        <f t="shared" si="3"/>
        <v>89.406955718994141</v>
      </c>
      <c r="AA31" s="48"/>
    </row>
    <row r="32" spans="2:28">
      <c r="B32" s="525" t="s">
        <v>57</v>
      </c>
      <c r="C32" s="525">
        <v>114.83309936523438</v>
      </c>
      <c r="W32" s="48" t="str">
        <f t="shared" si="0"/>
        <v>2008-09</v>
      </c>
      <c r="X32" s="206">
        <f t="shared" si="1"/>
        <v>105.73929214477539</v>
      </c>
      <c r="Y32" s="206">
        <f t="shared" si="2"/>
        <v>114.83309936523438</v>
      </c>
      <c r="Z32" s="206">
        <f t="shared" si="3"/>
        <v>89.406955718994141</v>
      </c>
      <c r="AA32" s="48"/>
    </row>
    <row r="33" spans="2:28">
      <c r="B33" s="525" t="s">
        <v>58</v>
      </c>
      <c r="C33" s="525">
        <v>78.004104614257813</v>
      </c>
      <c r="G33" t="str">
        <f>UPPER(REPORTS!$AA$1)</f>
        <v>NAT_F</v>
      </c>
      <c r="W33" s="48" t="str">
        <f t="shared" si="0"/>
        <v>2009-10</v>
      </c>
      <c r="X33" s="206">
        <f t="shared" si="1"/>
        <v>105.73929214477539</v>
      </c>
      <c r="Y33" s="206">
        <f t="shared" si="2"/>
        <v>78.004104614257813</v>
      </c>
      <c r="Z33" s="206">
        <f t="shared" si="3"/>
        <v>89.406955718994141</v>
      </c>
      <c r="AA33" s="48"/>
    </row>
    <row r="34" spans="2:28">
      <c r="B34" s="525" t="s">
        <v>59</v>
      </c>
      <c r="C34" s="525">
        <v>100.32730865478516</v>
      </c>
      <c r="W34" s="48" t="str">
        <f t="shared" si="0"/>
        <v>2010-11</v>
      </c>
      <c r="X34" s="206">
        <f t="shared" si="1"/>
        <v>105.73929214477539</v>
      </c>
      <c r="Y34" s="206">
        <f t="shared" si="2"/>
        <v>100.32730865478516</v>
      </c>
      <c r="Z34" s="206">
        <f t="shared" si="3"/>
        <v>89.406955718994141</v>
      </c>
      <c r="AA34" s="48"/>
    </row>
    <row r="35" spans="2:28">
      <c r="W35" s="48">
        <f t="shared" si="0"/>
        <v>0</v>
      </c>
      <c r="X35" s="206">
        <f t="shared" si="1"/>
        <v>105.73929214477539</v>
      </c>
      <c r="Y35" s="206">
        <f t="shared" si="2"/>
        <v>0</v>
      </c>
      <c r="Z35" s="206">
        <f t="shared" si="3"/>
        <v>89.406955718994141</v>
      </c>
      <c r="AA35" s="48"/>
    </row>
    <row r="36" spans="2:28">
      <c r="W36" s="48">
        <f t="shared" si="0"/>
        <v>0</v>
      </c>
      <c r="X36" s="206">
        <f t="shared" si="1"/>
        <v>105.73929214477539</v>
      </c>
      <c r="Y36" s="206">
        <f t="shared" si="2"/>
        <v>0</v>
      </c>
      <c r="Z36" s="206">
        <f t="shared" si="3"/>
        <v>89.406955718994141</v>
      </c>
      <c r="AA36" s="48"/>
    </row>
    <row r="37" spans="2:28">
      <c r="W37" s="48">
        <f t="shared" si="0"/>
        <v>0</v>
      </c>
      <c r="X37" s="206">
        <f t="shared" si="1"/>
        <v>105.73929214477539</v>
      </c>
      <c r="Y37" s="206">
        <f t="shared" si="2"/>
        <v>0</v>
      </c>
      <c r="Z37" s="206">
        <f t="shared" si="3"/>
        <v>89.406955718994141</v>
      </c>
      <c r="AA37" s="48"/>
    </row>
    <row r="38" spans="2:28">
      <c r="W38" s="48">
        <f t="shared" si="0"/>
        <v>0</v>
      </c>
      <c r="X38" s="206">
        <f t="shared" si="1"/>
        <v>105.73929214477539</v>
      </c>
      <c r="Y38" s="206">
        <f t="shared" si="2"/>
        <v>0</v>
      </c>
      <c r="Z38" s="206">
        <f t="shared" si="3"/>
        <v>89.406955718994141</v>
      </c>
      <c r="AA38" s="48"/>
    </row>
    <row r="39" spans="2:28">
      <c r="W39" s="48">
        <f t="shared" si="0"/>
        <v>0</v>
      </c>
      <c r="X39" s="206">
        <f t="shared" si="1"/>
        <v>105.73929214477539</v>
      </c>
      <c r="Y39" s="206">
        <f t="shared" si="2"/>
        <v>0</v>
      </c>
      <c r="Z39" s="206">
        <f t="shared" si="3"/>
        <v>89.406955718994141</v>
      </c>
      <c r="AA39" s="48"/>
    </row>
    <row r="40" spans="2:28">
      <c r="W40" s="48">
        <f t="shared" si="0"/>
        <v>0</v>
      </c>
      <c r="X40" s="206">
        <f t="shared" si="1"/>
        <v>105.73929214477539</v>
      </c>
      <c r="Y40" s="206">
        <f t="shared" si="2"/>
        <v>0</v>
      </c>
      <c r="Z40" s="206">
        <f t="shared" si="3"/>
        <v>89.406955718994141</v>
      </c>
      <c r="AA40" s="48"/>
    </row>
    <row r="41" spans="2:28">
      <c r="W41" s="48">
        <f t="shared" si="0"/>
        <v>0</v>
      </c>
      <c r="X41" s="206">
        <f t="shared" si="1"/>
        <v>105.73929214477539</v>
      </c>
      <c r="Y41" s="206">
        <f t="shared" si="2"/>
        <v>0</v>
      </c>
      <c r="Z41" s="206">
        <f t="shared" si="3"/>
        <v>89.406955718994141</v>
      </c>
      <c r="AA41" s="48"/>
    </row>
    <row r="42" spans="2:28">
      <c r="W42" s="48">
        <f t="shared" si="0"/>
        <v>0</v>
      </c>
      <c r="X42" s="206">
        <f t="shared" si="1"/>
        <v>105.73929214477539</v>
      </c>
      <c r="Y42" s="206">
        <f t="shared" si="2"/>
        <v>0</v>
      </c>
      <c r="Z42" s="206">
        <f t="shared" si="3"/>
        <v>89.406955718994141</v>
      </c>
      <c r="AA42" s="48"/>
    </row>
    <row r="43" spans="2:28">
      <c r="W43" s="48">
        <f t="shared" si="0"/>
        <v>0</v>
      </c>
      <c r="X43" s="206">
        <f t="shared" si="1"/>
        <v>105.73929214477539</v>
      </c>
      <c r="Y43" s="206">
        <f t="shared" si="2"/>
        <v>0</v>
      </c>
      <c r="Z43" s="206">
        <f t="shared" si="3"/>
        <v>89.406955718994141</v>
      </c>
      <c r="AA43" s="48"/>
    </row>
    <row r="44" spans="2:28">
      <c r="W44" s="48">
        <f t="shared" si="0"/>
        <v>0</v>
      </c>
      <c r="X44" s="206">
        <f t="shared" si="1"/>
        <v>105.73929214477539</v>
      </c>
      <c r="Y44" s="206">
        <f t="shared" si="2"/>
        <v>0</v>
      </c>
      <c r="Z44" s="206">
        <f t="shared" si="3"/>
        <v>89.406955718994141</v>
      </c>
      <c r="AA44" s="48"/>
    </row>
    <row r="45" spans="2:28">
      <c r="W45" s="48">
        <f t="shared" si="0"/>
        <v>0</v>
      </c>
      <c r="X45" s="206">
        <f t="shared" si="1"/>
        <v>105.73929214477539</v>
      </c>
      <c r="Y45" s="206">
        <f t="shared" si="2"/>
        <v>0</v>
      </c>
      <c r="Z45" s="206">
        <f t="shared" si="3"/>
        <v>89.406955718994141</v>
      </c>
      <c r="AA45" s="48"/>
    </row>
    <row r="46" spans="2:28">
      <c r="W46" s="48">
        <f t="shared" si="0"/>
        <v>0</v>
      </c>
      <c r="X46" s="206">
        <f t="shared" si="1"/>
        <v>105.73929214477539</v>
      </c>
      <c r="Y46" s="206">
        <f t="shared" si="2"/>
        <v>0</v>
      </c>
      <c r="Z46" s="206">
        <f t="shared" si="3"/>
        <v>89.406955718994141</v>
      </c>
      <c r="AA46" s="48"/>
      <c r="AB46" s="460"/>
    </row>
    <row r="47" spans="2:28">
      <c r="W47" s="48">
        <f t="shared" si="0"/>
        <v>0</v>
      </c>
      <c r="X47" s="206">
        <f t="shared" si="1"/>
        <v>105.73929214477539</v>
      </c>
      <c r="Y47" s="206">
        <f t="shared" si="2"/>
        <v>0</v>
      </c>
      <c r="Z47" s="206">
        <f t="shared" si="3"/>
        <v>89.406955718994141</v>
      </c>
      <c r="AA47" s="48"/>
    </row>
    <row r="48" spans="2:28">
      <c r="W48" s="48">
        <f t="shared" si="0"/>
        <v>0</v>
      </c>
      <c r="X48" s="206">
        <f t="shared" si="1"/>
        <v>105.73929214477539</v>
      </c>
      <c r="Y48" s="206">
        <f t="shared" si="2"/>
        <v>0</v>
      </c>
      <c r="Z48" s="206">
        <f t="shared" si="3"/>
        <v>89.406955718994141</v>
      </c>
      <c r="AA48" s="48"/>
    </row>
    <row r="49" spans="23:27">
      <c r="W49" s="48">
        <f t="shared" si="0"/>
        <v>0</v>
      </c>
      <c r="X49" s="206">
        <f t="shared" si="1"/>
        <v>105.73929214477539</v>
      </c>
      <c r="Y49" s="206">
        <f t="shared" si="2"/>
        <v>0</v>
      </c>
      <c r="Z49" s="206">
        <f t="shared" si="3"/>
        <v>89.406955718994141</v>
      </c>
      <c r="AA49" s="48"/>
    </row>
    <row r="50" spans="23:27">
      <c r="W50" s="48">
        <f t="shared" si="0"/>
        <v>0</v>
      </c>
      <c r="X50" s="206">
        <f t="shared" si="1"/>
        <v>105.73929214477539</v>
      </c>
      <c r="Y50" s="206">
        <f t="shared" si="2"/>
        <v>0</v>
      </c>
      <c r="Z50" s="206">
        <f t="shared" si="3"/>
        <v>89.406955718994141</v>
      </c>
      <c r="AA50" s="48"/>
    </row>
    <row r="51" spans="23:27">
      <c r="W51" s="48">
        <f t="shared" si="0"/>
        <v>0</v>
      </c>
      <c r="X51" s="206">
        <f t="shared" si="1"/>
        <v>105.73929214477539</v>
      </c>
      <c r="Y51" s="206">
        <f t="shared" si="2"/>
        <v>0</v>
      </c>
      <c r="Z51" s="206">
        <f t="shared" si="3"/>
        <v>89.406955718994141</v>
      </c>
      <c r="AA51" s="48"/>
    </row>
    <row r="52" spans="23:27">
      <c r="W52" s="48">
        <f t="shared" si="0"/>
        <v>0</v>
      </c>
      <c r="X52" s="206">
        <f t="shared" si="1"/>
        <v>105.73929214477539</v>
      </c>
      <c r="Y52" s="206">
        <f t="shared" si="2"/>
        <v>0</v>
      </c>
      <c r="Z52" s="206">
        <f t="shared" si="3"/>
        <v>89.406955718994141</v>
      </c>
      <c r="AA52" s="48"/>
    </row>
    <row r="53" spans="23:27">
      <c r="W53" s="48">
        <f t="shared" si="0"/>
        <v>0</v>
      </c>
      <c r="X53" s="206">
        <f t="shared" si="1"/>
        <v>105.73929214477539</v>
      </c>
      <c r="Y53" s="206">
        <f t="shared" si="2"/>
        <v>0</v>
      </c>
      <c r="Z53" s="206">
        <f t="shared" si="3"/>
        <v>89.406955718994141</v>
      </c>
      <c r="AA53" s="48"/>
    </row>
    <row r="54" spans="23:27">
      <c r="W54" s="48">
        <f t="shared" si="0"/>
        <v>0</v>
      </c>
      <c r="X54" s="206">
        <f t="shared" si="1"/>
        <v>105.73929214477539</v>
      </c>
      <c r="Y54" s="206">
        <f t="shared" si="2"/>
        <v>0</v>
      </c>
      <c r="Z54" s="206">
        <f t="shared" si="3"/>
        <v>89.406955718994141</v>
      </c>
      <c r="AA54" s="48"/>
    </row>
    <row r="55" spans="23:27">
      <c r="W55" s="48">
        <f t="shared" si="0"/>
        <v>0</v>
      </c>
      <c r="X55" s="206">
        <f t="shared" si="1"/>
        <v>105.73929214477539</v>
      </c>
      <c r="Y55" s="206">
        <f t="shared" si="2"/>
        <v>0</v>
      </c>
      <c r="Z55" s="206">
        <f t="shared" si="3"/>
        <v>89.406955718994141</v>
      </c>
      <c r="AA55" s="48"/>
    </row>
    <row r="56" spans="23:27">
      <c r="W56" s="48">
        <f t="shared" si="0"/>
        <v>0</v>
      </c>
      <c r="X56" s="206">
        <f t="shared" si="1"/>
        <v>105.73929214477539</v>
      </c>
      <c r="Y56" s="206">
        <f t="shared" si="2"/>
        <v>0</v>
      </c>
      <c r="Z56" s="206">
        <f t="shared" si="3"/>
        <v>89.406955718994141</v>
      </c>
      <c r="AA56" s="48"/>
    </row>
    <row r="57" spans="23:27">
      <c r="W57" s="48">
        <f t="shared" si="0"/>
        <v>0</v>
      </c>
      <c r="X57" s="206">
        <f t="shared" si="1"/>
        <v>105.73929214477539</v>
      </c>
      <c r="Y57" s="206">
        <f t="shared" si="2"/>
        <v>0</v>
      </c>
      <c r="Z57" s="206">
        <f t="shared" si="3"/>
        <v>89.406955718994141</v>
      </c>
      <c r="AA57" s="48"/>
    </row>
    <row r="58" spans="23:27">
      <c r="W58" s="48">
        <f t="shared" si="0"/>
        <v>0</v>
      </c>
      <c r="X58" s="206">
        <f t="shared" si="1"/>
        <v>105.73929214477539</v>
      </c>
      <c r="Y58" s="206">
        <f t="shared" si="2"/>
        <v>0</v>
      </c>
      <c r="Z58" s="206">
        <f t="shared" si="3"/>
        <v>89.406955718994141</v>
      </c>
      <c r="AA58" s="48"/>
    </row>
    <row r="59" spans="23:27">
      <c r="W59" s="48">
        <f t="shared" si="0"/>
        <v>0</v>
      </c>
      <c r="X59" s="206">
        <f t="shared" si="1"/>
        <v>105.73929214477539</v>
      </c>
      <c r="Y59" s="206">
        <f t="shared" si="2"/>
        <v>0</v>
      </c>
      <c r="Z59" s="206">
        <f t="shared" si="3"/>
        <v>89.406955718994141</v>
      </c>
      <c r="AA59" s="48"/>
    </row>
    <row r="60" spans="23:27">
      <c r="W60" s="48">
        <f t="shared" si="0"/>
        <v>0</v>
      </c>
      <c r="X60" s="206">
        <f t="shared" si="1"/>
        <v>105.73929214477539</v>
      </c>
      <c r="Y60" s="206">
        <f t="shared" si="2"/>
        <v>0</v>
      </c>
      <c r="Z60" s="206">
        <f t="shared" si="3"/>
        <v>89.406955718994141</v>
      </c>
      <c r="AA60" s="48"/>
    </row>
    <row r="61" spans="23:27">
      <c r="W61" s="48">
        <f t="shared" si="0"/>
        <v>0</v>
      </c>
      <c r="X61" s="206">
        <f t="shared" si="1"/>
        <v>105.73929214477539</v>
      </c>
      <c r="Y61" s="206">
        <f t="shared" si="2"/>
        <v>0</v>
      </c>
      <c r="Z61" s="206">
        <f t="shared" si="3"/>
        <v>89.406955718994141</v>
      </c>
      <c r="AA61" s="48"/>
    </row>
    <row r="62" spans="23:27">
      <c r="W62" s="48">
        <f t="shared" si="0"/>
        <v>0</v>
      </c>
      <c r="X62" s="206">
        <f t="shared" si="1"/>
        <v>105.73929214477539</v>
      </c>
      <c r="Y62" s="206">
        <f t="shared" si="2"/>
        <v>0</v>
      </c>
      <c r="Z62" s="206">
        <f t="shared" si="3"/>
        <v>89.406955718994141</v>
      </c>
      <c r="AA62" s="48"/>
    </row>
    <row r="63" spans="23:27">
      <c r="W63" s="48">
        <f t="shared" si="0"/>
        <v>0</v>
      </c>
      <c r="X63" s="206">
        <f t="shared" si="1"/>
        <v>105.73929214477539</v>
      </c>
      <c r="Y63" s="206">
        <f t="shared" si="2"/>
        <v>0</v>
      </c>
      <c r="Z63" s="206">
        <f t="shared" si="3"/>
        <v>89.406955718994141</v>
      </c>
      <c r="AA63" s="48"/>
    </row>
    <row r="64" spans="23:27">
      <c r="W64" s="48">
        <f t="shared" si="0"/>
        <v>0</v>
      </c>
      <c r="X64" s="206">
        <f t="shared" si="1"/>
        <v>105.73929214477539</v>
      </c>
      <c r="Y64" s="206">
        <f t="shared" si="2"/>
        <v>0</v>
      </c>
      <c r="Z64" s="206">
        <f t="shared" si="3"/>
        <v>89.406955718994141</v>
      </c>
      <c r="AA64" s="48"/>
    </row>
    <row r="65" spans="23:27">
      <c r="W65" s="48">
        <f t="shared" si="0"/>
        <v>0</v>
      </c>
      <c r="X65" s="206">
        <f t="shared" si="1"/>
        <v>105.73929214477539</v>
      </c>
      <c r="Y65" s="206">
        <f t="shared" si="2"/>
        <v>0</v>
      </c>
      <c r="Z65" s="206">
        <f t="shared" si="3"/>
        <v>89.406955718994141</v>
      </c>
      <c r="AA65" s="48"/>
    </row>
    <row r="66" spans="23:27">
      <c r="W66" s="48">
        <f t="shared" si="0"/>
        <v>0</v>
      </c>
      <c r="X66" s="206">
        <f t="shared" si="1"/>
        <v>105.73929214477539</v>
      </c>
      <c r="Y66" s="206">
        <f t="shared" si="2"/>
        <v>0</v>
      </c>
      <c r="Z66" s="206">
        <f t="shared" si="3"/>
        <v>89.406955718994141</v>
      </c>
      <c r="AA66" s="48"/>
    </row>
    <row r="67" spans="23:27">
      <c r="W67" s="48">
        <f t="shared" si="0"/>
        <v>0</v>
      </c>
      <c r="X67" s="206">
        <f t="shared" si="1"/>
        <v>105.73929214477539</v>
      </c>
      <c r="Y67" s="206">
        <f t="shared" si="2"/>
        <v>0</v>
      </c>
      <c r="Z67" s="206">
        <f t="shared" si="3"/>
        <v>89.406955718994141</v>
      </c>
      <c r="AA67" s="48"/>
    </row>
    <row r="68" spans="23:27">
      <c r="W68" s="48">
        <f t="shared" si="0"/>
        <v>0</v>
      </c>
      <c r="X68" s="206">
        <f t="shared" si="1"/>
        <v>105.73929214477539</v>
      </c>
      <c r="Y68" s="206">
        <f t="shared" si="2"/>
        <v>0</v>
      </c>
      <c r="Z68" s="206">
        <f t="shared" si="3"/>
        <v>89.406955718994141</v>
      </c>
      <c r="AA68" s="48"/>
    </row>
    <row r="69" spans="23:27">
      <c r="W69" s="48">
        <f t="shared" si="0"/>
        <v>0</v>
      </c>
      <c r="X69" s="206">
        <f t="shared" si="1"/>
        <v>105.73929214477539</v>
      </c>
      <c r="Y69" s="206">
        <f t="shared" si="2"/>
        <v>0</v>
      </c>
      <c r="Z69" s="206">
        <f t="shared" si="3"/>
        <v>89.406955718994141</v>
      </c>
      <c r="AA69" s="48"/>
    </row>
    <row r="70" spans="23:27">
      <c r="W70" s="48">
        <f t="shared" si="0"/>
        <v>0</v>
      </c>
      <c r="X70" s="206">
        <f t="shared" si="1"/>
        <v>105.73929214477539</v>
      </c>
      <c r="Y70" s="206">
        <f t="shared" si="2"/>
        <v>0</v>
      </c>
      <c r="Z70" s="206">
        <f t="shared" si="3"/>
        <v>89.406955718994141</v>
      </c>
      <c r="AA70" s="48"/>
    </row>
    <row r="71" spans="23:27">
      <c r="W71" s="48">
        <f t="shared" si="0"/>
        <v>0</v>
      </c>
      <c r="X71" s="206">
        <f t="shared" si="1"/>
        <v>105.73929214477539</v>
      </c>
      <c r="Y71" s="206">
        <f t="shared" si="2"/>
        <v>0</v>
      </c>
      <c r="Z71" s="206">
        <f t="shared" si="3"/>
        <v>89.406955718994141</v>
      </c>
      <c r="AA71" s="48"/>
    </row>
    <row r="72" spans="23:27">
      <c r="W72" s="48">
        <f t="shared" si="0"/>
        <v>0</v>
      </c>
      <c r="X72" s="206">
        <f t="shared" si="1"/>
        <v>105.73929214477539</v>
      </c>
      <c r="Y72" s="206">
        <f t="shared" si="2"/>
        <v>0</v>
      </c>
      <c r="Z72" s="206">
        <f t="shared" si="3"/>
        <v>89.406955718994141</v>
      </c>
      <c r="AA72" s="48"/>
    </row>
    <row r="73" spans="23:27">
      <c r="W73" s="48">
        <f t="shared" si="0"/>
        <v>0</v>
      </c>
      <c r="X73" s="206">
        <f t="shared" si="1"/>
        <v>105.73929214477539</v>
      </c>
      <c r="Y73" s="206">
        <f t="shared" si="2"/>
        <v>0</v>
      </c>
      <c r="Z73" s="206">
        <f t="shared" si="3"/>
        <v>89.406955718994141</v>
      </c>
      <c r="AA73" s="48"/>
    </row>
    <row r="74" spans="23:27">
      <c r="W74" s="48">
        <f t="shared" si="0"/>
        <v>0</v>
      </c>
      <c r="X74" s="206">
        <f t="shared" si="1"/>
        <v>105.73929214477539</v>
      </c>
      <c r="Y74" s="206">
        <f t="shared" si="2"/>
        <v>0</v>
      </c>
      <c r="Z74" s="206">
        <f t="shared" si="3"/>
        <v>89.406955718994141</v>
      </c>
      <c r="AA74" s="48"/>
    </row>
    <row r="75" spans="23:27">
      <c r="W75" s="48">
        <f t="shared" si="0"/>
        <v>0</v>
      </c>
      <c r="X75" s="206">
        <f t="shared" si="1"/>
        <v>105.73929214477539</v>
      </c>
      <c r="Y75" s="206">
        <f t="shared" si="2"/>
        <v>0</v>
      </c>
      <c r="Z75" s="206">
        <f t="shared" si="3"/>
        <v>89.406955718994141</v>
      </c>
      <c r="AA75" s="48"/>
    </row>
    <row r="76" spans="23:27">
      <c r="W76" s="48">
        <f t="shared" si="0"/>
        <v>0</v>
      </c>
      <c r="X76" s="206">
        <f t="shared" si="1"/>
        <v>105.73929214477539</v>
      </c>
      <c r="Y76" s="206">
        <f t="shared" si="2"/>
        <v>0</v>
      </c>
      <c r="Z76" s="206">
        <f t="shared" si="3"/>
        <v>89.406955718994141</v>
      </c>
      <c r="AA76" s="48"/>
    </row>
    <row r="77" spans="23:27">
      <c r="W77" s="48">
        <f t="shared" si="0"/>
        <v>0</v>
      </c>
      <c r="X77" s="206">
        <f t="shared" si="1"/>
        <v>105.73929214477539</v>
      </c>
      <c r="Y77" s="206">
        <f t="shared" si="2"/>
        <v>0</v>
      </c>
      <c r="Z77" s="206">
        <f t="shared" si="3"/>
        <v>89.406955718994141</v>
      </c>
      <c r="AA77" s="48"/>
    </row>
    <row r="78" spans="23:27">
      <c r="W78" s="48">
        <f t="shared" ref="W78:W141" si="4">B78</f>
        <v>0</v>
      </c>
      <c r="X78" s="206">
        <f t="shared" ref="X78:X141" si="5">I$26</f>
        <v>105.73929214477539</v>
      </c>
      <c r="Y78" s="206">
        <f t="shared" ref="Y78:Y141" si="6">C78</f>
        <v>0</v>
      </c>
      <c r="Z78" s="206">
        <f t="shared" ref="Z78:Z141" si="7">I$23</f>
        <v>89.406955718994141</v>
      </c>
      <c r="AA78" s="48"/>
    </row>
    <row r="79" spans="23:27">
      <c r="W79" s="48">
        <f t="shared" si="4"/>
        <v>0</v>
      </c>
      <c r="X79" s="206">
        <f t="shared" si="5"/>
        <v>105.73929214477539</v>
      </c>
      <c r="Y79" s="206">
        <f t="shared" si="6"/>
        <v>0</v>
      </c>
      <c r="Z79" s="206">
        <f t="shared" si="7"/>
        <v>89.406955718994141</v>
      </c>
      <c r="AA79" s="48"/>
    </row>
    <row r="80" spans="23:27">
      <c r="W80" s="48">
        <f t="shared" si="4"/>
        <v>0</v>
      </c>
      <c r="X80" s="206">
        <f t="shared" si="5"/>
        <v>105.73929214477539</v>
      </c>
      <c r="Y80" s="206">
        <f t="shared" si="6"/>
        <v>0</v>
      </c>
      <c r="Z80" s="206">
        <f t="shared" si="7"/>
        <v>89.406955718994141</v>
      </c>
      <c r="AA80" s="48"/>
    </row>
    <row r="81" spans="23:27">
      <c r="W81" s="48">
        <f t="shared" si="4"/>
        <v>0</v>
      </c>
      <c r="X81" s="206">
        <f t="shared" si="5"/>
        <v>105.73929214477539</v>
      </c>
      <c r="Y81" s="206">
        <f t="shared" si="6"/>
        <v>0</v>
      </c>
      <c r="Z81" s="206">
        <f t="shared" si="7"/>
        <v>89.406955718994141</v>
      </c>
      <c r="AA81" s="48"/>
    </row>
    <row r="82" spans="23:27">
      <c r="W82" s="48">
        <f t="shared" si="4"/>
        <v>0</v>
      </c>
      <c r="X82" s="206">
        <f t="shared" si="5"/>
        <v>105.73929214477539</v>
      </c>
      <c r="Y82" s="206">
        <f t="shared" si="6"/>
        <v>0</v>
      </c>
      <c r="Z82" s="206">
        <f t="shared" si="7"/>
        <v>89.406955718994141</v>
      </c>
      <c r="AA82" s="48"/>
    </row>
    <row r="83" spans="23:27">
      <c r="W83" s="48">
        <f t="shared" si="4"/>
        <v>0</v>
      </c>
      <c r="X83" s="206">
        <f t="shared" si="5"/>
        <v>105.73929214477539</v>
      </c>
      <c r="Y83" s="206">
        <f t="shared" si="6"/>
        <v>0</v>
      </c>
      <c r="Z83" s="206">
        <f t="shared" si="7"/>
        <v>89.406955718994141</v>
      </c>
      <c r="AA83" s="48"/>
    </row>
    <row r="84" spans="23:27">
      <c r="W84" s="48">
        <f t="shared" si="4"/>
        <v>0</v>
      </c>
      <c r="X84" s="206">
        <f t="shared" si="5"/>
        <v>105.73929214477539</v>
      </c>
      <c r="Y84" s="206">
        <f t="shared" si="6"/>
        <v>0</v>
      </c>
      <c r="Z84" s="206">
        <f t="shared" si="7"/>
        <v>89.406955718994141</v>
      </c>
      <c r="AA84" s="48"/>
    </row>
    <row r="85" spans="23:27">
      <c r="W85" s="48">
        <f t="shared" si="4"/>
        <v>0</v>
      </c>
      <c r="X85" s="206">
        <f t="shared" si="5"/>
        <v>105.73929214477539</v>
      </c>
      <c r="Y85" s="206">
        <f t="shared" si="6"/>
        <v>0</v>
      </c>
      <c r="Z85" s="206">
        <f t="shared" si="7"/>
        <v>89.406955718994141</v>
      </c>
      <c r="AA85" s="48"/>
    </row>
    <row r="86" spans="23:27">
      <c r="W86" s="48">
        <f t="shared" si="4"/>
        <v>0</v>
      </c>
      <c r="X86" s="206">
        <f t="shared" si="5"/>
        <v>105.73929214477539</v>
      </c>
      <c r="Y86" s="206">
        <f t="shared" si="6"/>
        <v>0</v>
      </c>
      <c r="Z86" s="206">
        <f t="shared" si="7"/>
        <v>89.406955718994141</v>
      </c>
      <c r="AA86" s="48"/>
    </row>
    <row r="87" spans="23:27">
      <c r="W87" s="48">
        <f t="shared" si="4"/>
        <v>0</v>
      </c>
      <c r="X87" s="206">
        <f t="shared" si="5"/>
        <v>105.73929214477539</v>
      </c>
      <c r="Y87" s="206">
        <f t="shared" si="6"/>
        <v>0</v>
      </c>
      <c r="Z87" s="206">
        <f t="shared" si="7"/>
        <v>89.406955718994141</v>
      </c>
      <c r="AA87" s="48"/>
    </row>
    <row r="88" spans="23:27">
      <c r="W88" s="48">
        <f t="shared" si="4"/>
        <v>0</v>
      </c>
      <c r="X88" s="206">
        <f t="shared" si="5"/>
        <v>105.73929214477539</v>
      </c>
      <c r="Y88" s="206">
        <f t="shared" si="6"/>
        <v>0</v>
      </c>
      <c r="Z88" s="206">
        <f t="shared" si="7"/>
        <v>89.406955718994141</v>
      </c>
      <c r="AA88" s="48"/>
    </row>
    <row r="89" spans="23:27">
      <c r="W89" s="48">
        <f t="shared" si="4"/>
        <v>0</v>
      </c>
      <c r="X89" s="206">
        <f t="shared" si="5"/>
        <v>105.73929214477539</v>
      </c>
      <c r="Y89" s="206">
        <f t="shared" si="6"/>
        <v>0</v>
      </c>
      <c r="Z89" s="206">
        <f t="shared" si="7"/>
        <v>89.406955718994141</v>
      </c>
      <c r="AA89" s="48"/>
    </row>
    <row r="90" spans="23:27">
      <c r="W90" s="48">
        <f t="shared" si="4"/>
        <v>0</v>
      </c>
      <c r="X90" s="206">
        <f t="shared" si="5"/>
        <v>105.73929214477539</v>
      </c>
      <c r="Y90" s="206">
        <f t="shared" si="6"/>
        <v>0</v>
      </c>
      <c r="Z90" s="206">
        <f t="shared" si="7"/>
        <v>89.406955718994141</v>
      </c>
      <c r="AA90" s="48"/>
    </row>
    <row r="91" spans="23:27">
      <c r="W91" s="48">
        <f t="shared" si="4"/>
        <v>0</v>
      </c>
      <c r="X91" s="206">
        <f t="shared" si="5"/>
        <v>105.73929214477539</v>
      </c>
      <c r="Y91" s="206">
        <f t="shared" si="6"/>
        <v>0</v>
      </c>
      <c r="Z91" s="206">
        <f t="shared" si="7"/>
        <v>89.406955718994141</v>
      </c>
      <c r="AA91" s="48"/>
    </row>
    <row r="92" spans="23:27">
      <c r="W92" s="48">
        <f t="shared" si="4"/>
        <v>0</v>
      </c>
      <c r="X92" s="206">
        <f t="shared" si="5"/>
        <v>105.73929214477539</v>
      </c>
      <c r="Y92" s="206">
        <f t="shared" si="6"/>
        <v>0</v>
      </c>
      <c r="Z92" s="206">
        <f t="shared" si="7"/>
        <v>89.406955718994141</v>
      </c>
      <c r="AA92" s="48"/>
    </row>
    <row r="93" spans="23:27">
      <c r="W93" s="48">
        <f t="shared" si="4"/>
        <v>0</v>
      </c>
      <c r="X93" s="206">
        <f t="shared" si="5"/>
        <v>105.73929214477539</v>
      </c>
      <c r="Y93" s="206">
        <f t="shared" si="6"/>
        <v>0</v>
      </c>
      <c r="Z93" s="206">
        <f t="shared" si="7"/>
        <v>89.406955718994141</v>
      </c>
      <c r="AA93" s="48"/>
    </row>
    <row r="94" spans="23:27">
      <c r="W94" s="48">
        <f t="shared" si="4"/>
        <v>0</v>
      </c>
      <c r="X94" s="206">
        <f t="shared" si="5"/>
        <v>105.73929214477539</v>
      </c>
      <c r="Y94" s="206">
        <f t="shared" si="6"/>
        <v>0</v>
      </c>
      <c r="Z94" s="206">
        <f t="shared" si="7"/>
        <v>89.406955718994141</v>
      </c>
      <c r="AA94" s="48"/>
    </row>
    <row r="95" spans="23:27">
      <c r="W95" s="48">
        <f t="shared" si="4"/>
        <v>0</v>
      </c>
      <c r="X95" s="206">
        <f t="shared" si="5"/>
        <v>105.73929214477539</v>
      </c>
      <c r="Y95" s="206">
        <f t="shared" si="6"/>
        <v>0</v>
      </c>
      <c r="Z95" s="206">
        <f t="shared" si="7"/>
        <v>89.406955718994141</v>
      </c>
      <c r="AA95" s="48"/>
    </row>
    <row r="96" spans="23:27">
      <c r="W96" s="48">
        <f t="shared" si="4"/>
        <v>0</v>
      </c>
      <c r="X96" s="206">
        <f t="shared" si="5"/>
        <v>105.73929214477539</v>
      </c>
      <c r="Y96" s="206">
        <f t="shared" si="6"/>
        <v>0</v>
      </c>
      <c r="Z96" s="206">
        <f t="shared" si="7"/>
        <v>89.406955718994141</v>
      </c>
      <c r="AA96" s="48"/>
    </row>
    <row r="97" spans="23:27">
      <c r="W97" s="48">
        <f t="shared" si="4"/>
        <v>0</v>
      </c>
      <c r="X97" s="206">
        <f t="shared" si="5"/>
        <v>105.73929214477539</v>
      </c>
      <c r="Y97" s="206">
        <f t="shared" si="6"/>
        <v>0</v>
      </c>
      <c r="Z97" s="206">
        <f t="shared" si="7"/>
        <v>89.406955718994141</v>
      </c>
      <c r="AA97" s="48"/>
    </row>
    <row r="98" spans="23:27">
      <c r="W98" s="48">
        <f t="shared" si="4"/>
        <v>0</v>
      </c>
      <c r="X98" s="206">
        <f t="shared" si="5"/>
        <v>105.73929214477539</v>
      </c>
      <c r="Y98" s="206">
        <f t="shared" si="6"/>
        <v>0</v>
      </c>
      <c r="Z98" s="206">
        <f t="shared" si="7"/>
        <v>89.406955718994141</v>
      </c>
      <c r="AA98" s="48"/>
    </row>
    <row r="99" spans="23:27">
      <c r="W99" s="48">
        <f t="shared" si="4"/>
        <v>0</v>
      </c>
      <c r="X99" s="206">
        <f t="shared" si="5"/>
        <v>105.73929214477539</v>
      </c>
      <c r="Y99" s="206">
        <f t="shared" si="6"/>
        <v>0</v>
      </c>
      <c r="Z99" s="206">
        <f t="shared" si="7"/>
        <v>89.406955718994141</v>
      </c>
      <c r="AA99" s="48"/>
    </row>
    <row r="100" spans="23:27">
      <c r="W100" s="48">
        <f t="shared" si="4"/>
        <v>0</v>
      </c>
      <c r="X100" s="206">
        <f t="shared" si="5"/>
        <v>105.73929214477539</v>
      </c>
      <c r="Y100" s="206">
        <f t="shared" si="6"/>
        <v>0</v>
      </c>
      <c r="Z100" s="206">
        <f t="shared" si="7"/>
        <v>89.406955718994141</v>
      </c>
      <c r="AA100" s="48"/>
    </row>
    <row r="101" spans="23:27">
      <c r="W101" s="48">
        <f t="shared" si="4"/>
        <v>0</v>
      </c>
      <c r="X101" s="206">
        <f t="shared" si="5"/>
        <v>105.73929214477539</v>
      </c>
      <c r="Y101" s="206">
        <f t="shared" si="6"/>
        <v>0</v>
      </c>
      <c r="Z101" s="206">
        <f t="shared" si="7"/>
        <v>89.406955718994141</v>
      </c>
      <c r="AA101" s="48"/>
    </row>
    <row r="102" spans="23:27">
      <c r="W102" s="48">
        <f t="shared" si="4"/>
        <v>0</v>
      </c>
      <c r="X102" s="206">
        <f t="shared" si="5"/>
        <v>105.73929214477539</v>
      </c>
      <c r="Y102" s="206">
        <f t="shared" si="6"/>
        <v>0</v>
      </c>
      <c r="Z102" s="206">
        <f t="shared" si="7"/>
        <v>89.406955718994141</v>
      </c>
      <c r="AA102" s="48"/>
    </row>
    <row r="103" spans="23:27">
      <c r="W103" s="48">
        <f t="shared" si="4"/>
        <v>0</v>
      </c>
      <c r="X103" s="206">
        <f t="shared" si="5"/>
        <v>105.73929214477539</v>
      </c>
      <c r="Y103" s="206">
        <f t="shared" si="6"/>
        <v>0</v>
      </c>
      <c r="Z103" s="206">
        <f t="shared" si="7"/>
        <v>89.406955718994141</v>
      </c>
      <c r="AA103" s="48"/>
    </row>
    <row r="104" spans="23:27">
      <c r="W104" s="48">
        <f t="shared" si="4"/>
        <v>0</v>
      </c>
      <c r="X104" s="206">
        <f t="shared" si="5"/>
        <v>105.73929214477539</v>
      </c>
      <c r="Y104" s="206">
        <f t="shared" si="6"/>
        <v>0</v>
      </c>
      <c r="Z104" s="206">
        <f t="shared" si="7"/>
        <v>89.406955718994141</v>
      </c>
      <c r="AA104" s="48"/>
    </row>
    <row r="105" spans="23:27">
      <c r="W105" s="48">
        <f t="shared" si="4"/>
        <v>0</v>
      </c>
      <c r="X105" s="206">
        <f t="shared" si="5"/>
        <v>105.73929214477539</v>
      </c>
      <c r="Y105" s="206">
        <f t="shared" si="6"/>
        <v>0</v>
      </c>
      <c r="Z105" s="206">
        <f t="shared" si="7"/>
        <v>89.406955718994141</v>
      </c>
      <c r="AA105" s="48"/>
    </row>
    <row r="106" spans="23:27">
      <c r="W106" s="48">
        <f t="shared" si="4"/>
        <v>0</v>
      </c>
      <c r="X106" s="206">
        <f t="shared" si="5"/>
        <v>105.73929214477539</v>
      </c>
      <c r="Y106" s="206">
        <f t="shared" si="6"/>
        <v>0</v>
      </c>
      <c r="Z106" s="206">
        <f t="shared" si="7"/>
        <v>89.406955718994141</v>
      </c>
      <c r="AA106" s="48"/>
    </row>
    <row r="107" spans="23:27">
      <c r="W107" s="48">
        <f t="shared" si="4"/>
        <v>0</v>
      </c>
      <c r="X107" s="206">
        <f t="shared" si="5"/>
        <v>105.73929214477539</v>
      </c>
      <c r="Y107" s="206">
        <f t="shared" si="6"/>
        <v>0</v>
      </c>
      <c r="Z107" s="206">
        <f t="shared" si="7"/>
        <v>89.406955718994141</v>
      </c>
      <c r="AA107" s="48"/>
    </row>
    <row r="108" spans="23:27">
      <c r="W108" s="48">
        <f t="shared" si="4"/>
        <v>0</v>
      </c>
      <c r="X108" s="206">
        <f t="shared" si="5"/>
        <v>105.73929214477539</v>
      </c>
      <c r="Y108" s="206">
        <f t="shared" si="6"/>
        <v>0</v>
      </c>
      <c r="Z108" s="206">
        <f t="shared" si="7"/>
        <v>89.406955718994141</v>
      </c>
      <c r="AA108" s="48"/>
    </row>
    <row r="109" spans="23:27">
      <c r="W109" s="48">
        <f t="shared" si="4"/>
        <v>0</v>
      </c>
      <c r="X109" s="206">
        <f t="shared" si="5"/>
        <v>105.73929214477539</v>
      </c>
      <c r="Y109" s="206">
        <f t="shared" si="6"/>
        <v>0</v>
      </c>
      <c r="Z109" s="206">
        <f t="shared" si="7"/>
        <v>89.406955718994141</v>
      </c>
      <c r="AA109" s="48"/>
    </row>
    <row r="110" spans="23:27">
      <c r="W110" s="48">
        <f t="shared" si="4"/>
        <v>0</v>
      </c>
      <c r="X110" s="206">
        <f t="shared" si="5"/>
        <v>105.73929214477539</v>
      </c>
      <c r="Y110" s="206">
        <f t="shared" si="6"/>
        <v>0</v>
      </c>
      <c r="Z110" s="206">
        <f t="shared" si="7"/>
        <v>89.406955718994141</v>
      </c>
      <c r="AA110" s="48"/>
    </row>
    <row r="111" spans="23:27">
      <c r="W111" s="48">
        <f t="shared" si="4"/>
        <v>0</v>
      </c>
      <c r="X111" s="206">
        <f t="shared" si="5"/>
        <v>105.73929214477539</v>
      </c>
      <c r="Y111" s="206">
        <f t="shared" si="6"/>
        <v>0</v>
      </c>
      <c r="Z111" s="206">
        <f t="shared" si="7"/>
        <v>89.406955718994141</v>
      </c>
      <c r="AA111" s="48"/>
    </row>
    <row r="112" spans="23:27">
      <c r="W112" s="48">
        <f t="shared" si="4"/>
        <v>0</v>
      </c>
      <c r="X112" s="206">
        <f t="shared" si="5"/>
        <v>105.73929214477539</v>
      </c>
      <c r="Y112" s="206">
        <f t="shared" si="6"/>
        <v>0</v>
      </c>
      <c r="Z112" s="206">
        <f t="shared" si="7"/>
        <v>89.406955718994141</v>
      </c>
      <c r="AA112" s="48"/>
    </row>
    <row r="113" spans="23:27">
      <c r="W113" s="48">
        <f t="shared" si="4"/>
        <v>0</v>
      </c>
      <c r="X113" s="206">
        <f t="shared" si="5"/>
        <v>105.73929214477539</v>
      </c>
      <c r="Y113" s="206">
        <f t="shared" si="6"/>
        <v>0</v>
      </c>
      <c r="Z113" s="206">
        <f t="shared" si="7"/>
        <v>89.406955718994141</v>
      </c>
      <c r="AA113" s="48"/>
    </row>
    <row r="114" spans="23:27">
      <c r="W114" s="48">
        <f t="shared" si="4"/>
        <v>0</v>
      </c>
      <c r="X114" s="206">
        <f t="shared" si="5"/>
        <v>105.73929214477539</v>
      </c>
      <c r="Y114" s="206">
        <f t="shared" si="6"/>
        <v>0</v>
      </c>
      <c r="Z114" s="206">
        <f t="shared" si="7"/>
        <v>89.406955718994141</v>
      </c>
      <c r="AA114" s="48"/>
    </row>
    <row r="115" spans="23:27">
      <c r="W115" s="48">
        <f t="shared" si="4"/>
        <v>0</v>
      </c>
      <c r="X115" s="206">
        <f t="shared" si="5"/>
        <v>105.73929214477539</v>
      </c>
      <c r="Y115" s="206">
        <f t="shared" si="6"/>
        <v>0</v>
      </c>
      <c r="Z115" s="206">
        <f t="shared" si="7"/>
        <v>89.406955718994141</v>
      </c>
      <c r="AA115" s="48"/>
    </row>
    <row r="116" spans="23:27">
      <c r="W116" s="48">
        <f t="shared" si="4"/>
        <v>0</v>
      </c>
      <c r="X116" s="206">
        <f t="shared" si="5"/>
        <v>105.73929214477539</v>
      </c>
      <c r="Y116" s="206">
        <f t="shared" si="6"/>
        <v>0</v>
      </c>
      <c r="Z116" s="206">
        <f t="shared" si="7"/>
        <v>89.406955718994141</v>
      </c>
      <c r="AA116" s="48"/>
    </row>
    <row r="117" spans="23:27">
      <c r="W117" s="48">
        <f t="shared" si="4"/>
        <v>0</v>
      </c>
      <c r="X117" s="206">
        <f t="shared" si="5"/>
        <v>105.73929214477539</v>
      </c>
      <c r="Y117" s="206">
        <f t="shared" si="6"/>
        <v>0</v>
      </c>
      <c r="Z117" s="206">
        <f t="shared" si="7"/>
        <v>89.406955718994141</v>
      </c>
      <c r="AA117" s="48"/>
    </row>
    <row r="118" spans="23:27">
      <c r="W118" s="48">
        <f t="shared" si="4"/>
        <v>0</v>
      </c>
      <c r="X118" s="206">
        <f t="shared" si="5"/>
        <v>105.73929214477539</v>
      </c>
      <c r="Y118" s="206">
        <f t="shared" si="6"/>
        <v>0</v>
      </c>
      <c r="Z118" s="206">
        <f t="shared" si="7"/>
        <v>89.406955718994141</v>
      </c>
      <c r="AA118" s="48"/>
    </row>
    <row r="119" spans="23:27">
      <c r="W119" s="48">
        <f t="shared" si="4"/>
        <v>0</v>
      </c>
      <c r="X119" s="206">
        <f t="shared" si="5"/>
        <v>105.73929214477539</v>
      </c>
      <c r="Y119" s="206">
        <f t="shared" si="6"/>
        <v>0</v>
      </c>
      <c r="Z119" s="206">
        <f t="shared" si="7"/>
        <v>89.406955718994141</v>
      </c>
      <c r="AA119" s="48"/>
    </row>
    <row r="120" spans="23:27">
      <c r="W120" s="48">
        <f t="shared" si="4"/>
        <v>0</v>
      </c>
      <c r="X120" s="206">
        <f t="shared" si="5"/>
        <v>105.73929214477539</v>
      </c>
      <c r="Y120" s="206">
        <f t="shared" si="6"/>
        <v>0</v>
      </c>
      <c r="Z120" s="206">
        <f t="shared" si="7"/>
        <v>89.406955718994141</v>
      </c>
      <c r="AA120" s="48"/>
    </row>
    <row r="121" spans="23:27">
      <c r="W121" s="48">
        <f t="shared" si="4"/>
        <v>0</v>
      </c>
      <c r="X121" s="206">
        <f t="shared" si="5"/>
        <v>105.73929214477539</v>
      </c>
      <c r="Y121" s="206">
        <f t="shared" si="6"/>
        <v>0</v>
      </c>
      <c r="Z121" s="206">
        <f t="shared" si="7"/>
        <v>89.406955718994141</v>
      </c>
      <c r="AA121" s="48"/>
    </row>
    <row r="122" spans="23:27">
      <c r="W122" s="48">
        <f t="shared" si="4"/>
        <v>0</v>
      </c>
      <c r="X122" s="206">
        <f t="shared" si="5"/>
        <v>105.73929214477539</v>
      </c>
      <c r="Y122" s="206">
        <f t="shared" si="6"/>
        <v>0</v>
      </c>
      <c r="Z122" s="206">
        <f t="shared" si="7"/>
        <v>89.406955718994141</v>
      </c>
      <c r="AA122" s="48"/>
    </row>
    <row r="123" spans="23:27">
      <c r="W123" s="48">
        <f t="shared" si="4"/>
        <v>0</v>
      </c>
      <c r="X123" s="206">
        <f t="shared" si="5"/>
        <v>105.73929214477539</v>
      </c>
      <c r="Y123" s="206">
        <f t="shared" si="6"/>
        <v>0</v>
      </c>
      <c r="Z123" s="206">
        <f t="shared" si="7"/>
        <v>89.406955718994141</v>
      </c>
      <c r="AA123" s="48"/>
    </row>
    <row r="124" spans="23:27">
      <c r="W124" s="48">
        <f t="shared" si="4"/>
        <v>0</v>
      </c>
      <c r="X124" s="206">
        <f t="shared" si="5"/>
        <v>105.73929214477539</v>
      </c>
      <c r="Y124" s="206">
        <f t="shared" si="6"/>
        <v>0</v>
      </c>
      <c r="Z124" s="206">
        <f t="shared" si="7"/>
        <v>89.406955718994141</v>
      </c>
      <c r="AA124" s="48"/>
    </row>
    <row r="125" spans="23:27">
      <c r="W125" s="48">
        <f t="shared" si="4"/>
        <v>0</v>
      </c>
      <c r="X125" s="206">
        <f t="shared" si="5"/>
        <v>105.73929214477539</v>
      </c>
      <c r="Y125" s="206">
        <f t="shared" si="6"/>
        <v>0</v>
      </c>
      <c r="Z125" s="206">
        <f t="shared" si="7"/>
        <v>89.406955718994141</v>
      </c>
      <c r="AA125" s="48"/>
    </row>
    <row r="126" spans="23:27">
      <c r="W126" s="48">
        <f t="shared" si="4"/>
        <v>0</v>
      </c>
      <c r="X126" s="206">
        <f t="shared" si="5"/>
        <v>105.73929214477539</v>
      </c>
      <c r="Y126" s="206">
        <f t="shared" si="6"/>
        <v>0</v>
      </c>
      <c r="Z126" s="206">
        <f t="shared" si="7"/>
        <v>89.406955718994141</v>
      </c>
      <c r="AA126" s="48"/>
    </row>
    <row r="127" spans="23:27">
      <c r="W127" s="48">
        <f t="shared" si="4"/>
        <v>0</v>
      </c>
      <c r="X127" s="206">
        <f t="shared" si="5"/>
        <v>105.73929214477539</v>
      </c>
      <c r="Y127" s="206">
        <f t="shared" si="6"/>
        <v>0</v>
      </c>
      <c r="Z127" s="206">
        <f t="shared" si="7"/>
        <v>89.406955718994141</v>
      </c>
      <c r="AA127" s="48"/>
    </row>
    <row r="128" spans="23:27">
      <c r="W128" s="48">
        <f t="shared" si="4"/>
        <v>0</v>
      </c>
      <c r="X128" s="206">
        <f t="shared" si="5"/>
        <v>105.73929214477539</v>
      </c>
      <c r="Y128" s="206">
        <f t="shared" si="6"/>
        <v>0</v>
      </c>
      <c r="Z128" s="206">
        <f t="shared" si="7"/>
        <v>89.406955718994141</v>
      </c>
      <c r="AA128" s="48"/>
    </row>
    <row r="129" spans="23:27">
      <c r="W129" s="48">
        <f t="shared" si="4"/>
        <v>0</v>
      </c>
      <c r="X129" s="206">
        <f t="shared" si="5"/>
        <v>105.73929214477539</v>
      </c>
      <c r="Y129" s="206">
        <f t="shared" si="6"/>
        <v>0</v>
      </c>
      <c r="Z129" s="206">
        <f t="shared" si="7"/>
        <v>89.406955718994141</v>
      </c>
      <c r="AA129" s="48"/>
    </row>
    <row r="130" spans="23:27">
      <c r="W130" s="48">
        <f t="shared" si="4"/>
        <v>0</v>
      </c>
      <c r="X130" s="206">
        <f t="shared" si="5"/>
        <v>105.73929214477539</v>
      </c>
      <c r="Y130" s="206">
        <f t="shared" si="6"/>
        <v>0</v>
      </c>
      <c r="Z130" s="206">
        <f t="shared" si="7"/>
        <v>89.406955718994141</v>
      </c>
      <c r="AA130" s="48"/>
    </row>
    <row r="131" spans="23:27">
      <c r="W131" s="48">
        <f t="shared" si="4"/>
        <v>0</v>
      </c>
      <c r="X131" s="206">
        <f t="shared" si="5"/>
        <v>105.73929214477539</v>
      </c>
      <c r="Y131" s="206">
        <f t="shared" si="6"/>
        <v>0</v>
      </c>
      <c r="Z131" s="206">
        <f t="shared" si="7"/>
        <v>89.406955718994141</v>
      </c>
      <c r="AA131" s="48"/>
    </row>
    <row r="132" spans="23:27">
      <c r="W132" s="48">
        <f t="shared" si="4"/>
        <v>0</v>
      </c>
      <c r="X132" s="206">
        <f t="shared" si="5"/>
        <v>105.73929214477539</v>
      </c>
      <c r="Y132" s="206">
        <f t="shared" si="6"/>
        <v>0</v>
      </c>
      <c r="Z132" s="206">
        <f t="shared" si="7"/>
        <v>89.406955718994141</v>
      </c>
      <c r="AA132" s="48"/>
    </row>
    <row r="133" spans="23:27">
      <c r="W133" s="48">
        <f t="shared" si="4"/>
        <v>0</v>
      </c>
      <c r="X133" s="206">
        <f t="shared" si="5"/>
        <v>105.73929214477539</v>
      </c>
      <c r="Y133" s="206">
        <f t="shared" si="6"/>
        <v>0</v>
      </c>
      <c r="Z133" s="206">
        <f t="shared" si="7"/>
        <v>89.406955718994141</v>
      </c>
      <c r="AA133" s="48"/>
    </row>
    <row r="134" spans="23:27">
      <c r="W134" s="48">
        <f t="shared" si="4"/>
        <v>0</v>
      </c>
      <c r="X134" s="206">
        <f t="shared" si="5"/>
        <v>105.73929214477539</v>
      </c>
      <c r="Y134" s="206">
        <f t="shared" si="6"/>
        <v>0</v>
      </c>
      <c r="Z134" s="206">
        <f t="shared" si="7"/>
        <v>89.406955718994141</v>
      </c>
      <c r="AA134" s="48"/>
    </row>
    <row r="135" spans="23:27">
      <c r="W135" s="48">
        <f t="shared" si="4"/>
        <v>0</v>
      </c>
      <c r="X135" s="206">
        <f t="shared" si="5"/>
        <v>105.73929214477539</v>
      </c>
      <c r="Y135" s="206">
        <f t="shared" si="6"/>
        <v>0</v>
      </c>
      <c r="Z135" s="206">
        <f t="shared" si="7"/>
        <v>89.406955718994141</v>
      </c>
      <c r="AA135" s="48"/>
    </row>
    <row r="136" spans="23:27">
      <c r="W136" s="48">
        <f t="shared" si="4"/>
        <v>0</v>
      </c>
      <c r="X136" s="206">
        <f t="shared" si="5"/>
        <v>105.73929214477539</v>
      </c>
      <c r="Y136" s="206">
        <f t="shared" si="6"/>
        <v>0</v>
      </c>
      <c r="Z136" s="206">
        <f t="shared" si="7"/>
        <v>89.406955718994141</v>
      </c>
      <c r="AA136" s="48"/>
    </row>
    <row r="137" spans="23:27">
      <c r="W137" s="48">
        <f t="shared" si="4"/>
        <v>0</v>
      </c>
      <c r="X137" s="206">
        <f t="shared" si="5"/>
        <v>105.73929214477539</v>
      </c>
      <c r="Y137" s="206">
        <f t="shared" si="6"/>
        <v>0</v>
      </c>
      <c r="Z137" s="206">
        <f t="shared" si="7"/>
        <v>89.406955718994141</v>
      </c>
      <c r="AA137" s="48"/>
    </row>
    <row r="138" spans="23:27">
      <c r="W138" s="48">
        <f t="shared" si="4"/>
        <v>0</v>
      </c>
      <c r="X138" s="206">
        <f t="shared" si="5"/>
        <v>105.73929214477539</v>
      </c>
      <c r="Y138" s="206">
        <f t="shared" si="6"/>
        <v>0</v>
      </c>
      <c r="Z138" s="206">
        <f t="shared" si="7"/>
        <v>89.406955718994141</v>
      </c>
      <c r="AA138" s="48"/>
    </row>
    <row r="139" spans="23:27">
      <c r="W139" s="48">
        <f t="shared" si="4"/>
        <v>0</v>
      </c>
      <c r="X139" s="206">
        <f t="shared" si="5"/>
        <v>105.73929214477539</v>
      </c>
      <c r="Y139" s="206">
        <f t="shared" si="6"/>
        <v>0</v>
      </c>
      <c r="Z139" s="206">
        <f t="shared" si="7"/>
        <v>89.406955718994141</v>
      </c>
      <c r="AA139" s="48"/>
    </row>
    <row r="140" spans="23:27">
      <c r="W140" s="48">
        <f t="shared" si="4"/>
        <v>0</v>
      </c>
      <c r="X140" s="206">
        <f t="shared" si="5"/>
        <v>105.73929214477539</v>
      </c>
      <c r="Y140" s="206">
        <f t="shared" si="6"/>
        <v>0</v>
      </c>
      <c r="Z140" s="206">
        <f t="shared" si="7"/>
        <v>89.406955718994141</v>
      </c>
      <c r="AA140" s="48"/>
    </row>
    <row r="141" spans="23:27">
      <c r="W141" s="48">
        <f t="shared" si="4"/>
        <v>0</v>
      </c>
      <c r="X141" s="206">
        <f t="shared" si="5"/>
        <v>105.73929214477539</v>
      </c>
      <c r="Y141" s="206">
        <f t="shared" si="6"/>
        <v>0</v>
      </c>
      <c r="Z141" s="206">
        <f t="shared" si="7"/>
        <v>89.406955718994141</v>
      </c>
      <c r="AA141" s="48"/>
    </row>
    <row r="142" spans="23:27">
      <c r="W142" s="48">
        <f t="shared" ref="W142:W205" si="8">B142</f>
        <v>0</v>
      </c>
      <c r="X142" s="206">
        <f t="shared" ref="X142:X205" si="9">I$26</f>
        <v>105.73929214477539</v>
      </c>
      <c r="Y142" s="206">
        <f t="shared" ref="Y142:Y205" si="10">C142</f>
        <v>0</v>
      </c>
      <c r="Z142" s="206">
        <f t="shared" ref="Z142:Z205" si="11">I$23</f>
        <v>89.406955718994141</v>
      </c>
      <c r="AA142" s="48"/>
    </row>
    <row r="143" spans="23:27">
      <c r="W143" s="48">
        <f t="shared" si="8"/>
        <v>0</v>
      </c>
      <c r="X143" s="206">
        <f t="shared" si="9"/>
        <v>105.73929214477539</v>
      </c>
      <c r="Y143" s="206">
        <f t="shared" si="10"/>
        <v>0</v>
      </c>
      <c r="Z143" s="206">
        <f t="shared" si="11"/>
        <v>89.406955718994141</v>
      </c>
      <c r="AA143" s="48"/>
    </row>
    <row r="144" spans="23:27">
      <c r="W144" s="48">
        <f t="shared" si="8"/>
        <v>0</v>
      </c>
      <c r="X144" s="206">
        <f t="shared" si="9"/>
        <v>105.73929214477539</v>
      </c>
      <c r="Y144" s="206">
        <f t="shared" si="10"/>
        <v>0</v>
      </c>
      <c r="Z144" s="206">
        <f t="shared" si="11"/>
        <v>89.406955718994141</v>
      </c>
      <c r="AA144" s="48"/>
    </row>
    <row r="145" spans="23:27">
      <c r="W145" s="48">
        <f t="shared" si="8"/>
        <v>0</v>
      </c>
      <c r="X145" s="206">
        <f t="shared" si="9"/>
        <v>105.73929214477539</v>
      </c>
      <c r="Y145" s="206">
        <f t="shared" si="10"/>
        <v>0</v>
      </c>
      <c r="Z145" s="206">
        <f t="shared" si="11"/>
        <v>89.406955718994141</v>
      </c>
      <c r="AA145" s="48"/>
    </row>
    <row r="146" spans="23:27">
      <c r="W146" s="48">
        <f t="shared" si="8"/>
        <v>0</v>
      </c>
      <c r="X146" s="206">
        <f t="shared" si="9"/>
        <v>105.73929214477539</v>
      </c>
      <c r="Y146" s="206">
        <f t="shared" si="10"/>
        <v>0</v>
      </c>
      <c r="Z146" s="206">
        <f t="shared" si="11"/>
        <v>89.406955718994141</v>
      </c>
      <c r="AA146" s="48"/>
    </row>
    <row r="147" spans="23:27">
      <c r="W147" s="48">
        <f t="shared" si="8"/>
        <v>0</v>
      </c>
      <c r="X147" s="206">
        <f t="shared" si="9"/>
        <v>105.73929214477539</v>
      </c>
      <c r="Y147" s="206">
        <f t="shared" si="10"/>
        <v>0</v>
      </c>
      <c r="Z147" s="206">
        <f t="shared" si="11"/>
        <v>89.406955718994141</v>
      </c>
      <c r="AA147" s="48"/>
    </row>
    <row r="148" spans="23:27">
      <c r="W148" s="48">
        <f t="shared" si="8"/>
        <v>0</v>
      </c>
      <c r="X148" s="206">
        <f t="shared" si="9"/>
        <v>105.73929214477539</v>
      </c>
      <c r="Y148" s="206">
        <f t="shared" si="10"/>
        <v>0</v>
      </c>
      <c r="Z148" s="206">
        <f t="shared" si="11"/>
        <v>89.406955718994141</v>
      </c>
      <c r="AA148" s="48"/>
    </row>
    <row r="149" spans="23:27">
      <c r="W149" s="48">
        <f t="shared" si="8"/>
        <v>0</v>
      </c>
      <c r="X149" s="206">
        <f t="shared" si="9"/>
        <v>105.73929214477539</v>
      </c>
      <c r="Y149" s="206">
        <f t="shared" si="10"/>
        <v>0</v>
      </c>
      <c r="Z149" s="206">
        <f t="shared" si="11"/>
        <v>89.406955718994141</v>
      </c>
      <c r="AA149" s="48"/>
    </row>
    <row r="150" spans="23:27">
      <c r="W150" s="48">
        <f t="shared" si="8"/>
        <v>0</v>
      </c>
      <c r="X150" s="206">
        <f t="shared" si="9"/>
        <v>105.73929214477539</v>
      </c>
      <c r="Y150" s="206">
        <f t="shared" si="10"/>
        <v>0</v>
      </c>
      <c r="Z150" s="206">
        <f t="shared" si="11"/>
        <v>89.406955718994141</v>
      </c>
      <c r="AA150" s="48"/>
    </row>
    <row r="151" spans="23:27">
      <c r="W151" s="48">
        <f t="shared" si="8"/>
        <v>0</v>
      </c>
      <c r="X151" s="206">
        <f t="shared" si="9"/>
        <v>105.73929214477539</v>
      </c>
      <c r="Y151" s="206">
        <f t="shared" si="10"/>
        <v>0</v>
      </c>
      <c r="Z151" s="206">
        <f t="shared" si="11"/>
        <v>89.406955718994141</v>
      </c>
      <c r="AA151" s="48"/>
    </row>
    <row r="152" spans="23:27">
      <c r="W152" s="48">
        <f t="shared" si="8"/>
        <v>0</v>
      </c>
      <c r="X152" s="206">
        <f t="shared" si="9"/>
        <v>105.73929214477539</v>
      </c>
      <c r="Y152" s="206">
        <f t="shared" si="10"/>
        <v>0</v>
      </c>
      <c r="Z152" s="206">
        <f t="shared" si="11"/>
        <v>89.406955718994141</v>
      </c>
      <c r="AA152" s="48"/>
    </row>
    <row r="153" spans="23:27">
      <c r="W153" s="48">
        <f t="shared" si="8"/>
        <v>0</v>
      </c>
      <c r="X153" s="206">
        <f t="shared" si="9"/>
        <v>105.73929214477539</v>
      </c>
      <c r="Y153" s="206">
        <f t="shared" si="10"/>
        <v>0</v>
      </c>
      <c r="Z153" s="206">
        <f t="shared" si="11"/>
        <v>89.406955718994141</v>
      </c>
      <c r="AA153" s="48"/>
    </row>
    <row r="154" spans="23:27">
      <c r="W154" s="48">
        <f t="shared" si="8"/>
        <v>0</v>
      </c>
      <c r="X154" s="206">
        <f t="shared" si="9"/>
        <v>105.73929214477539</v>
      </c>
      <c r="Y154" s="206">
        <f t="shared" si="10"/>
        <v>0</v>
      </c>
      <c r="Z154" s="206">
        <f t="shared" si="11"/>
        <v>89.406955718994141</v>
      </c>
      <c r="AA154" s="48"/>
    </row>
    <row r="155" spans="23:27">
      <c r="W155" s="48">
        <f t="shared" si="8"/>
        <v>0</v>
      </c>
      <c r="X155" s="206">
        <f t="shared" si="9"/>
        <v>105.73929214477539</v>
      </c>
      <c r="Y155" s="206">
        <f t="shared" si="10"/>
        <v>0</v>
      </c>
      <c r="Z155" s="206">
        <f t="shared" si="11"/>
        <v>89.406955718994141</v>
      </c>
      <c r="AA155" s="48"/>
    </row>
    <row r="156" spans="23:27">
      <c r="W156" s="48">
        <f t="shared" si="8"/>
        <v>0</v>
      </c>
      <c r="X156" s="206">
        <f t="shared" si="9"/>
        <v>105.73929214477539</v>
      </c>
      <c r="Y156" s="206">
        <f t="shared" si="10"/>
        <v>0</v>
      </c>
      <c r="Z156" s="206">
        <f t="shared" si="11"/>
        <v>89.406955718994141</v>
      </c>
      <c r="AA156" s="48"/>
    </row>
    <row r="157" spans="23:27">
      <c r="W157" s="48">
        <f t="shared" si="8"/>
        <v>0</v>
      </c>
      <c r="X157" s="206">
        <f t="shared" si="9"/>
        <v>105.73929214477539</v>
      </c>
      <c r="Y157" s="206">
        <f t="shared" si="10"/>
        <v>0</v>
      </c>
      <c r="Z157" s="206">
        <f t="shared" si="11"/>
        <v>89.406955718994141</v>
      </c>
      <c r="AA157" s="48"/>
    </row>
    <row r="158" spans="23:27">
      <c r="W158" s="48">
        <f t="shared" si="8"/>
        <v>0</v>
      </c>
      <c r="X158" s="206">
        <f t="shared" si="9"/>
        <v>105.73929214477539</v>
      </c>
      <c r="Y158" s="206">
        <f t="shared" si="10"/>
        <v>0</v>
      </c>
      <c r="Z158" s="206">
        <f t="shared" si="11"/>
        <v>89.406955718994141</v>
      </c>
      <c r="AA158" s="48"/>
    </row>
    <row r="159" spans="23:27">
      <c r="W159" s="48">
        <f t="shared" si="8"/>
        <v>0</v>
      </c>
      <c r="X159" s="206">
        <f t="shared" si="9"/>
        <v>105.73929214477539</v>
      </c>
      <c r="Y159" s="206">
        <f t="shared" si="10"/>
        <v>0</v>
      </c>
      <c r="Z159" s="206">
        <f t="shared" si="11"/>
        <v>89.406955718994141</v>
      </c>
      <c r="AA159" s="48"/>
    </row>
    <row r="160" spans="23:27">
      <c r="W160" s="48">
        <f t="shared" si="8"/>
        <v>0</v>
      </c>
      <c r="X160" s="206">
        <f t="shared" si="9"/>
        <v>105.73929214477539</v>
      </c>
      <c r="Y160" s="206">
        <f t="shared" si="10"/>
        <v>0</v>
      </c>
      <c r="Z160" s="206">
        <f t="shared" si="11"/>
        <v>89.406955718994141</v>
      </c>
      <c r="AA160" s="48"/>
    </row>
    <row r="161" spans="23:27">
      <c r="W161" s="48">
        <f t="shared" si="8"/>
        <v>0</v>
      </c>
      <c r="X161" s="206">
        <f t="shared" si="9"/>
        <v>105.73929214477539</v>
      </c>
      <c r="Y161" s="206">
        <f t="shared" si="10"/>
        <v>0</v>
      </c>
      <c r="Z161" s="206">
        <f t="shared" si="11"/>
        <v>89.406955718994141</v>
      </c>
      <c r="AA161" s="48"/>
    </row>
    <row r="162" spans="23:27">
      <c r="W162" s="48">
        <f t="shared" si="8"/>
        <v>0</v>
      </c>
      <c r="X162" s="206">
        <f t="shared" si="9"/>
        <v>105.73929214477539</v>
      </c>
      <c r="Y162" s="206">
        <f t="shared" si="10"/>
        <v>0</v>
      </c>
      <c r="Z162" s="206">
        <f t="shared" si="11"/>
        <v>89.406955718994141</v>
      </c>
      <c r="AA162" s="48"/>
    </row>
    <row r="163" spans="23:27">
      <c r="W163" s="48">
        <f t="shared" si="8"/>
        <v>0</v>
      </c>
      <c r="X163" s="206">
        <f t="shared" si="9"/>
        <v>105.73929214477539</v>
      </c>
      <c r="Y163" s="206">
        <f t="shared" si="10"/>
        <v>0</v>
      </c>
      <c r="Z163" s="206">
        <f t="shared" si="11"/>
        <v>89.406955718994141</v>
      </c>
      <c r="AA163" s="48"/>
    </row>
    <row r="164" spans="23:27">
      <c r="W164" s="48">
        <f t="shared" si="8"/>
        <v>0</v>
      </c>
      <c r="X164" s="206">
        <f t="shared" si="9"/>
        <v>105.73929214477539</v>
      </c>
      <c r="Y164" s="206">
        <f t="shared" si="10"/>
        <v>0</v>
      </c>
      <c r="Z164" s="206">
        <f t="shared" si="11"/>
        <v>89.406955718994141</v>
      </c>
      <c r="AA164" s="48"/>
    </row>
    <row r="165" spans="23:27">
      <c r="W165" s="48">
        <f t="shared" si="8"/>
        <v>0</v>
      </c>
      <c r="X165" s="206">
        <f t="shared" si="9"/>
        <v>105.73929214477539</v>
      </c>
      <c r="Y165" s="206">
        <f t="shared" si="10"/>
        <v>0</v>
      </c>
      <c r="Z165" s="206">
        <f t="shared" si="11"/>
        <v>89.406955718994141</v>
      </c>
      <c r="AA165" s="48"/>
    </row>
    <row r="166" spans="23:27">
      <c r="W166" s="48">
        <f t="shared" si="8"/>
        <v>0</v>
      </c>
      <c r="X166" s="206">
        <f t="shared" si="9"/>
        <v>105.73929214477539</v>
      </c>
      <c r="Y166" s="206">
        <f t="shared" si="10"/>
        <v>0</v>
      </c>
      <c r="Z166" s="206">
        <f t="shared" si="11"/>
        <v>89.406955718994141</v>
      </c>
      <c r="AA166" s="48"/>
    </row>
    <row r="167" spans="23:27">
      <c r="W167" s="48">
        <f t="shared" si="8"/>
        <v>0</v>
      </c>
      <c r="X167" s="206">
        <f t="shared" si="9"/>
        <v>105.73929214477539</v>
      </c>
      <c r="Y167" s="206">
        <f t="shared" si="10"/>
        <v>0</v>
      </c>
      <c r="Z167" s="206">
        <f t="shared" si="11"/>
        <v>89.406955718994141</v>
      </c>
      <c r="AA167" s="48"/>
    </row>
    <row r="168" spans="23:27">
      <c r="W168" s="48">
        <f t="shared" si="8"/>
        <v>0</v>
      </c>
      <c r="X168" s="206">
        <f t="shared" si="9"/>
        <v>105.73929214477539</v>
      </c>
      <c r="Y168" s="206">
        <f t="shared" si="10"/>
        <v>0</v>
      </c>
      <c r="Z168" s="206">
        <f t="shared" si="11"/>
        <v>89.406955718994141</v>
      </c>
      <c r="AA168" s="48"/>
    </row>
    <row r="169" spans="23:27">
      <c r="W169" s="48">
        <f t="shared" si="8"/>
        <v>0</v>
      </c>
      <c r="X169" s="206">
        <f t="shared" si="9"/>
        <v>105.73929214477539</v>
      </c>
      <c r="Y169" s="206">
        <f t="shared" si="10"/>
        <v>0</v>
      </c>
      <c r="Z169" s="206">
        <f t="shared" si="11"/>
        <v>89.406955718994141</v>
      </c>
      <c r="AA169" s="48"/>
    </row>
    <row r="170" spans="23:27">
      <c r="W170" s="48">
        <f t="shared" si="8"/>
        <v>0</v>
      </c>
      <c r="X170" s="206">
        <f t="shared" si="9"/>
        <v>105.73929214477539</v>
      </c>
      <c r="Y170" s="206">
        <f t="shared" si="10"/>
        <v>0</v>
      </c>
      <c r="Z170" s="206">
        <f t="shared" si="11"/>
        <v>89.406955718994141</v>
      </c>
      <c r="AA170" s="48"/>
    </row>
    <row r="171" spans="23:27">
      <c r="W171" s="48">
        <f t="shared" si="8"/>
        <v>0</v>
      </c>
      <c r="X171" s="206">
        <f t="shared" si="9"/>
        <v>105.73929214477539</v>
      </c>
      <c r="Y171" s="206">
        <f t="shared" si="10"/>
        <v>0</v>
      </c>
      <c r="Z171" s="206">
        <f t="shared" si="11"/>
        <v>89.406955718994141</v>
      </c>
      <c r="AA171" s="48"/>
    </row>
    <row r="172" spans="23:27">
      <c r="W172" s="48">
        <f t="shared" si="8"/>
        <v>0</v>
      </c>
      <c r="X172" s="206">
        <f t="shared" si="9"/>
        <v>105.73929214477539</v>
      </c>
      <c r="Y172" s="206">
        <f t="shared" si="10"/>
        <v>0</v>
      </c>
      <c r="Z172" s="206">
        <f t="shared" si="11"/>
        <v>89.406955718994141</v>
      </c>
      <c r="AA172" s="48"/>
    </row>
    <row r="173" spans="23:27">
      <c r="W173" s="48">
        <f t="shared" si="8"/>
        <v>0</v>
      </c>
      <c r="X173" s="206">
        <f t="shared" si="9"/>
        <v>105.73929214477539</v>
      </c>
      <c r="Y173" s="206">
        <f t="shared" si="10"/>
        <v>0</v>
      </c>
      <c r="Z173" s="206">
        <f t="shared" si="11"/>
        <v>89.406955718994141</v>
      </c>
      <c r="AA173" s="48"/>
    </row>
    <row r="174" spans="23:27">
      <c r="W174" s="48">
        <f t="shared" si="8"/>
        <v>0</v>
      </c>
      <c r="X174" s="206">
        <f t="shared" si="9"/>
        <v>105.73929214477539</v>
      </c>
      <c r="Y174" s="206">
        <f t="shared" si="10"/>
        <v>0</v>
      </c>
      <c r="Z174" s="206">
        <f t="shared" si="11"/>
        <v>89.406955718994141</v>
      </c>
      <c r="AA174" s="48"/>
    </row>
    <row r="175" spans="23:27">
      <c r="W175" s="48">
        <f t="shared" si="8"/>
        <v>0</v>
      </c>
      <c r="X175" s="206">
        <f t="shared" si="9"/>
        <v>105.73929214477539</v>
      </c>
      <c r="Y175" s="206">
        <f t="shared" si="10"/>
        <v>0</v>
      </c>
      <c r="Z175" s="206">
        <f t="shared" si="11"/>
        <v>89.406955718994141</v>
      </c>
      <c r="AA175" s="48"/>
    </row>
    <row r="176" spans="23:27">
      <c r="W176" s="48">
        <f t="shared" si="8"/>
        <v>0</v>
      </c>
      <c r="X176" s="206">
        <f t="shared" si="9"/>
        <v>105.73929214477539</v>
      </c>
      <c r="Y176" s="206">
        <f t="shared" si="10"/>
        <v>0</v>
      </c>
      <c r="Z176" s="206">
        <f t="shared" si="11"/>
        <v>89.406955718994141</v>
      </c>
      <c r="AA176" s="48"/>
    </row>
    <row r="177" spans="23:27">
      <c r="W177" s="48">
        <f t="shared" si="8"/>
        <v>0</v>
      </c>
      <c r="X177" s="206">
        <f t="shared" si="9"/>
        <v>105.73929214477539</v>
      </c>
      <c r="Y177" s="206">
        <f t="shared" si="10"/>
        <v>0</v>
      </c>
      <c r="Z177" s="206">
        <f t="shared" si="11"/>
        <v>89.406955718994141</v>
      </c>
      <c r="AA177" s="48"/>
    </row>
    <row r="178" spans="23:27">
      <c r="W178" s="48">
        <f t="shared" si="8"/>
        <v>0</v>
      </c>
      <c r="X178" s="206">
        <f t="shared" si="9"/>
        <v>105.73929214477539</v>
      </c>
      <c r="Y178" s="206">
        <f t="shared" si="10"/>
        <v>0</v>
      </c>
      <c r="Z178" s="206">
        <f t="shared" si="11"/>
        <v>89.406955718994141</v>
      </c>
      <c r="AA178" s="48"/>
    </row>
    <row r="179" spans="23:27">
      <c r="W179" s="48">
        <f t="shared" si="8"/>
        <v>0</v>
      </c>
      <c r="X179" s="206">
        <f t="shared" si="9"/>
        <v>105.73929214477539</v>
      </c>
      <c r="Y179" s="206">
        <f t="shared" si="10"/>
        <v>0</v>
      </c>
      <c r="Z179" s="206">
        <f t="shared" si="11"/>
        <v>89.406955718994141</v>
      </c>
      <c r="AA179" s="48"/>
    </row>
    <row r="180" spans="23:27">
      <c r="W180" s="48">
        <f t="shared" si="8"/>
        <v>0</v>
      </c>
      <c r="X180" s="206">
        <f t="shared" si="9"/>
        <v>105.73929214477539</v>
      </c>
      <c r="Y180" s="206">
        <f t="shared" si="10"/>
        <v>0</v>
      </c>
      <c r="Z180" s="206">
        <f t="shared" si="11"/>
        <v>89.406955718994141</v>
      </c>
      <c r="AA180" s="48"/>
    </row>
    <row r="181" spans="23:27">
      <c r="W181" s="48">
        <f t="shared" si="8"/>
        <v>0</v>
      </c>
      <c r="X181" s="206">
        <f t="shared" si="9"/>
        <v>105.73929214477539</v>
      </c>
      <c r="Y181" s="206">
        <f t="shared" si="10"/>
        <v>0</v>
      </c>
      <c r="Z181" s="206">
        <f t="shared" si="11"/>
        <v>89.406955718994141</v>
      </c>
      <c r="AA181" s="48"/>
    </row>
    <row r="182" spans="23:27">
      <c r="W182" s="48">
        <f t="shared" si="8"/>
        <v>0</v>
      </c>
      <c r="X182" s="206">
        <f t="shared" si="9"/>
        <v>105.73929214477539</v>
      </c>
      <c r="Y182" s="206">
        <f t="shared" si="10"/>
        <v>0</v>
      </c>
      <c r="Z182" s="206">
        <f t="shared" si="11"/>
        <v>89.406955718994141</v>
      </c>
      <c r="AA182" s="48"/>
    </row>
    <row r="183" spans="23:27">
      <c r="W183" s="48">
        <f t="shared" si="8"/>
        <v>0</v>
      </c>
      <c r="X183" s="206">
        <f t="shared" si="9"/>
        <v>105.73929214477539</v>
      </c>
      <c r="Y183" s="206">
        <f t="shared" si="10"/>
        <v>0</v>
      </c>
      <c r="Z183" s="206">
        <f t="shared" si="11"/>
        <v>89.406955718994141</v>
      </c>
      <c r="AA183" s="48"/>
    </row>
    <row r="184" spans="23:27">
      <c r="W184" s="48">
        <f t="shared" si="8"/>
        <v>0</v>
      </c>
      <c r="X184" s="206">
        <f t="shared" si="9"/>
        <v>105.73929214477539</v>
      </c>
      <c r="Y184" s="206">
        <f t="shared" si="10"/>
        <v>0</v>
      </c>
      <c r="Z184" s="206">
        <f t="shared" si="11"/>
        <v>89.406955718994141</v>
      </c>
      <c r="AA184" s="48"/>
    </row>
    <row r="185" spans="23:27">
      <c r="W185" s="48">
        <f t="shared" si="8"/>
        <v>0</v>
      </c>
      <c r="X185" s="206">
        <f t="shared" si="9"/>
        <v>105.73929214477539</v>
      </c>
      <c r="Y185" s="206">
        <f t="shared" si="10"/>
        <v>0</v>
      </c>
      <c r="Z185" s="206">
        <f t="shared" si="11"/>
        <v>89.406955718994141</v>
      </c>
      <c r="AA185" s="48"/>
    </row>
    <row r="186" spans="23:27">
      <c r="W186" s="48">
        <f t="shared" si="8"/>
        <v>0</v>
      </c>
      <c r="X186" s="206">
        <f t="shared" si="9"/>
        <v>105.73929214477539</v>
      </c>
      <c r="Y186" s="206">
        <f t="shared" si="10"/>
        <v>0</v>
      </c>
      <c r="Z186" s="206">
        <f t="shared" si="11"/>
        <v>89.406955718994141</v>
      </c>
      <c r="AA186" s="48"/>
    </row>
    <row r="187" spans="23:27">
      <c r="W187" s="48">
        <f t="shared" si="8"/>
        <v>0</v>
      </c>
      <c r="X187" s="206">
        <f t="shared" si="9"/>
        <v>105.73929214477539</v>
      </c>
      <c r="Y187" s="206">
        <f t="shared" si="10"/>
        <v>0</v>
      </c>
      <c r="Z187" s="206">
        <f t="shared" si="11"/>
        <v>89.406955718994141</v>
      </c>
      <c r="AA187" s="48"/>
    </row>
    <row r="188" spans="23:27">
      <c r="W188" s="48">
        <f t="shared" si="8"/>
        <v>0</v>
      </c>
      <c r="X188" s="206">
        <f t="shared" si="9"/>
        <v>105.73929214477539</v>
      </c>
      <c r="Y188" s="206">
        <f t="shared" si="10"/>
        <v>0</v>
      </c>
      <c r="Z188" s="206">
        <f t="shared" si="11"/>
        <v>89.406955718994141</v>
      </c>
      <c r="AA188" s="48"/>
    </row>
    <row r="189" spans="23:27">
      <c r="W189" s="48">
        <f t="shared" si="8"/>
        <v>0</v>
      </c>
      <c r="X189" s="206">
        <f t="shared" si="9"/>
        <v>105.73929214477539</v>
      </c>
      <c r="Y189" s="206">
        <f t="shared" si="10"/>
        <v>0</v>
      </c>
      <c r="Z189" s="206">
        <f t="shared" si="11"/>
        <v>89.406955718994141</v>
      </c>
      <c r="AA189" s="48"/>
    </row>
    <row r="190" spans="23:27">
      <c r="W190" s="48">
        <f t="shared" si="8"/>
        <v>0</v>
      </c>
      <c r="X190" s="206">
        <f t="shared" si="9"/>
        <v>105.73929214477539</v>
      </c>
      <c r="Y190" s="206">
        <f t="shared" si="10"/>
        <v>0</v>
      </c>
      <c r="Z190" s="206">
        <f t="shared" si="11"/>
        <v>89.406955718994141</v>
      </c>
      <c r="AA190" s="48"/>
    </row>
    <row r="191" spans="23:27">
      <c r="W191" s="48">
        <f t="shared" si="8"/>
        <v>0</v>
      </c>
      <c r="X191" s="206">
        <f t="shared" si="9"/>
        <v>105.73929214477539</v>
      </c>
      <c r="Y191" s="206">
        <f t="shared" si="10"/>
        <v>0</v>
      </c>
      <c r="Z191" s="206">
        <f t="shared" si="11"/>
        <v>89.406955718994141</v>
      </c>
      <c r="AA191" s="48"/>
    </row>
    <row r="192" spans="23:27">
      <c r="W192" s="48">
        <f t="shared" si="8"/>
        <v>0</v>
      </c>
      <c r="X192" s="206">
        <f t="shared" si="9"/>
        <v>105.73929214477539</v>
      </c>
      <c r="Y192" s="206">
        <f t="shared" si="10"/>
        <v>0</v>
      </c>
      <c r="Z192" s="206">
        <f t="shared" si="11"/>
        <v>89.406955718994141</v>
      </c>
      <c r="AA192" s="48"/>
    </row>
    <row r="193" spans="23:27">
      <c r="W193" s="48">
        <f t="shared" si="8"/>
        <v>0</v>
      </c>
      <c r="X193" s="206">
        <f t="shared" si="9"/>
        <v>105.73929214477539</v>
      </c>
      <c r="Y193" s="206">
        <f t="shared" si="10"/>
        <v>0</v>
      </c>
      <c r="Z193" s="206">
        <f t="shared" si="11"/>
        <v>89.406955718994141</v>
      </c>
      <c r="AA193" s="48"/>
    </row>
    <row r="194" spans="23:27">
      <c r="W194" s="48">
        <f t="shared" si="8"/>
        <v>0</v>
      </c>
      <c r="X194" s="206">
        <f t="shared" si="9"/>
        <v>105.73929214477539</v>
      </c>
      <c r="Y194" s="206">
        <f t="shared" si="10"/>
        <v>0</v>
      </c>
      <c r="Z194" s="206">
        <f t="shared" si="11"/>
        <v>89.406955718994141</v>
      </c>
      <c r="AA194" s="48"/>
    </row>
    <row r="195" spans="23:27">
      <c r="W195" s="48">
        <f t="shared" si="8"/>
        <v>0</v>
      </c>
      <c r="X195" s="206">
        <f t="shared" si="9"/>
        <v>105.73929214477539</v>
      </c>
      <c r="Y195" s="206">
        <f t="shared" si="10"/>
        <v>0</v>
      </c>
      <c r="Z195" s="206">
        <f t="shared" si="11"/>
        <v>89.406955718994141</v>
      </c>
      <c r="AA195" s="48"/>
    </row>
    <row r="196" spans="23:27">
      <c r="W196" s="48">
        <f t="shared" si="8"/>
        <v>0</v>
      </c>
      <c r="X196" s="206">
        <f t="shared" si="9"/>
        <v>105.73929214477539</v>
      </c>
      <c r="Y196" s="206">
        <f t="shared" si="10"/>
        <v>0</v>
      </c>
      <c r="Z196" s="206">
        <f t="shared" si="11"/>
        <v>89.406955718994141</v>
      </c>
      <c r="AA196" s="48"/>
    </row>
    <row r="197" spans="23:27">
      <c r="W197" s="48">
        <f t="shared" si="8"/>
        <v>0</v>
      </c>
      <c r="X197" s="206">
        <f t="shared" si="9"/>
        <v>105.73929214477539</v>
      </c>
      <c r="Y197" s="206">
        <f t="shared" si="10"/>
        <v>0</v>
      </c>
      <c r="Z197" s="206">
        <f t="shared" si="11"/>
        <v>89.406955718994141</v>
      </c>
      <c r="AA197" s="48"/>
    </row>
    <row r="198" spans="23:27">
      <c r="W198" s="48">
        <f t="shared" si="8"/>
        <v>0</v>
      </c>
      <c r="X198" s="206">
        <f t="shared" si="9"/>
        <v>105.73929214477539</v>
      </c>
      <c r="Y198" s="206">
        <f t="shared" si="10"/>
        <v>0</v>
      </c>
      <c r="Z198" s="206">
        <f t="shared" si="11"/>
        <v>89.406955718994141</v>
      </c>
      <c r="AA198" s="48"/>
    </row>
    <row r="199" spans="23:27">
      <c r="W199" s="48">
        <f t="shared" si="8"/>
        <v>0</v>
      </c>
      <c r="X199" s="206">
        <f t="shared" si="9"/>
        <v>105.73929214477539</v>
      </c>
      <c r="Y199" s="206">
        <f t="shared" si="10"/>
        <v>0</v>
      </c>
      <c r="Z199" s="206">
        <f t="shared" si="11"/>
        <v>89.406955718994141</v>
      </c>
      <c r="AA199" s="48"/>
    </row>
    <row r="200" spans="23:27">
      <c r="W200" s="48">
        <f t="shared" si="8"/>
        <v>0</v>
      </c>
      <c r="X200" s="206">
        <f t="shared" si="9"/>
        <v>105.73929214477539</v>
      </c>
      <c r="Y200" s="206">
        <f t="shared" si="10"/>
        <v>0</v>
      </c>
      <c r="Z200" s="206">
        <f t="shared" si="11"/>
        <v>89.406955718994141</v>
      </c>
      <c r="AA200" s="48"/>
    </row>
    <row r="201" spans="23:27">
      <c r="W201" s="48">
        <f t="shared" si="8"/>
        <v>0</v>
      </c>
      <c r="X201" s="206">
        <f t="shared" si="9"/>
        <v>105.73929214477539</v>
      </c>
      <c r="Y201" s="206">
        <f t="shared" si="10"/>
        <v>0</v>
      </c>
      <c r="Z201" s="206">
        <f t="shared" si="11"/>
        <v>89.406955718994141</v>
      </c>
      <c r="AA201" s="48"/>
    </row>
    <row r="202" spans="23:27">
      <c r="W202" s="48">
        <f t="shared" si="8"/>
        <v>0</v>
      </c>
      <c r="X202" s="206">
        <f t="shared" si="9"/>
        <v>105.73929214477539</v>
      </c>
      <c r="Y202" s="206">
        <f t="shared" si="10"/>
        <v>0</v>
      </c>
      <c r="Z202" s="206">
        <f t="shared" si="11"/>
        <v>89.406955718994141</v>
      </c>
      <c r="AA202" s="48"/>
    </row>
    <row r="203" spans="23:27">
      <c r="W203" s="48">
        <f t="shared" si="8"/>
        <v>0</v>
      </c>
      <c r="X203" s="206">
        <f t="shared" si="9"/>
        <v>105.73929214477539</v>
      </c>
      <c r="Y203" s="206">
        <f t="shared" si="10"/>
        <v>0</v>
      </c>
      <c r="Z203" s="206">
        <f t="shared" si="11"/>
        <v>89.406955718994141</v>
      </c>
      <c r="AA203" s="48"/>
    </row>
    <row r="204" spans="23:27">
      <c r="W204" s="48">
        <f t="shared" si="8"/>
        <v>0</v>
      </c>
      <c r="X204" s="206">
        <f t="shared" si="9"/>
        <v>105.73929214477539</v>
      </c>
      <c r="Y204" s="206">
        <f t="shared" si="10"/>
        <v>0</v>
      </c>
      <c r="Z204" s="206">
        <f t="shared" si="11"/>
        <v>89.406955718994141</v>
      </c>
      <c r="AA204" s="48"/>
    </row>
    <row r="205" spans="23:27">
      <c r="W205" s="48">
        <f t="shared" si="8"/>
        <v>0</v>
      </c>
      <c r="X205" s="206">
        <f t="shared" si="9"/>
        <v>105.73929214477539</v>
      </c>
      <c r="Y205" s="206">
        <f t="shared" si="10"/>
        <v>0</v>
      </c>
      <c r="Z205" s="206">
        <f t="shared" si="11"/>
        <v>89.406955718994141</v>
      </c>
      <c r="AA205" s="48"/>
    </row>
    <row r="206" spans="23:27">
      <c r="W206" s="48">
        <f t="shared" ref="W206:W269" si="12">B206</f>
        <v>0</v>
      </c>
      <c r="X206" s="206">
        <f t="shared" ref="X206:X269" si="13">I$26</f>
        <v>105.73929214477539</v>
      </c>
      <c r="Y206" s="206">
        <f t="shared" ref="Y206:Y269" si="14">C206</f>
        <v>0</v>
      </c>
      <c r="Z206" s="206">
        <f t="shared" ref="Z206:Z269" si="15">I$23</f>
        <v>89.406955718994141</v>
      </c>
      <c r="AA206" s="48"/>
    </row>
    <row r="207" spans="23:27">
      <c r="W207" s="48">
        <f t="shared" si="12"/>
        <v>0</v>
      </c>
      <c r="X207" s="206">
        <f t="shared" si="13"/>
        <v>105.73929214477539</v>
      </c>
      <c r="Y207" s="206">
        <f t="shared" si="14"/>
        <v>0</v>
      </c>
      <c r="Z207" s="206">
        <f t="shared" si="15"/>
        <v>89.406955718994141</v>
      </c>
      <c r="AA207" s="48"/>
    </row>
    <row r="208" spans="23:27">
      <c r="W208" s="48">
        <f t="shared" si="12"/>
        <v>0</v>
      </c>
      <c r="X208" s="206">
        <f t="shared" si="13"/>
        <v>105.73929214477539</v>
      </c>
      <c r="Y208" s="206">
        <f t="shared" si="14"/>
        <v>0</v>
      </c>
      <c r="Z208" s="206">
        <f t="shared" si="15"/>
        <v>89.406955718994141</v>
      </c>
      <c r="AA208" s="48"/>
    </row>
    <row r="209" spans="23:27">
      <c r="W209" s="48">
        <f t="shared" si="12"/>
        <v>0</v>
      </c>
      <c r="X209" s="206">
        <f t="shared" si="13"/>
        <v>105.73929214477539</v>
      </c>
      <c r="Y209" s="206">
        <f t="shared" si="14"/>
        <v>0</v>
      </c>
      <c r="Z209" s="206">
        <f t="shared" si="15"/>
        <v>89.406955718994141</v>
      </c>
      <c r="AA209" s="48"/>
    </row>
    <row r="210" spans="23:27">
      <c r="W210" s="48">
        <f t="shared" si="12"/>
        <v>0</v>
      </c>
      <c r="X210" s="206">
        <f t="shared" si="13"/>
        <v>105.73929214477539</v>
      </c>
      <c r="Y210" s="206">
        <f t="shared" si="14"/>
        <v>0</v>
      </c>
      <c r="Z210" s="206">
        <f t="shared" si="15"/>
        <v>89.406955718994141</v>
      </c>
      <c r="AA210" s="48"/>
    </row>
    <row r="211" spans="23:27">
      <c r="W211" s="48">
        <f t="shared" si="12"/>
        <v>0</v>
      </c>
      <c r="X211" s="206">
        <f t="shared" si="13"/>
        <v>105.73929214477539</v>
      </c>
      <c r="Y211" s="206">
        <f t="shared" si="14"/>
        <v>0</v>
      </c>
      <c r="Z211" s="206">
        <f t="shared" si="15"/>
        <v>89.406955718994141</v>
      </c>
      <c r="AA211" s="48"/>
    </row>
    <row r="212" spans="23:27">
      <c r="W212" s="48">
        <f t="shared" si="12"/>
        <v>0</v>
      </c>
      <c r="X212" s="206">
        <f t="shared" si="13"/>
        <v>105.73929214477539</v>
      </c>
      <c r="Y212" s="206">
        <f t="shared" si="14"/>
        <v>0</v>
      </c>
      <c r="Z212" s="206">
        <f t="shared" si="15"/>
        <v>89.406955718994141</v>
      </c>
      <c r="AA212" s="48"/>
    </row>
    <row r="213" spans="23:27">
      <c r="W213" s="48">
        <f t="shared" si="12"/>
        <v>0</v>
      </c>
      <c r="X213" s="206">
        <f t="shared" si="13"/>
        <v>105.73929214477539</v>
      </c>
      <c r="Y213" s="206">
        <f t="shared" si="14"/>
        <v>0</v>
      </c>
      <c r="Z213" s="206">
        <f t="shared" si="15"/>
        <v>89.406955718994141</v>
      </c>
      <c r="AA213" s="48"/>
    </row>
    <row r="214" spans="23:27">
      <c r="W214" s="48">
        <f t="shared" si="12"/>
        <v>0</v>
      </c>
      <c r="X214" s="206">
        <f t="shared" si="13"/>
        <v>105.73929214477539</v>
      </c>
      <c r="Y214" s="206">
        <f t="shared" si="14"/>
        <v>0</v>
      </c>
      <c r="Z214" s="206">
        <f t="shared" si="15"/>
        <v>89.406955718994141</v>
      </c>
      <c r="AA214" s="48"/>
    </row>
    <row r="215" spans="23:27">
      <c r="W215" s="48">
        <f t="shared" si="12"/>
        <v>0</v>
      </c>
      <c r="X215" s="206">
        <f t="shared" si="13"/>
        <v>105.73929214477539</v>
      </c>
      <c r="Y215" s="206">
        <f t="shared" si="14"/>
        <v>0</v>
      </c>
      <c r="Z215" s="206">
        <f t="shared" si="15"/>
        <v>89.406955718994141</v>
      </c>
      <c r="AA215" s="48"/>
    </row>
    <row r="216" spans="23:27">
      <c r="W216" s="48">
        <f t="shared" si="12"/>
        <v>0</v>
      </c>
      <c r="X216" s="206">
        <f t="shared" si="13"/>
        <v>105.73929214477539</v>
      </c>
      <c r="Y216" s="206">
        <f t="shared" si="14"/>
        <v>0</v>
      </c>
      <c r="Z216" s="206">
        <f t="shared" si="15"/>
        <v>89.406955718994141</v>
      </c>
      <c r="AA216" s="48"/>
    </row>
    <row r="217" spans="23:27">
      <c r="W217" s="48">
        <f t="shared" si="12"/>
        <v>0</v>
      </c>
      <c r="X217" s="206">
        <f t="shared" si="13"/>
        <v>105.73929214477539</v>
      </c>
      <c r="Y217" s="206">
        <f t="shared" si="14"/>
        <v>0</v>
      </c>
      <c r="Z217" s="206">
        <f t="shared" si="15"/>
        <v>89.406955718994141</v>
      </c>
      <c r="AA217" s="48"/>
    </row>
    <row r="218" spans="23:27">
      <c r="W218" s="48">
        <f t="shared" si="12"/>
        <v>0</v>
      </c>
      <c r="X218" s="206">
        <f t="shared" si="13"/>
        <v>105.73929214477539</v>
      </c>
      <c r="Y218" s="206">
        <f t="shared" si="14"/>
        <v>0</v>
      </c>
      <c r="Z218" s="206">
        <f t="shared" si="15"/>
        <v>89.406955718994141</v>
      </c>
      <c r="AA218" s="48"/>
    </row>
    <row r="219" spans="23:27">
      <c r="W219" s="48">
        <f t="shared" si="12"/>
        <v>0</v>
      </c>
      <c r="X219" s="206">
        <f t="shared" si="13"/>
        <v>105.73929214477539</v>
      </c>
      <c r="Y219" s="206">
        <f t="shared" si="14"/>
        <v>0</v>
      </c>
      <c r="Z219" s="206">
        <f t="shared" si="15"/>
        <v>89.406955718994141</v>
      </c>
      <c r="AA219" s="48"/>
    </row>
    <row r="220" spans="23:27">
      <c r="W220" s="48">
        <f t="shared" si="12"/>
        <v>0</v>
      </c>
      <c r="X220" s="206">
        <f t="shared" si="13"/>
        <v>105.73929214477539</v>
      </c>
      <c r="Y220" s="206">
        <f t="shared" si="14"/>
        <v>0</v>
      </c>
      <c r="Z220" s="206">
        <f t="shared" si="15"/>
        <v>89.406955718994141</v>
      </c>
      <c r="AA220" s="48"/>
    </row>
    <row r="221" spans="23:27">
      <c r="W221" s="48">
        <f t="shared" si="12"/>
        <v>0</v>
      </c>
      <c r="X221" s="206">
        <f t="shared" si="13"/>
        <v>105.73929214477539</v>
      </c>
      <c r="Y221" s="206">
        <f t="shared" si="14"/>
        <v>0</v>
      </c>
      <c r="Z221" s="206">
        <f t="shared" si="15"/>
        <v>89.406955718994141</v>
      </c>
      <c r="AA221" s="48"/>
    </row>
    <row r="222" spans="23:27">
      <c r="W222" s="48">
        <f t="shared" si="12"/>
        <v>0</v>
      </c>
      <c r="X222" s="206">
        <f t="shared" si="13"/>
        <v>105.73929214477539</v>
      </c>
      <c r="Y222" s="206">
        <f t="shared" si="14"/>
        <v>0</v>
      </c>
      <c r="Z222" s="206">
        <f t="shared" si="15"/>
        <v>89.406955718994141</v>
      </c>
      <c r="AA222" s="48"/>
    </row>
    <row r="223" spans="23:27">
      <c r="W223" s="48">
        <f t="shared" si="12"/>
        <v>0</v>
      </c>
      <c r="X223" s="206">
        <f t="shared" si="13"/>
        <v>105.73929214477539</v>
      </c>
      <c r="Y223" s="206">
        <f t="shared" si="14"/>
        <v>0</v>
      </c>
      <c r="Z223" s="206">
        <f t="shared" si="15"/>
        <v>89.406955718994141</v>
      </c>
      <c r="AA223" s="48"/>
    </row>
    <row r="224" spans="23:27">
      <c r="W224" s="48">
        <f t="shared" si="12"/>
        <v>0</v>
      </c>
      <c r="X224" s="206">
        <f t="shared" si="13"/>
        <v>105.73929214477539</v>
      </c>
      <c r="Y224" s="206">
        <f t="shared" si="14"/>
        <v>0</v>
      </c>
      <c r="Z224" s="206">
        <f t="shared" si="15"/>
        <v>89.406955718994141</v>
      </c>
      <c r="AA224" s="48"/>
    </row>
    <row r="225" spans="23:27">
      <c r="W225" s="48">
        <f t="shared" si="12"/>
        <v>0</v>
      </c>
      <c r="X225" s="206">
        <f t="shared" si="13"/>
        <v>105.73929214477539</v>
      </c>
      <c r="Y225" s="206">
        <f t="shared" si="14"/>
        <v>0</v>
      </c>
      <c r="Z225" s="206">
        <f t="shared" si="15"/>
        <v>89.406955718994141</v>
      </c>
      <c r="AA225" s="48"/>
    </row>
    <row r="226" spans="23:27">
      <c r="W226" s="48">
        <f t="shared" si="12"/>
        <v>0</v>
      </c>
      <c r="X226" s="206">
        <f t="shared" si="13"/>
        <v>105.73929214477539</v>
      </c>
      <c r="Y226" s="206">
        <f t="shared" si="14"/>
        <v>0</v>
      </c>
      <c r="Z226" s="206">
        <f t="shared" si="15"/>
        <v>89.406955718994141</v>
      </c>
      <c r="AA226" s="48"/>
    </row>
    <row r="227" spans="23:27">
      <c r="W227" s="48">
        <f t="shared" si="12"/>
        <v>0</v>
      </c>
      <c r="X227" s="206">
        <f t="shared" si="13"/>
        <v>105.73929214477539</v>
      </c>
      <c r="Y227" s="206">
        <f t="shared" si="14"/>
        <v>0</v>
      </c>
      <c r="Z227" s="206">
        <f t="shared" si="15"/>
        <v>89.406955718994141</v>
      </c>
      <c r="AA227" s="48"/>
    </row>
    <row r="228" spans="23:27">
      <c r="W228" s="48">
        <f t="shared" si="12"/>
        <v>0</v>
      </c>
      <c r="X228" s="206">
        <f t="shared" si="13"/>
        <v>105.73929214477539</v>
      </c>
      <c r="Y228" s="206">
        <f t="shared" si="14"/>
        <v>0</v>
      </c>
      <c r="Z228" s="206">
        <f t="shared" si="15"/>
        <v>89.406955718994141</v>
      </c>
      <c r="AA228" s="48"/>
    </row>
    <row r="229" spans="23:27">
      <c r="W229" s="48">
        <f t="shared" si="12"/>
        <v>0</v>
      </c>
      <c r="X229" s="206">
        <f t="shared" si="13"/>
        <v>105.73929214477539</v>
      </c>
      <c r="Y229" s="206">
        <f t="shared" si="14"/>
        <v>0</v>
      </c>
      <c r="Z229" s="206">
        <f t="shared" si="15"/>
        <v>89.406955718994141</v>
      </c>
      <c r="AA229" s="48"/>
    </row>
    <row r="230" spans="23:27">
      <c r="W230" s="48">
        <f t="shared" si="12"/>
        <v>0</v>
      </c>
      <c r="X230" s="206">
        <f t="shared" si="13"/>
        <v>105.73929214477539</v>
      </c>
      <c r="Y230" s="206">
        <f t="shared" si="14"/>
        <v>0</v>
      </c>
      <c r="Z230" s="206">
        <f t="shared" si="15"/>
        <v>89.406955718994141</v>
      </c>
      <c r="AA230" s="48"/>
    </row>
    <row r="231" spans="23:27">
      <c r="W231" s="48">
        <f t="shared" si="12"/>
        <v>0</v>
      </c>
      <c r="X231" s="206">
        <f t="shared" si="13"/>
        <v>105.73929214477539</v>
      </c>
      <c r="Y231" s="206">
        <f t="shared" si="14"/>
        <v>0</v>
      </c>
      <c r="Z231" s="206">
        <f t="shared" si="15"/>
        <v>89.406955718994141</v>
      </c>
      <c r="AA231" s="48"/>
    </row>
    <row r="232" spans="23:27">
      <c r="W232" s="48">
        <f t="shared" si="12"/>
        <v>0</v>
      </c>
      <c r="X232" s="206">
        <f t="shared" si="13"/>
        <v>105.73929214477539</v>
      </c>
      <c r="Y232" s="206">
        <f t="shared" si="14"/>
        <v>0</v>
      </c>
      <c r="Z232" s="206">
        <f t="shared" si="15"/>
        <v>89.406955718994141</v>
      </c>
      <c r="AA232" s="48"/>
    </row>
    <row r="233" spans="23:27">
      <c r="W233" s="48">
        <f t="shared" si="12"/>
        <v>0</v>
      </c>
      <c r="X233" s="206">
        <f t="shared" si="13"/>
        <v>105.73929214477539</v>
      </c>
      <c r="Y233" s="206">
        <f t="shared" si="14"/>
        <v>0</v>
      </c>
      <c r="Z233" s="206">
        <f t="shared" si="15"/>
        <v>89.406955718994141</v>
      </c>
      <c r="AA233" s="48"/>
    </row>
    <row r="234" spans="23:27">
      <c r="W234" s="48">
        <f t="shared" si="12"/>
        <v>0</v>
      </c>
      <c r="X234" s="206">
        <f t="shared" si="13"/>
        <v>105.73929214477539</v>
      </c>
      <c r="Y234" s="206">
        <f t="shared" si="14"/>
        <v>0</v>
      </c>
      <c r="Z234" s="206">
        <f t="shared" si="15"/>
        <v>89.406955718994141</v>
      </c>
      <c r="AA234" s="48"/>
    </row>
    <row r="235" spans="23:27">
      <c r="W235" s="48">
        <f t="shared" si="12"/>
        <v>0</v>
      </c>
      <c r="X235" s="206">
        <f t="shared" si="13"/>
        <v>105.73929214477539</v>
      </c>
      <c r="Y235" s="206">
        <f t="shared" si="14"/>
        <v>0</v>
      </c>
      <c r="Z235" s="206">
        <f t="shared" si="15"/>
        <v>89.406955718994141</v>
      </c>
      <c r="AA235" s="48"/>
    </row>
    <row r="236" spans="23:27">
      <c r="W236" s="48">
        <f t="shared" si="12"/>
        <v>0</v>
      </c>
      <c r="X236" s="206">
        <f t="shared" si="13"/>
        <v>105.73929214477539</v>
      </c>
      <c r="Y236" s="206">
        <f t="shared" si="14"/>
        <v>0</v>
      </c>
      <c r="Z236" s="206">
        <f t="shared" si="15"/>
        <v>89.406955718994141</v>
      </c>
      <c r="AA236" s="48"/>
    </row>
    <row r="237" spans="23:27">
      <c r="W237" s="48">
        <f t="shared" si="12"/>
        <v>0</v>
      </c>
      <c r="X237" s="206">
        <f t="shared" si="13"/>
        <v>105.73929214477539</v>
      </c>
      <c r="Y237" s="206">
        <f t="shared" si="14"/>
        <v>0</v>
      </c>
      <c r="Z237" s="206">
        <f t="shared" si="15"/>
        <v>89.406955718994141</v>
      </c>
      <c r="AA237" s="48"/>
    </row>
    <row r="238" spans="23:27">
      <c r="W238" s="48">
        <f t="shared" si="12"/>
        <v>0</v>
      </c>
      <c r="X238" s="206">
        <f t="shared" si="13"/>
        <v>105.73929214477539</v>
      </c>
      <c r="Y238" s="206">
        <f t="shared" si="14"/>
        <v>0</v>
      </c>
      <c r="Z238" s="206">
        <f t="shared" si="15"/>
        <v>89.406955718994141</v>
      </c>
      <c r="AA238" s="48"/>
    </row>
    <row r="239" spans="23:27">
      <c r="W239" s="48">
        <f t="shared" si="12"/>
        <v>0</v>
      </c>
      <c r="X239" s="206">
        <f t="shared" si="13"/>
        <v>105.73929214477539</v>
      </c>
      <c r="Y239" s="206">
        <f t="shared" si="14"/>
        <v>0</v>
      </c>
      <c r="Z239" s="206">
        <f t="shared" si="15"/>
        <v>89.406955718994141</v>
      </c>
      <c r="AA239" s="48"/>
    </row>
    <row r="240" spans="23:27">
      <c r="W240" s="48">
        <f t="shared" si="12"/>
        <v>0</v>
      </c>
      <c r="X240" s="206">
        <f t="shared" si="13"/>
        <v>105.73929214477539</v>
      </c>
      <c r="Y240" s="206">
        <f t="shared" si="14"/>
        <v>0</v>
      </c>
      <c r="Z240" s="206">
        <f t="shared" si="15"/>
        <v>89.406955718994141</v>
      </c>
      <c r="AA240" s="48"/>
    </row>
    <row r="241" spans="23:27">
      <c r="W241" s="48">
        <f t="shared" si="12"/>
        <v>0</v>
      </c>
      <c r="X241" s="206">
        <f t="shared" si="13"/>
        <v>105.73929214477539</v>
      </c>
      <c r="Y241" s="206">
        <f t="shared" si="14"/>
        <v>0</v>
      </c>
      <c r="Z241" s="206">
        <f t="shared" si="15"/>
        <v>89.406955718994141</v>
      </c>
      <c r="AA241" s="48"/>
    </row>
    <row r="242" spans="23:27">
      <c r="W242" s="48">
        <f t="shared" si="12"/>
        <v>0</v>
      </c>
      <c r="X242" s="206">
        <f t="shared" si="13"/>
        <v>105.73929214477539</v>
      </c>
      <c r="Y242" s="206">
        <f t="shared" si="14"/>
        <v>0</v>
      </c>
      <c r="Z242" s="206">
        <f t="shared" si="15"/>
        <v>89.406955718994141</v>
      </c>
      <c r="AA242" s="48"/>
    </row>
    <row r="243" spans="23:27">
      <c r="W243" s="48">
        <f t="shared" si="12"/>
        <v>0</v>
      </c>
      <c r="X243" s="206">
        <f t="shared" si="13"/>
        <v>105.73929214477539</v>
      </c>
      <c r="Y243" s="206">
        <f t="shared" si="14"/>
        <v>0</v>
      </c>
      <c r="Z243" s="206">
        <f t="shared" si="15"/>
        <v>89.406955718994141</v>
      </c>
      <c r="AA243" s="48"/>
    </row>
    <row r="244" spans="23:27">
      <c r="W244" s="48">
        <f t="shared" si="12"/>
        <v>0</v>
      </c>
      <c r="X244" s="206">
        <f t="shared" si="13"/>
        <v>105.73929214477539</v>
      </c>
      <c r="Y244" s="206">
        <f t="shared" si="14"/>
        <v>0</v>
      </c>
      <c r="Z244" s="206">
        <f t="shared" si="15"/>
        <v>89.406955718994141</v>
      </c>
      <c r="AA244" s="48"/>
    </row>
    <row r="245" spans="23:27">
      <c r="W245" s="48">
        <f t="shared" si="12"/>
        <v>0</v>
      </c>
      <c r="X245" s="206">
        <f t="shared" si="13"/>
        <v>105.73929214477539</v>
      </c>
      <c r="Y245" s="206">
        <f t="shared" si="14"/>
        <v>0</v>
      </c>
      <c r="Z245" s="206">
        <f t="shared" si="15"/>
        <v>89.406955718994141</v>
      </c>
      <c r="AA245" s="48"/>
    </row>
    <row r="246" spans="23:27">
      <c r="W246" s="48">
        <f t="shared" si="12"/>
        <v>0</v>
      </c>
      <c r="X246" s="206">
        <f t="shared" si="13"/>
        <v>105.73929214477539</v>
      </c>
      <c r="Y246" s="206">
        <f t="shared" si="14"/>
        <v>0</v>
      </c>
      <c r="Z246" s="206">
        <f t="shared" si="15"/>
        <v>89.406955718994141</v>
      </c>
      <c r="AA246" s="48"/>
    </row>
    <row r="247" spans="23:27">
      <c r="W247" s="48">
        <f t="shared" si="12"/>
        <v>0</v>
      </c>
      <c r="X247" s="206">
        <f t="shared" si="13"/>
        <v>105.73929214477539</v>
      </c>
      <c r="Y247" s="206">
        <f t="shared" si="14"/>
        <v>0</v>
      </c>
      <c r="Z247" s="206">
        <f t="shared" si="15"/>
        <v>89.406955718994141</v>
      </c>
      <c r="AA247" s="48"/>
    </row>
    <row r="248" spans="23:27">
      <c r="W248" s="48">
        <f t="shared" si="12"/>
        <v>0</v>
      </c>
      <c r="X248" s="206">
        <f t="shared" si="13"/>
        <v>105.73929214477539</v>
      </c>
      <c r="Y248" s="206">
        <f t="shared" si="14"/>
        <v>0</v>
      </c>
      <c r="Z248" s="206">
        <f t="shared" si="15"/>
        <v>89.406955718994141</v>
      </c>
      <c r="AA248" s="48"/>
    </row>
    <row r="249" spans="23:27">
      <c r="W249" s="48">
        <f t="shared" si="12"/>
        <v>0</v>
      </c>
      <c r="X249" s="206">
        <f t="shared" si="13"/>
        <v>105.73929214477539</v>
      </c>
      <c r="Y249" s="206">
        <f t="shared" si="14"/>
        <v>0</v>
      </c>
      <c r="Z249" s="206">
        <f t="shared" si="15"/>
        <v>89.406955718994141</v>
      </c>
      <c r="AA249" s="48"/>
    </row>
    <row r="250" spans="23:27">
      <c r="W250" s="48">
        <f t="shared" si="12"/>
        <v>0</v>
      </c>
      <c r="X250" s="206">
        <f t="shared" si="13"/>
        <v>105.73929214477539</v>
      </c>
      <c r="Y250" s="206">
        <f t="shared" si="14"/>
        <v>0</v>
      </c>
      <c r="Z250" s="206">
        <f t="shared" si="15"/>
        <v>89.406955718994141</v>
      </c>
      <c r="AA250" s="48"/>
    </row>
    <row r="251" spans="23:27">
      <c r="W251" s="48">
        <f t="shared" si="12"/>
        <v>0</v>
      </c>
      <c r="X251" s="206">
        <f t="shared" si="13"/>
        <v>105.73929214477539</v>
      </c>
      <c r="Y251" s="206">
        <f t="shared" si="14"/>
        <v>0</v>
      </c>
      <c r="Z251" s="206">
        <f t="shared" si="15"/>
        <v>89.406955718994141</v>
      </c>
      <c r="AA251" s="48"/>
    </row>
    <row r="252" spans="23:27">
      <c r="W252" s="48">
        <f t="shared" si="12"/>
        <v>0</v>
      </c>
      <c r="X252" s="206">
        <f t="shared" si="13"/>
        <v>105.73929214477539</v>
      </c>
      <c r="Y252" s="206">
        <f t="shared" si="14"/>
        <v>0</v>
      </c>
      <c r="Z252" s="206">
        <f t="shared" si="15"/>
        <v>89.406955718994141</v>
      </c>
      <c r="AA252" s="48"/>
    </row>
    <row r="253" spans="23:27">
      <c r="W253" s="48">
        <f t="shared" si="12"/>
        <v>0</v>
      </c>
      <c r="X253" s="206">
        <f t="shared" si="13"/>
        <v>105.73929214477539</v>
      </c>
      <c r="Y253" s="206">
        <f t="shared" si="14"/>
        <v>0</v>
      </c>
      <c r="Z253" s="206">
        <f t="shared" si="15"/>
        <v>89.406955718994141</v>
      </c>
      <c r="AA253" s="48"/>
    </row>
    <row r="254" spans="23:27">
      <c r="W254" s="48">
        <f t="shared" si="12"/>
        <v>0</v>
      </c>
      <c r="X254" s="206">
        <f t="shared" si="13"/>
        <v>105.73929214477539</v>
      </c>
      <c r="Y254" s="206">
        <f t="shared" si="14"/>
        <v>0</v>
      </c>
      <c r="Z254" s="206">
        <f t="shared" si="15"/>
        <v>89.406955718994141</v>
      </c>
      <c r="AA254" s="48"/>
    </row>
    <row r="255" spans="23:27">
      <c r="W255" s="48">
        <f t="shared" si="12"/>
        <v>0</v>
      </c>
      <c r="X255" s="206">
        <f t="shared" si="13"/>
        <v>105.73929214477539</v>
      </c>
      <c r="Y255" s="206">
        <f t="shared" si="14"/>
        <v>0</v>
      </c>
      <c r="Z255" s="206">
        <f t="shared" si="15"/>
        <v>89.406955718994141</v>
      </c>
      <c r="AA255" s="48"/>
    </row>
    <row r="256" spans="23:27">
      <c r="W256" s="48">
        <f t="shared" si="12"/>
        <v>0</v>
      </c>
      <c r="X256" s="206">
        <f t="shared" si="13"/>
        <v>105.73929214477539</v>
      </c>
      <c r="Y256" s="206">
        <f t="shared" si="14"/>
        <v>0</v>
      </c>
      <c r="Z256" s="206">
        <f t="shared" si="15"/>
        <v>89.406955718994141</v>
      </c>
      <c r="AA256" s="48"/>
    </row>
    <row r="257" spans="23:27">
      <c r="W257" s="48">
        <f t="shared" si="12"/>
        <v>0</v>
      </c>
      <c r="X257" s="206">
        <f t="shared" si="13"/>
        <v>105.73929214477539</v>
      </c>
      <c r="Y257" s="206">
        <f t="shared" si="14"/>
        <v>0</v>
      </c>
      <c r="Z257" s="206">
        <f t="shared" si="15"/>
        <v>89.406955718994141</v>
      </c>
      <c r="AA257" s="48"/>
    </row>
    <row r="258" spans="23:27">
      <c r="W258" s="48">
        <f t="shared" si="12"/>
        <v>0</v>
      </c>
      <c r="X258" s="206">
        <f t="shared" si="13"/>
        <v>105.73929214477539</v>
      </c>
      <c r="Y258" s="206">
        <f t="shared" si="14"/>
        <v>0</v>
      </c>
      <c r="Z258" s="206">
        <f t="shared" si="15"/>
        <v>89.406955718994141</v>
      </c>
      <c r="AA258" s="48"/>
    </row>
    <row r="259" spans="23:27">
      <c r="W259" s="48">
        <f t="shared" si="12"/>
        <v>0</v>
      </c>
      <c r="X259" s="206">
        <f t="shared" si="13"/>
        <v>105.73929214477539</v>
      </c>
      <c r="Y259" s="206">
        <f t="shared" si="14"/>
        <v>0</v>
      </c>
      <c r="Z259" s="206">
        <f t="shared" si="15"/>
        <v>89.406955718994141</v>
      </c>
      <c r="AA259" s="48"/>
    </row>
    <row r="260" spans="23:27">
      <c r="W260" s="48">
        <f t="shared" si="12"/>
        <v>0</v>
      </c>
      <c r="X260" s="206">
        <f t="shared" si="13"/>
        <v>105.73929214477539</v>
      </c>
      <c r="Y260" s="206">
        <f t="shared" si="14"/>
        <v>0</v>
      </c>
      <c r="Z260" s="206">
        <f t="shared" si="15"/>
        <v>89.406955718994141</v>
      </c>
      <c r="AA260" s="48"/>
    </row>
    <row r="261" spans="23:27">
      <c r="W261" s="48">
        <f t="shared" si="12"/>
        <v>0</v>
      </c>
      <c r="X261" s="206">
        <f t="shared" si="13"/>
        <v>105.73929214477539</v>
      </c>
      <c r="Y261" s="206">
        <f t="shared" si="14"/>
        <v>0</v>
      </c>
      <c r="Z261" s="206">
        <f t="shared" si="15"/>
        <v>89.406955718994141</v>
      </c>
      <c r="AA261" s="48"/>
    </row>
    <row r="262" spans="23:27">
      <c r="W262" s="48">
        <f t="shared" si="12"/>
        <v>0</v>
      </c>
      <c r="X262" s="206">
        <f t="shared" si="13"/>
        <v>105.73929214477539</v>
      </c>
      <c r="Y262" s="206">
        <f t="shared" si="14"/>
        <v>0</v>
      </c>
      <c r="Z262" s="206">
        <f t="shared" si="15"/>
        <v>89.406955718994141</v>
      </c>
      <c r="AA262" s="48"/>
    </row>
    <row r="263" spans="23:27">
      <c r="W263" s="48">
        <f t="shared" si="12"/>
        <v>0</v>
      </c>
      <c r="X263" s="206">
        <f t="shared" si="13"/>
        <v>105.73929214477539</v>
      </c>
      <c r="Y263" s="206">
        <f t="shared" si="14"/>
        <v>0</v>
      </c>
      <c r="Z263" s="206">
        <f t="shared" si="15"/>
        <v>89.406955718994141</v>
      </c>
      <c r="AA263" s="48"/>
    </row>
    <row r="264" spans="23:27">
      <c r="W264" s="48">
        <f t="shared" si="12"/>
        <v>0</v>
      </c>
      <c r="X264" s="206">
        <f t="shared" si="13"/>
        <v>105.73929214477539</v>
      </c>
      <c r="Y264" s="206">
        <f t="shared" si="14"/>
        <v>0</v>
      </c>
      <c r="Z264" s="206">
        <f t="shared" si="15"/>
        <v>89.406955718994141</v>
      </c>
      <c r="AA264" s="48"/>
    </row>
    <row r="265" spans="23:27">
      <c r="W265" s="48">
        <f t="shared" si="12"/>
        <v>0</v>
      </c>
      <c r="X265" s="206">
        <f t="shared" si="13"/>
        <v>105.73929214477539</v>
      </c>
      <c r="Y265" s="206">
        <f t="shared" si="14"/>
        <v>0</v>
      </c>
      <c r="Z265" s="206">
        <f t="shared" si="15"/>
        <v>89.406955718994141</v>
      </c>
      <c r="AA265" s="48"/>
    </row>
    <row r="266" spans="23:27">
      <c r="W266" s="48">
        <f t="shared" si="12"/>
        <v>0</v>
      </c>
      <c r="X266" s="206">
        <f t="shared" si="13"/>
        <v>105.73929214477539</v>
      </c>
      <c r="Y266" s="206">
        <f t="shared" si="14"/>
        <v>0</v>
      </c>
      <c r="Z266" s="206">
        <f t="shared" si="15"/>
        <v>89.406955718994141</v>
      </c>
      <c r="AA266" s="48"/>
    </row>
    <row r="267" spans="23:27">
      <c r="W267" s="48">
        <f t="shared" si="12"/>
        <v>0</v>
      </c>
      <c r="X267" s="206">
        <f t="shared" si="13"/>
        <v>105.73929214477539</v>
      </c>
      <c r="Y267" s="206">
        <f t="shared" si="14"/>
        <v>0</v>
      </c>
      <c r="Z267" s="206">
        <f t="shared" si="15"/>
        <v>89.406955718994141</v>
      </c>
      <c r="AA267" s="48"/>
    </row>
    <row r="268" spans="23:27">
      <c r="W268" s="48">
        <f t="shared" si="12"/>
        <v>0</v>
      </c>
      <c r="X268" s="206">
        <f t="shared" si="13"/>
        <v>105.73929214477539</v>
      </c>
      <c r="Y268" s="206">
        <f t="shared" si="14"/>
        <v>0</v>
      </c>
      <c r="Z268" s="206">
        <f t="shared" si="15"/>
        <v>89.406955718994141</v>
      </c>
      <c r="AA268" s="48"/>
    </row>
    <row r="269" spans="23:27">
      <c r="W269" s="48">
        <f t="shared" si="12"/>
        <v>0</v>
      </c>
      <c r="X269" s="206">
        <f t="shared" si="13"/>
        <v>105.73929214477539</v>
      </c>
      <c r="Y269" s="206">
        <f t="shared" si="14"/>
        <v>0</v>
      </c>
      <c r="Z269" s="206">
        <f t="shared" si="15"/>
        <v>89.406955718994141</v>
      </c>
      <c r="AA269" s="48"/>
    </row>
    <row r="270" spans="23:27">
      <c r="W270" s="48">
        <f t="shared" ref="W270:W333" si="16">B270</f>
        <v>0</v>
      </c>
      <c r="X270" s="206">
        <f t="shared" ref="X270:X333" si="17">I$26</f>
        <v>105.73929214477539</v>
      </c>
      <c r="Y270" s="206">
        <f t="shared" ref="Y270:Y333" si="18">C270</f>
        <v>0</v>
      </c>
      <c r="Z270" s="206">
        <f t="shared" ref="Z270:Z333" si="19">I$23</f>
        <v>89.406955718994141</v>
      </c>
      <c r="AA270" s="48"/>
    </row>
    <row r="271" spans="23:27">
      <c r="W271" s="48">
        <f t="shared" si="16"/>
        <v>0</v>
      </c>
      <c r="X271" s="206">
        <f t="shared" si="17"/>
        <v>105.73929214477539</v>
      </c>
      <c r="Y271" s="206">
        <f t="shared" si="18"/>
        <v>0</v>
      </c>
      <c r="Z271" s="206">
        <f t="shared" si="19"/>
        <v>89.406955718994141</v>
      </c>
      <c r="AA271" s="48"/>
    </row>
    <row r="272" spans="23:27">
      <c r="W272" s="48">
        <f t="shared" si="16"/>
        <v>0</v>
      </c>
      <c r="X272" s="206">
        <f t="shared" si="17"/>
        <v>105.73929214477539</v>
      </c>
      <c r="Y272" s="206">
        <f t="shared" si="18"/>
        <v>0</v>
      </c>
      <c r="Z272" s="206">
        <f t="shared" si="19"/>
        <v>89.406955718994141</v>
      </c>
      <c r="AA272" s="48"/>
    </row>
    <row r="273" spans="23:27">
      <c r="W273" s="48">
        <f t="shared" si="16"/>
        <v>0</v>
      </c>
      <c r="X273" s="206">
        <f t="shared" si="17"/>
        <v>105.73929214477539</v>
      </c>
      <c r="Y273" s="206">
        <f t="shared" si="18"/>
        <v>0</v>
      </c>
      <c r="Z273" s="206">
        <f t="shared" si="19"/>
        <v>89.406955718994141</v>
      </c>
      <c r="AA273" s="48"/>
    </row>
    <row r="274" spans="23:27">
      <c r="W274" s="48">
        <f t="shared" si="16"/>
        <v>0</v>
      </c>
      <c r="X274" s="206">
        <f t="shared" si="17"/>
        <v>105.73929214477539</v>
      </c>
      <c r="Y274" s="206">
        <f t="shared" si="18"/>
        <v>0</v>
      </c>
      <c r="Z274" s="206">
        <f t="shared" si="19"/>
        <v>89.406955718994141</v>
      </c>
      <c r="AA274" s="48"/>
    </row>
    <row r="275" spans="23:27">
      <c r="W275" s="48">
        <f t="shared" si="16"/>
        <v>0</v>
      </c>
      <c r="X275" s="206">
        <f t="shared" si="17"/>
        <v>105.73929214477539</v>
      </c>
      <c r="Y275" s="206">
        <f t="shared" si="18"/>
        <v>0</v>
      </c>
      <c r="Z275" s="206">
        <f t="shared" si="19"/>
        <v>89.406955718994141</v>
      </c>
      <c r="AA275" s="48"/>
    </row>
    <row r="276" spans="23:27">
      <c r="W276" s="48">
        <f t="shared" si="16"/>
        <v>0</v>
      </c>
      <c r="X276" s="206">
        <f t="shared" si="17"/>
        <v>105.73929214477539</v>
      </c>
      <c r="Y276" s="206">
        <f t="shared" si="18"/>
        <v>0</v>
      </c>
      <c r="Z276" s="206">
        <f t="shared" si="19"/>
        <v>89.406955718994141</v>
      </c>
      <c r="AA276" s="48"/>
    </row>
    <row r="277" spans="23:27">
      <c r="W277" s="48">
        <f t="shared" si="16"/>
        <v>0</v>
      </c>
      <c r="X277" s="206">
        <f t="shared" si="17"/>
        <v>105.73929214477539</v>
      </c>
      <c r="Y277" s="206">
        <f t="shared" si="18"/>
        <v>0</v>
      </c>
      <c r="Z277" s="206">
        <f t="shared" si="19"/>
        <v>89.406955718994141</v>
      </c>
      <c r="AA277" s="48"/>
    </row>
    <row r="278" spans="23:27">
      <c r="W278" s="48">
        <f t="shared" si="16"/>
        <v>0</v>
      </c>
      <c r="X278" s="206">
        <f t="shared" si="17"/>
        <v>105.73929214477539</v>
      </c>
      <c r="Y278" s="206">
        <f t="shared" si="18"/>
        <v>0</v>
      </c>
      <c r="Z278" s="206">
        <f t="shared" si="19"/>
        <v>89.406955718994141</v>
      </c>
      <c r="AA278" s="48"/>
    </row>
    <row r="279" spans="23:27">
      <c r="W279" s="48">
        <f t="shared" si="16"/>
        <v>0</v>
      </c>
      <c r="X279" s="206">
        <f t="shared" si="17"/>
        <v>105.73929214477539</v>
      </c>
      <c r="Y279" s="206">
        <f t="shared" si="18"/>
        <v>0</v>
      </c>
      <c r="Z279" s="206">
        <f t="shared" si="19"/>
        <v>89.406955718994141</v>
      </c>
      <c r="AA279" s="48"/>
    </row>
    <row r="280" spans="23:27">
      <c r="W280" s="48">
        <f t="shared" si="16"/>
        <v>0</v>
      </c>
      <c r="X280" s="206">
        <f t="shared" si="17"/>
        <v>105.73929214477539</v>
      </c>
      <c r="Y280" s="206">
        <f t="shared" si="18"/>
        <v>0</v>
      </c>
      <c r="Z280" s="206">
        <f t="shared" si="19"/>
        <v>89.406955718994141</v>
      </c>
      <c r="AA280" s="48"/>
    </row>
    <row r="281" spans="23:27">
      <c r="W281" s="48">
        <f t="shared" si="16"/>
        <v>0</v>
      </c>
      <c r="X281" s="206">
        <f t="shared" si="17"/>
        <v>105.73929214477539</v>
      </c>
      <c r="Y281" s="206">
        <f t="shared" si="18"/>
        <v>0</v>
      </c>
      <c r="Z281" s="206">
        <f t="shared" si="19"/>
        <v>89.406955718994141</v>
      </c>
      <c r="AA281" s="48"/>
    </row>
    <row r="282" spans="23:27">
      <c r="W282" s="48">
        <f t="shared" si="16"/>
        <v>0</v>
      </c>
      <c r="X282" s="206">
        <f t="shared" si="17"/>
        <v>105.73929214477539</v>
      </c>
      <c r="Y282" s="206">
        <f t="shared" si="18"/>
        <v>0</v>
      </c>
      <c r="Z282" s="206">
        <f t="shared" si="19"/>
        <v>89.406955718994141</v>
      </c>
      <c r="AA282" s="48"/>
    </row>
    <row r="283" spans="23:27">
      <c r="W283" s="48">
        <f t="shared" si="16"/>
        <v>0</v>
      </c>
      <c r="X283" s="206">
        <f t="shared" si="17"/>
        <v>105.73929214477539</v>
      </c>
      <c r="Y283" s="206">
        <f t="shared" si="18"/>
        <v>0</v>
      </c>
      <c r="Z283" s="206">
        <f t="shared" si="19"/>
        <v>89.406955718994141</v>
      </c>
      <c r="AA283" s="48"/>
    </row>
    <row r="284" spans="23:27">
      <c r="W284" s="48">
        <f t="shared" si="16"/>
        <v>0</v>
      </c>
      <c r="X284" s="206">
        <f t="shared" si="17"/>
        <v>105.73929214477539</v>
      </c>
      <c r="Y284" s="206">
        <f t="shared" si="18"/>
        <v>0</v>
      </c>
      <c r="Z284" s="206">
        <f t="shared" si="19"/>
        <v>89.406955718994141</v>
      </c>
      <c r="AA284" s="48"/>
    </row>
    <row r="285" spans="23:27">
      <c r="W285" s="48">
        <f t="shared" si="16"/>
        <v>0</v>
      </c>
      <c r="X285" s="206">
        <f t="shared" si="17"/>
        <v>105.73929214477539</v>
      </c>
      <c r="Y285" s="206">
        <f t="shared" si="18"/>
        <v>0</v>
      </c>
      <c r="Z285" s="206">
        <f t="shared" si="19"/>
        <v>89.406955718994141</v>
      </c>
      <c r="AA285" s="48"/>
    </row>
    <row r="286" spans="23:27">
      <c r="W286" s="48">
        <f t="shared" si="16"/>
        <v>0</v>
      </c>
      <c r="X286" s="206">
        <f t="shared" si="17"/>
        <v>105.73929214477539</v>
      </c>
      <c r="Y286" s="206">
        <f t="shared" si="18"/>
        <v>0</v>
      </c>
      <c r="Z286" s="206">
        <f t="shared" si="19"/>
        <v>89.406955718994141</v>
      </c>
      <c r="AA286" s="48"/>
    </row>
    <row r="287" spans="23:27">
      <c r="W287" s="48">
        <f t="shared" si="16"/>
        <v>0</v>
      </c>
      <c r="X287" s="206">
        <f t="shared" si="17"/>
        <v>105.73929214477539</v>
      </c>
      <c r="Y287" s="206">
        <f t="shared" si="18"/>
        <v>0</v>
      </c>
      <c r="Z287" s="206">
        <f t="shared" si="19"/>
        <v>89.406955718994141</v>
      </c>
      <c r="AA287" s="48"/>
    </row>
    <row r="288" spans="23:27">
      <c r="W288" s="48">
        <f t="shared" si="16"/>
        <v>0</v>
      </c>
      <c r="X288" s="206">
        <f t="shared" si="17"/>
        <v>105.73929214477539</v>
      </c>
      <c r="Y288" s="206">
        <f t="shared" si="18"/>
        <v>0</v>
      </c>
      <c r="Z288" s="206">
        <f t="shared" si="19"/>
        <v>89.406955718994141</v>
      </c>
      <c r="AA288" s="48"/>
    </row>
    <row r="289" spans="23:27">
      <c r="W289" s="48">
        <f t="shared" si="16"/>
        <v>0</v>
      </c>
      <c r="X289" s="206">
        <f t="shared" si="17"/>
        <v>105.73929214477539</v>
      </c>
      <c r="Y289" s="206">
        <f t="shared" si="18"/>
        <v>0</v>
      </c>
      <c r="Z289" s="206">
        <f t="shared" si="19"/>
        <v>89.406955718994141</v>
      </c>
      <c r="AA289" s="48"/>
    </row>
    <row r="290" spans="23:27">
      <c r="W290" s="48">
        <f t="shared" si="16"/>
        <v>0</v>
      </c>
      <c r="X290" s="206">
        <f t="shared" si="17"/>
        <v>105.73929214477539</v>
      </c>
      <c r="Y290" s="206">
        <f t="shared" si="18"/>
        <v>0</v>
      </c>
      <c r="Z290" s="206">
        <f t="shared" si="19"/>
        <v>89.406955718994141</v>
      </c>
      <c r="AA290" s="48"/>
    </row>
    <row r="291" spans="23:27">
      <c r="W291" s="48">
        <f t="shared" si="16"/>
        <v>0</v>
      </c>
      <c r="X291" s="206">
        <f t="shared" si="17"/>
        <v>105.73929214477539</v>
      </c>
      <c r="Y291" s="206">
        <f t="shared" si="18"/>
        <v>0</v>
      </c>
      <c r="Z291" s="206">
        <f t="shared" si="19"/>
        <v>89.406955718994141</v>
      </c>
      <c r="AA291" s="48"/>
    </row>
    <row r="292" spans="23:27">
      <c r="W292" s="48">
        <f t="shared" si="16"/>
        <v>0</v>
      </c>
      <c r="X292" s="206">
        <f t="shared" si="17"/>
        <v>105.73929214477539</v>
      </c>
      <c r="Y292" s="206">
        <f t="shared" si="18"/>
        <v>0</v>
      </c>
      <c r="Z292" s="206">
        <f t="shared" si="19"/>
        <v>89.406955718994141</v>
      </c>
      <c r="AA292" s="48"/>
    </row>
    <row r="293" spans="23:27">
      <c r="W293" s="48">
        <f t="shared" si="16"/>
        <v>0</v>
      </c>
      <c r="X293" s="206">
        <f t="shared" si="17"/>
        <v>105.73929214477539</v>
      </c>
      <c r="Y293" s="206">
        <f t="shared" si="18"/>
        <v>0</v>
      </c>
      <c r="Z293" s="206">
        <f t="shared" si="19"/>
        <v>89.406955718994141</v>
      </c>
      <c r="AA293" s="48"/>
    </row>
    <row r="294" spans="23:27">
      <c r="W294" s="48">
        <f t="shared" si="16"/>
        <v>0</v>
      </c>
      <c r="X294" s="206">
        <f t="shared" si="17"/>
        <v>105.73929214477539</v>
      </c>
      <c r="Y294" s="206">
        <f t="shared" si="18"/>
        <v>0</v>
      </c>
      <c r="Z294" s="206">
        <f t="shared" si="19"/>
        <v>89.406955718994141</v>
      </c>
      <c r="AA294" s="48"/>
    </row>
    <row r="295" spans="23:27">
      <c r="W295" s="48">
        <f t="shared" si="16"/>
        <v>0</v>
      </c>
      <c r="X295" s="206">
        <f t="shared" si="17"/>
        <v>105.73929214477539</v>
      </c>
      <c r="Y295" s="206">
        <f t="shared" si="18"/>
        <v>0</v>
      </c>
      <c r="Z295" s="206">
        <f t="shared" si="19"/>
        <v>89.406955718994141</v>
      </c>
      <c r="AA295" s="48"/>
    </row>
    <row r="296" spans="23:27">
      <c r="W296" s="48">
        <f t="shared" si="16"/>
        <v>0</v>
      </c>
      <c r="X296" s="206">
        <f t="shared" si="17"/>
        <v>105.73929214477539</v>
      </c>
      <c r="Y296" s="206">
        <f t="shared" si="18"/>
        <v>0</v>
      </c>
      <c r="Z296" s="206">
        <f t="shared" si="19"/>
        <v>89.406955718994141</v>
      </c>
      <c r="AA296" s="48"/>
    </row>
    <row r="297" spans="23:27">
      <c r="W297" s="48">
        <f t="shared" si="16"/>
        <v>0</v>
      </c>
      <c r="X297" s="206">
        <f t="shared" si="17"/>
        <v>105.73929214477539</v>
      </c>
      <c r="Y297" s="206">
        <f t="shared" si="18"/>
        <v>0</v>
      </c>
      <c r="Z297" s="206">
        <f t="shared" si="19"/>
        <v>89.406955718994141</v>
      </c>
      <c r="AA297" s="48"/>
    </row>
    <row r="298" spans="23:27">
      <c r="W298" s="48">
        <f t="shared" si="16"/>
        <v>0</v>
      </c>
      <c r="X298" s="206">
        <f t="shared" si="17"/>
        <v>105.73929214477539</v>
      </c>
      <c r="Y298" s="206">
        <f t="shared" si="18"/>
        <v>0</v>
      </c>
      <c r="Z298" s="206">
        <f t="shared" si="19"/>
        <v>89.406955718994141</v>
      </c>
      <c r="AA298" s="48"/>
    </row>
    <row r="299" spans="23:27">
      <c r="W299" s="48">
        <f t="shared" si="16"/>
        <v>0</v>
      </c>
      <c r="X299" s="206">
        <f t="shared" si="17"/>
        <v>105.73929214477539</v>
      </c>
      <c r="Y299" s="206">
        <f t="shared" si="18"/>
        <v>0</v>
      </c>
      <c r="Z299" s="206">
        <f t="shared" si="19"/>
        <v>89.406955718994141</v>
      </c>
      <c r="AA299" s="48"/>
    </row>
    <row r="300" spans="23:27">
      <c r="W300" s="48">
        <f t="shared" si="16"/>
        <v>0</v>
      </c>
      <c r="X300" s="206">
        <f t="shared" si="17"/>
        <v>105.73929214477539</v>
      </c>
      <c r="Y300" s="206">
        <f t="shared" si="18"/>
        <v>0</v>
      </c>
      <c r="Z300" s="206">
        <f t="shared" si="19"/>
        <v>89.406955718994141</v>
      </c>
      <c r="AA300" s="48"/>
    </row>
    <row r="301" spans="23:27">
      <c r="W301" s="48">
        <f t="shared" si="16"/>
        <v>0</v>
      </c>
      <c r="X301" s="206">
        <f t="shared" si="17"/>
        <v>105.73929214477539</v>
      </c>
      <c r="Y301" s="206">
        <f t="shared" si="18"/>
        <v>0</v>
      </c>
      <c r="Z301" s="206">
        <f t="shared" si="19"/>
        <v>89.406955718994141</v>
      </c>
      <c r="AA301" s="48"/>
    </row>
    <row r="302" spans="23:27">
      <c r="W302" s="48">
        <f t="shared" si="16"/>
        <v>0</v>
      </c>
      <c r="X302" s="206">
        <f t="shared" si="17"/>
        <v>105.73929214477539</v>
      </c>
      <c r="Y302" s="206">
        <f t="shared" si="18"/>
        <v>0</v>
      </c>
      <c r="Z302" s="206">
        <f t="shared" si="19"/>
        <v>89.406955718994141</v>
      </c>
      <c r="AA302" s="48"/>
    </row>
    <row r="303" spans="23:27">
      <c r="W303" s="48">
        <f t="shared" si="16"/>
        <v>0</v>
      </c>
      <c r="X303" s="206">
        <f t="shared" si="17"/>
        <v>105.73929214477539</v>
      </c>
      <c r="Y303" s="206">
        <f t="shared" si="18"/>
        <v>0</v>
      </c>
      <c r="Z303" s="206">
        <f t="shared" si="19"/>
        <v>89.406955718994141</v>
      </c>
      <c r="AA303" s="48"/>
    </row>
    <row r="304" spans="23:27">
      <c r="W304" s="48">
        <f t="shared" si="16"/>
        <v>0</v>
      </c>
      <c r="X304" s="206">
        <f t="shared" si="17"/>
        <v>105.73929214477539</v>
      </c>
      <c r="Y304" s="206">
        <f t="shared" si="18"/>
        <v>0</v>
      </c>
      <c r="Z304" s="206">
        <f t="shared" si="19"/>
        <v>89.406955718994141</v>
      </c>
      <c r="AA304" s="48"/>
    </row>
    <row r="305" spans="23:27">
      <c r="W305" s="48">
        <f t="shared" si="16"/>
        <v>0</v>
      </c>
      <c r="X305" s="206">
        <f t="shared" si="17"/>
        <v>105.73929214477539</v>
      </c>
      <c r="Y305" s="206">
        <f t="shared" si="18"/>
        <v>0</v>
      </c>
      <c r="Z305" s="206">
        <f t="shared" si="19"/>
        <v>89.406955718994141</v>
      </c>
      <c r="AA305" s="48"/>
    </row>
    <row r="306" spans="23:27">
      <c r="W306" s="48">
        <f t="shared" si="16"/>
        <v>0</v>
      </c>
      <c r="X306" s="206">
        <f t="shared" si="17"/>
        <v>105.73929214477539</v>
      </c>
      <c r="Y306" s="206">
        <f t="shared" si="18"/>
        <v>0</v>
      </c>
      <c r="Z306" s="206">
        <f t="shared" si="19"/>
        <v>89.406955718994141</v>
      </c>
      <c r="AA306" s="48"/>
    </row>
    <row r="307" spans="23:27">
      <c r="W307" s="48">
        <f t="shared" si="16"/>
        <v>0</v>
      </c>
      <c r="X307" s="206">
        <f t="shared" si="17"/>
        <v>105.73929214477539</v>
      </c>
      <c r="Y307" s="206">
        <f t="shared" si="18"/>
        <v>0</v>
      </c>
      <c r="Z307" s="206">
        <f t="shared" si="19"/>
        <v>89.406955718994141</v>
      </c>
      <c r="AA307" s="48"/>
    </row>
    <row r="308" spans="23:27">
      <c r="W308" s="48">
        <f t="shared" si="16"/>
        <v>0</v>
      </c>
      <c r="X308" s="206">
        <f t="shared" si="17"/>
        <v>105.73929214477539</v>
      </c>
      <c r="Y308" s="206">
        <f t="shared" si="18"/>
        <v>0</v>
      </c>
      <c r="Z308" s="206">
        <f t="shared" si="19"/>
        <v>89.406955718994141</v>
      </c>
      <c r="AA308" s="48"/>
    </row>
    <row r="309" spans="23:27">
      <c r="W309" s="48">
        <f t="shared" si="16"/>
        <v>0</v>
      </c>
      <c r="X309" s="206">
        <f t="shared" si="17"/>
        <v>105.73929214477539</v>
      </c>
      <c r="Y309" s="206">
        <f t="shared" si="18"/>
        <v>0</v>
      </c>
      <c r="Z309" s="206">
        <f t="shared" si="19"/>
        <v>89.406955718994141</v>
      </c>
      <c r="AA309" s="48"/>
    </row>
    <row r="310" spans="23:27">
      <c r="W310" s="48">
        <f t="shared" si="16"/>
        <v>0</v>
      </c>
      <c r="X310" s="206">
        <f t="shared" si="17"/>
        <v>105.73929214477539</v>
      </c>
      <c r="Y310" s="206">
        <f t="shared" si="18"/>
        <v>0</v>
      </c>
      <c r="Z310" s="206">
        <f t="shared" si="19"/>
        <v>89.406955718994141</v>
      </c>
      <c r="AA310" s="48"/>
    </row>
    <row r="311" spans="23:27">
      <c r="W311" s="48">
        <f t="shared" si="16"/>
        <v>0</v>
      </c>
      <c r="X311" s="206">
        <f t="shared" si="17"/>
        <v>105.73929214477539</v>
      </c>
      <c r="Y311" s="206">
        <f t="shared" si="18"/>
        <v>0</v>
      </c>
      <c r="Z311" s="206">
        <f t="shared" si="19"/>
        <v>89.406955718994141</v>
      </c>
      <c r="AA311" s="48"/>
    </row>
    <row r="312" spans="23:27">
      <c r="W312" s="48">
        <f t="shared" si="16"/>
        <v>0</v>
      </c>
      <c r="X312" s="206">
        <f t="shared" si="17"/>
        <v>105.73929214477539</v>
      </c>
      <c r="Y312" s="206">
        <f t="shared" si="18"/>
        <v>0</v>
      </c>
      <c r="Z312" s="206">
        <f t="shared" si="19"/>
        <v>89.406955718994141</v>
      </c>
      <c r="AA312" s="48"/>
    </row>
    <row r="313" spans="23:27">
      <c r="W313" s="48">
        <f t="shared" si="16"/>
        <v>0</v>
      </c>
      <c r="X313" s="206">
        <f t="shared" si="17"/>
        <v>105.73929214477539</v>
      </c>
      <c r="Y313" s="206">
        <f t="shared" si="18"/>
        <v>0</v>
      </c>
      <c r="Z313" s="206">
        <f t="shared" si="19"/>
        <v>89.406955718994141</v>
      </c>
      <c r="AA313" s="48"/>
    </row>
    <row r="314" spans="23:27">
      <c r="W314" s="48">
        <f t="shared" si="16"/>
        <v>0</v>
      </c>
      <c r="X314" s="206">
        <f t="shared" si="17"/>
        <v>105.73929214477539</v>
      </c>
      <c r="Y314" s="206">
        <f t="shared" si="18"/>
        <v>0</v>
      </c>
      <c r="Z314" s="206">
        <f t="shared" si="19"/>
        <v>89.406955718994141</v>
      </c>
      <c r="AA314" s="48"/>
    </row>
    <row r="315" spans="23:27">
      <c r="W315" s="48">
        <f t="shared" si="16"/>
        <v>0</v>
      </c>
      <c r="X315" s="206">
        <f t="shared" si="17"/>
        <v>105.73929214477539</v>
      </c>
      <c r="Y315" s="206">
        <f t="shared" si="18"/>
        <v>0</v>
      </c>
      <c r="Z315" s="206">
        <f t="shared" si="19"/>
        <v>89.406955718994141</v>
      </c>
      <c r="AA315" s="48"/>
    </row>
    <row r="316" spans="23:27">
      <c r="W316" s="48">
        <f t="shared" si="16"/>
        <v>0</v>
      </c>
      <c r="X316" s="206">
        <f t="shared" si="17"/>
        <v>105.73929214477539</v>
      </c>
      <c r="Y316" s="206">
        <f t="shared" si="18"/>
        <v>0</v>
      </c>
      <c r="Z316" s="206">
        <f t="shared" si="19"/>
        <v>89.406955718994141</v>
      </c>
      <c r="AA316" s="48"/>
    </row>
    <row r="317" spans="23:27">
      <c r="W317" s="48">
        <f t="shared" si="16"/>
        <v>0</v>
      </c>
      <c r="X317" s="206">
        <f t="shared" si="17"/>
        <v>105.73929214477539</v>
      </c>
      <c r="Y317" s="206">
        <f t="shared" si="18"/>
        <v>0</v>
      </c>
      <c r="Z317" s="206">
        <f t="shared" si="19"/>
        <v>89.406955718994141</v>
      </c>
      <c r="AA317" s="48"/>
    </row>
    <row r="318" spans="23:27">
      <c r="W318" s="48">
        <f t="shared" si="16"/>
        <v>0</v>
      </c>
      <c r="X318" s="206">
        <f t="shared" si="17"/>
        <v>105.73929214477539</v>
      </c>
      <c r="Y318" s="206">
        <f t="shared" si="18"/>
        <v>0</v>
      </c>
      <c r="Z318" s="206">
        <f t="shared" si="19"/>
        <v>89.406955718994141</v>
      </c>
      <c r="AA318" s="48"/>
    </row>
    <row r="319" spans="23:27">
      <c r="W319" s="48">
        <f t="shared" si="16"/>
        <v>0</v>
      </c>
      <c r="X319" s="206">
        <f t="shared" si="17"/>
        <v>105.73929214477539</v>
      </c>
      <c r="Y319" s="206">
        <f t="shared" si="18"/>
        <v>0</v>
      </c>
      <c r="Z319" s="206">
        <f t="shared" si="19"/>
        <v>89.406955718994141</v>
      </c>
      <c r="AA319" s="48"/>
    </row>
    <row r="320" spans="23:27">
      <c r="W320" s="48">
        <f t="shared" si="16"/>
        <v>0</v>
      </c>
      <c r="X320" s="206">
        <f t="shared" si="17"/>
        <v>105.73929214477539</v>
      </c>
      <c r="Y320" s="206">
        <f t="shared" si="18"/>
        <v>0</v>
      </c>
      <c r="Z320" s="206">
        <f t="shared" si="19"/>
        <v>89.406955718994141</v>
      </c>
      <c r="AA320" s="48"/>
    </row>
    <row r="321" spans="23:27">
      <c r="W321" s="48">
        <f t="shared" si="16"/>
        <v>0</v>
      </c>
      <c r="X321" s="206">
        <f t="shared" si="17"/>
        <v>105.73929214477539</v>
      </c>
      <c r="Y321" s="206">
        <f t="shared" si="18"/>
        <v>0</v>
      </c>
      <c r="Z321" s="206">
        <f t="shared" si="19"/>
        <v>89.406955718994141</v>
      </c>
      <c r="AA321" s="48"/>
    </row>
    <row r="322" spans="23:27">
      <c r="W322" s="48">
        <f t="shared" si="16"/>
        <v>0</v>
      </c>
      <c r="X322" s="206">
        <f t="shared" si="17"/>
        <v>105.73929214477539</v>
      </c>
      <c r="Y322" s="206">
        <f t="shared" si="18"/>
        <v>0</v>
      </c>
      <c r="Z322" s="206">
        <f t="shared" si="19"/>
        <v>89.406955718994141</v>
      </c>
      <c r="AA322" s="48"/>
    </row>
    <row r="323" spans="23:27">
      <c r="W323" s="48">
        <f t="shared" si="16"/>
        <v>0</v>
      </c>
      <c r="X323" s="206">
        <f t="shared" si="17"/>
        <v>105.73929214477539</v>
      </c>
      <c r="Y323" s="206">
        <f t="shared" si="18"/>
        <v>0</v>
      </c>
      <c r="Z323" s="206">
        <f t="shared" si="19"/>
        <v>89.406955718994141</v>
      </c>
      <c r="AA323" s="48"/>
    </row>
    <row r="324" spans="23:27">
      <c r="W324" s="48">
        <f t="shared" si="16"/>
        <v>0</v>
      </c>
      <c r="X324" s="206">
        <f t="shared" si="17"/>
        <v>105.73929214477539</v>
      </c>
      <c r="Y324" s="206">
        <f t="shared" si="18"/>
        <v>0</v>
      </c>
      <c r="Z324" s="206">
        <f t="shared" si="19"/>
        <v>89.406955718994141</v>
      </c>
      <c r="AA324" s="48"/>
    </row>
    <row r="325" spans="23:27">
      <c r="W325" s="48">
        <f t="shared" si="16"/>
        <v>0</v>
      </c>
      <c r="X325" s="206">
        <f t="shared" si="17"/>
        <v>105.73929214477539</v>
      </c>
      <c r="Y325" s="206">
        <f t="shared" si="18"/>
        <v>0</v>
      </c>
      <c r="Z325" s="206">
        <f t="shared" si="19"/>
        <v>89.406955718994141</v>
      </c>
      <c r="AA325" s="48"/>
    </row>
    <row r="326" spans="23:27">
      <c r="W326" s="48">
        <f t="shared" si="16"/>
        <v>0</v>
      </c>
      <c r="X326" s="206">
        <f t="shared" si="17"/>
        <v>105.73929214477539</v>
      </c>
      <c r="Y326" s="206">
        <f t="shared" si="18"/>
        <v>0</v>
      </c>
      <c r="Z326" s="206">
        <f t="shared" si="19"/>
        <v>89.406955718994141</v>
      </c>
      <c r="AA326" s="48"/>
    </row>
    <row r="327" spans="23:27">
      <c r="W327" s="48">
        <f t="shared" si="16"/>
        <v>0</v>
      </c>
      <c r="X327" s="206">
        <f t="shared" si="17"/>
        <v>105.73929214477539</v>
      </c>
      <c r="Y327" s="206">
        <f t="shared" si="18"/>
        <v>0</v>
      </c>
      <c r="Z327" s="206">
        <f t="shared" si="19"/>
        <v>89.406955718994141</v>
      </c>
      <c r="AA327" s="48"/>
    </row>
    <row r="328" spans="23:27">
      <c r="W328" s="48">
        <f t="shared" si="16"/>
        <v>0</v>
      </c>
      <c r="X328" s="206">
        <f t="shared" si="17"/>
        <v>105.73929214477539</v>
      </c>
      <c r="Y328" s="206">
        <f t="shared" si="18"/>
        <v>0</v>
      </c>
      <c r="Z328" s="206">
        <f t="shared" si="19"/>
        <v>89.406955718994141</v>
      </c>
      <c r="AA328" s="48"/>
    </row>
    <row r="329" spans="23:27">
      <c r="W329" s="48">
        <f t="shared" si="16"/>
        <v>0</v>
      </c>
      <c r="X329" s="206">
        <f t="shared" si="17"/>
        <v>105.73929214477539</v>
      </c>
      <c r="Y329" s="206">
        <f t="shared" si="18"/>
        <v>0</v>
      </c>
      <c r="Z329" s="206">
        <f t="shared" si="19"/>
        <v>89.406955718994141</v>
      </c>
      <c r="AA329" s="48"/>
    </row>
    <row r="330" spans="23:27">
      <c r="W330" s="48">
        <f t="shared" si="16"/>
        <v>0</v>
      </c>
      <c r="X330" s="206">
        <f t="shared" si="17"/>
        <v>105.73929214477539</v>
      </c>
      <c r="Y330" s="206">
        <f t="shared" si="18"/>
        <v>0</v>
      </c>
      <c r="Z330" s="206">
        <f t="shared" si="19"/>
        <v>89.406955718994141</v>
      </c>
      <c r="AA330" s="48"/>
    </row>
    <row r="331" spans="23:27">
      <c r="W331" s="48">
        <f t="shared" si="16"/>
        <v>0</v>
      </c>
      <c r="X331" s="206">
        <f t="shared" si="17"/>
        <v>105.73929214477539</v>
      </c>
      <c r="Y331" s="206">
        <f t="shared" si="18"/>
        <v>0</v>
      </c>
      <c r="Z331" s="206">
        <f t="shared" si="19"/>
        <v>89.406955718994141</v>
      </c>
      <c r="AA331" s="48"/>
    </row>
    <row r="332" spans="23:27">
      <c r="W332" s="48">
        <f t="shared" si="16"/>
        <v>0</v>
      </c>
      <c r="X332" s="206">
        <f t="shared" si="17"/>
        <v>105.73929214477539</v>
      </c>
      <c r="Y332" s="206">
        <f t="shared" si="18"/>
        <v>0</v>
      </c>
      <c r="Z332" s="206">
        <f t="shared" si="19"/>
        <v>89.406955718994141</v>
      </c>
      <c r="AA332" s="48"/>
    </row>
    <row r="333" spans="23:27">
      <c r="W333" s="48">
        <f t="shared" si="16"/>
        <v>0</v>
      </c>
      <c r="X333" s="206">
        <f t="shared" si="17"/>
        <v>105.73929214477539</v>
      </c>
      <c r="Y333" s="206">
        <f t="shared" si="18"/>
        <v>0</v>
      </c>
      <c r="Z333" s="206">
        <f t="shared" si="19"/>
        <v>89.406955718994141</v>
      </c>
      <c r="AA333" s="48"/>
    </row>
    <row r="334" spans="23:27">
      <c r="W334" s="48">
        <f t="shared" ref="W334:W397" si="20">B334</f>
        <v>0</v>
      </c>
      <c r="X334" s="206">
        <f t="shared" ref="X334:X397" si="21">I$26</f>
        <v>105.73929214477539</v>
      </c>
      <c r="Y334" s="206">
        <f t="shared" ref="Y334:Y397" si="22">C334</f>
        <v>0</v>
      </c>
      <c r="Z334" s="206">
        <f t="shared" ref="Z334:Z397" si="23">I$23</f>
        <v>89.406955718994141</v>
      </c>
      <c r="AA334" s="48"/>
    </row>
    <row r="335" spans="23:27">
      <c r="W335" s="48">
        <f t="shared" si="20"/>
        <v>0</v>
      </c>
      <c r="X335" s="206">
        <f t="shared" si="21"/>
        <v>105.73929214477539</v>
      </c>
      <c r="Y335" s="206">
        <f t="shared" si="22"/>
        <v>0</v>
      </c>
      <c r="Z335" s="206">
        <f t="shared" si="23"/>
        <v>89.406955718994141</v>
      </c>
      <c r="AA335" s="48"/>
    </row>
    <row r="336" spans="23:27">
      <c r="W336" s="48">
        <f t="shared" si="20"/>
        <v>0</v>
      </c>
      <c r="X336" s="206">
        <f t="shared" si="21"/>
        <v>105.73929214477539</v>
      </c>
      <c r="Y336" s="206">
        <f t="shared" si="22"/>
        <v>0</v>
      </c>
      <c r="Z336" s="206">
        <f t="shared" si="23"/>
        <v>89.406955718994141</v>
      </c>
      <c r="AA336" s="48"/>
    </row>
    <row r="337" spans="23:27">
      <c r="W337" s="48">
        <f t="shared" si="20"/>
        <v>0</v>
      </c>
      <c r="X337" s="206">
        <f t="shared" si="21"/>
        <v>105.73929214477539</v>
      </c>
      <c r="Y337" s="206">
        <f t="shared" si="22"/>
        <v>0</v>
      </c>
      <c r="Z337" s="206">
        <f t="shared" si="23"/>
        <v>89.406955718994141</v>
      </c>
      <c r="AA337" s="48"/>
    </row>
    <row r="338" spans="23:27">
      <c r="W338" s="48">
        <f t="shared" si="20"/>
        <v>0</v>
      </c>
      <c r="X338" s="206">
        <f t="shared" si="21"/>
        <v>105.73929214477539</v>
      </c>
      <c r="Y338" s="206">
        <f t="shared" si="22"/>
        <v>0</v>
      </c>
      <c r="Z338" s="206">
        <f t="shared" si="23"/>
        <v>89.406955718994141</v>
      </c>
      <c r="AA338" s="48"/>
    </row>
    <row r="339" spans="23:27">
      <c r="W339" s="48">
        <f t="shared" si="20"/>
        <v>0</v>
      </c>
      <c r="X339" s="206">
        <f t="shared" si="21"/>
        <v>105.73929214477539</v>
      </c>
      <c r="Y339" s="206">
        <f t="shared" si="22"/>
        <v>0</v>
      </c>
      <c r="Z339" s="206">
        <f t="shared" si="23"/>
        <v>89.406955718994141</v>
      </c>
      <c r="AA339" s="48"/>
    </row>
    <row r="340" spans="23:27">
      <c r="W340" s="48">
        <f t="shared" si="20"/>
        <v>0</v>
      </c>
      <c r="X340" s="206">
        <f t="shared" si="21"/>
        <v>105.73929214477539</v>
      </c>
      <c r="Y340" s="206">
        <f t="shared" si="22"/>
        <v>0</v>
      </c>
      <c r="Z340" s="206">
        <f t="shared" si="23"/>
        <v>89.406955718994141</v>
      </c>
      <c r="AA340" s="48"/>
    </row>
    <row r="341" spans="23:27">
      <c r="W341" s="48">
        <f t="shared" si="20"/>
        <v>0</v>
      </c>
      <c r="X341" s="206">
        <f t="shared" si="21"/>
        <v>105.73929214477539</v>
      </c>
      <c r="Y341" s="206">
        <f t="shared" si="22"/>
        <v>0</v>
      </c>
      <c r="Z341" s="206">
        <f t="shared" si="23"/>
        <v>89.406955718994141</v>
      </c>
      <c r="AA341" s="48"/>
    </row>
    <row r="342" spans="23:27">
      <c r="W342" s="48">
        <f t="shared" si="20"/>
        <v>0</v>
      </c>
      <c r="X342" s="206">
        <f t="shared" si="21"/>
        <v>105.73929214477539</v>
      </c>
      <c r="Y342" s="206">
        <f t="shared" si="22"/>
        <v>0</v>
      </c>
      <c r="Z342" s="206">
        <f t="shared" si="23"/>
        <v>89.406955718994141</v>
      </c>
      <c r="AA342" s="48"/>
    </row>
    <row r="343" spans="23:27">
      <c r="W343" s="48">
        <f t="shared" si="20"/>
        <v>0</v>
      </c>
      <c r="X343" s="206">
        <f t="shared" si="21"/>
        <v>105.73929214477539</v>
      </c>
      <c r="Y343" s="206">
        <f t="shared" si="22"/>
        <v>0</v>
      </c>
      <c r="Z343" s="206">
        <f t="shared" si="23"/>
        <v>89.406955718994141</v>
      </c>
      <c r="AA343" s="48"/>
    </row>
    <row r="344" spans="23:27">
      <c r="W344" s="48">
        <f t="shared" si="20"/>
        <v>0</v>
      </c>
      <c r="X344" s="206">
        <f t="shared" si="21"/>
        <v>105.73929214477539</v>
      </c>
      <c r="Y344" s="206">
        <f t="shared" si="22"/>
        <v>0</v>
      </c>
      <c r="Z344" s="206">
        <f t="shared" si="23"/>
        <v>89.406955718994141</v>
      </c>
      <c r="AA344" s="48"/>
    </row>
    <row r="345" spans="23:27">
      <c r="W345" s="48">
        <f t="shared" si="20"/>
        <v>0</v>
      </c>
      <c r="X345" s="206">
        <f t="shared" si="21"/>
        <v>105.73929214477539</v>
      </c>
      <c r="Y345" s="206">
        <f t="shared" si="22"/>
        <v>0</v>
      </c>
      <c r="Z345" s="206">
        <f t="shared" si="23"/>
        <v>89.406955718994141</v>
      </c>
      <c r="AA345" s="48"/>
    </row>
    <row r="346" spans="23:27">
      <c r="W346" s="48">
        <f t="shared" si="20"/>
        <v>0</v>
      </c>
      <c r="X346" s="206">
        <f t="shared" si="21"/>
        <v>105.73929214477539</v>
      </c>
      <c r="Y346" s="206">
        <f t="shared" si="22"/>
        <v>0</v>
      </c>
      <c r="Z346" s="206">
        <f t="shared" si="23"/>
        <v>89.406955718994141</v>
      </c>
      <c r="AA346" s="48"/>
    </row>
    <row r="347" spans="23:27">
      <c r="W347" s="48">
        <f t="shared" si="20"/>
        <v>0</v>
      </c>
      <c r="X347" s="206">
        <f t="shared" si="21"/>
        <v>105.73929214477539</v>
      </c>
      <c r="Y347" s="206">
        <f t="shared" si="22"/>
        <v>0</v>
      </c>
      <c r="Z347" s="206">
        <f t="shared" si="23"/>
        <v>89.406955718994141</v>
      </c>
      <c r="AA347" s="48"/>
    </row>
    <row r="348" spans="23:27">
      <c r="W348" s="48">
        <f t="shared" si="20"/>
        <v>0</v>
      </c>
      <c r="X348" s="206">
        <f t="shared" si="21"/>
        <v>105.73929214477539</v>
      </c>
      <c r="Y348" s="206">
        <f t="shared" si="22"/>
        <v>0</v>
      </c>
      <c r="Z348" s="206">
        <f t="shared" si="23"/>
        <v>89.406955718994141</v>
      </c>
      <c r="AA348" s="48"/>
    </row>
    <row r="349" spans="23:27">
      <c r="W349" s="48">
        <f t="shared" si="20"/>
        <v>0</v>
      </c>
      <c r="X349" s="206">
        <f t="shared" si="21"/>
        <v>105.73929214477539</v>
      </c>
      <c r="Y349" s="206">
        <f t="shared" si="22"/>
        <v>0</v>
      </c>
      <c r="Z349" s="206">
        <f t="shared" si="23"/>
        <v>89.406955718994141</v>
      </c>
      <c r="AA349" s="48"/>
    </row>
    <row r="350" spans="23:27">
      <c r="W350" s="48">
        <f t="shared" si="20"/>
        <v>0</v>
      </c>
      <c r="X350" s="206">
        <f t="shared" si="21"/>
        <v>105.73929214477539</v>
      </c>
      <c r="Y350" s="206">
        <f t="shared" si="22"/>
        <v>0</v>
      </c>
      <c r="Z350" s="206">
        <f t="shared" si="23"/>
        <v>89.406955718994141</v>
      </c>
      <c r="AA350" s="48"/>
    </row>
    <row r="351" spans="23:27">
      <c r="W351" s="48">
        <f t="shared" si="20"/>
        <v>0</v>
      </c>
      <c r="X351" s="206">
        <f t="shared" si="21"/>
        <v>105.73929214477539</v>
      </c>
      <c r="Y351" s="206">
        <f t="shared" si="22"/>
        <v>0</v>
      </c>
      <c r="Z351" s="206">
        <f t="shared" si="23"/>
        <v>89.406955718994141</v>
      </c>
      <c r="AA351" s="48"/>
    </row>
    <row r="352" spans="23:27">
      <c r="W352" s="48">
        <f t="shared" si="20"/>
        <v>0</v>
      </c>
      <c r="X352" s="206">
        <f t="shared" si="21"/>
        <v>105.73929214477539</v>
      </c>
      <c r="Y352" s="206">
        <f t="shared" si="22"/>
        <v>0</v>
      </c>
      <c r="Z352" s="206">
        <f t="shared" si="23"/>
        <v>89.406955718994141</v>
      </c>
      <c r="AA352" s="48"/>
    </row>
    <row r="353" spans="23:27">
      <c r="W353" s="48">
        <f t="shared" si="20"/>
        <v>0</v>
      </c>
      <c r="X353" s="206">
        <f t="shared" si="21"/>
        <v>105.73929214477539</v>
      </c>
      <c r="Y353" s="206">
        <f t="shared" si="22"/>
        <v>0</v>
      </c>
      <c r="Z353" s="206">
        <f t="shared" si="23"/>
        <v>89.406955718994141</v>
      </c>
      <c r="AA353" s="48"/>
    </row>
    <row r="354" spans="23:27">
      <c r="W354" s="48">
        <f t="shared" si="20"/>
        <v>0</v>
      </c>
      <c r="X354" s="206">
        <f t="shared" si="21"/>
        <v>105.73929214477539</v>
      </c>
      <c r="Y354" s="206">
        <f t="shared" si="22"/>
        <v>0</v>
      </c>
      <c r="Z354" s="206">
        <f t="shared" si="23"/>
        <v>89.406955718994141</v>
      </c>
      <c r="AA354" s="48"/>
    </row>
    <row r="355" spans="23:27">
      <c r="W355" s="48">
        <f t="shared" si="20"/>
        <v>0</v>
      </c>
      <c r="X355" s="206">
        <f t="shared" si="21"/>
        <v>105.73929214477539</v>
      </c>
      <c r="Y355" s="206">
        <f t="shared" si="22"/>
        <v>0</v>
      </c>
      <c r="Z355" s="206">
        <f t="shared" si="23"/>
        <v>89.406955718994141</v>
      </c>
      <c r="AA355" s="48"/>
    </row>
    <row r="356" spans="23:27">
      <c r="W356" s="48">
        <f t="shared" si="20"/>
        <v>0</v>
      </c>
      <c r="X356" s="206">
        <f t="shared" si="21"/>
        <v>105.73929214477539</v>
      </c>
      <c r="Y356" s="206">
        <f t="shared" si="22"/>
        <v>0</v>
      </c>
      <c r="Z356" s="206">
        <f t="shared" si="23"/>
        <v>89.406955718994141</v>
      </c>
      <c r="AA356" s="48"/>
    </row>
    <row r="357" spans="23:27">
      <c r="W357" s="48">
        <f t="shared" si="20"/>
        <v>0</v>
      </c>
      <c r="X357" s="206">
        <f t="shared" si="21"/>
        <v>105.73929214477539</v>
      </c>
      <c r="Y357" s="206">
        <f t="shared" si="22"/>
        <v>0</v>
      </c>
      <c r="Z357" s="206">
        <f t="shared" si="23"/>
        <v>89.406955718994141</v>
      </c>
      <c r="AA357" s="48"/>
    </row>
    <row r="358" spans="23:27">
      <c r="W358" s="48">
        <f t="shared" si="20"/>
        <v>0</v>
      </c>
      <c r="X358" s="206">
        <f t="shared" si="21"/>
        <v>105.73929214477539</v>
      </c>
      <c r="Y358" s="206">
        <f t="shared" si="22"/>
        <v>0</v>
      </c>
      <c r="Z358" s="206">
        <f t="shared" si="23"/>
        <v>89.406955718994141</v>
      </c>
      <c r="AA358" s="48"/>
    </row>
    <row r="359" spans="23:27">
      <c r="W359" s="48">
        <f t="shared" si="20"/>
        <v>0</v>
      </c>
      <c r="X359" s="206">
        <f t="shared" si="21"/>
        <v>105.73929214477539</v>
      </c>
      <c r="Y359" s="206">
        <f t="shared" si="22"/>
        <v>0</v>
      </c>
      <c r="Z359" s="206">
        <f t="shared" si="23"/>
        <v>89.406955718994141</v>
      </c>
      <c r="AA359" s="48"/>
    </row>
    <row r="360" spans="23:27">
      <c r="W360" s="48">
        <f t="shared" si="20"/>
        <v>0</v>
      </c>
      <c r="X360" s="206">
        <f t="shared" si="21"/>
        <v>105.73929214477539</v>
      </c>
      <c r="Y360" s="206">
        <f t="shared" si="22"/>
        <v>0</v>
      </c>
      <c r="Z360" s="206">
        <f t="shared" si="23"/>
        <v>89.406955718994141</v>
      </c>
      <c r="AA360" s="48"/>
    </row>
    <row r="361" spans="23:27">
      <c r="W361" s="48">
        <f t="shared" si="20"/>
        <v>0</v>
      </c>
      <c r="X361" s="206">
        <f t="shared" si="21"/>
        <v>105.73929214477539</v>
      </c>
      <c r="Y361" s="206">
        <f t="shared" si="22"/>
        <v>0</v>
      </c>
      <c r="Z361" s="206">
        <f t="shared" si="23"/>
        <v>89.406955718994141</v>
      </c>
      <c r="AA361" s="48"/>
    </row>
    <row r="362" spans="23:27">
      <c r="W362" s="48">
        <f t="shared" si="20"/>
        <v>0</v>
      </c>
      <c r="X362" s="206">
        <f t="shared" si="21"/>
        <v>105.73929214477539</v>
      </c>
      <c r="Y362" s="206">
        <f t="shared" si="22"/>
        <v>0</v>
      </c>
      <c r="Z362" s="206">
        <f t="shared" si="23"/>
        <v>89.406955718994141</v>
      </c>
      <c r="AA362" s="48"/>
    </row>
    <row r="363" spans="23:27">
      <c r="W363" s="48">
        <f t="shared" si="20"/>
        <v>0</v>
      </c>
      <c r="X363" s="206">
        <f t="shared" si="21"/>
        <v>105.73929214477539</v>
      </c>
      <c r="Y363" s="206">
        <f t="shared" si="22"/>
        <v>0</v>
      </c>
      <c r="Z363" s="206">
        <f t="shared" si="23"/>
        <v>89.406955718994141</v>
      </c>
      <c r="AA363" s="48"/>
    </row>
    <row r="364" spans="23:27">
      <c r="W364" s="48">
        <f t="shared" si="20"/>
        <v>0</v>
      </c>
      <c r="X364" s="206">
        <f t="shared" si="21"/>
        <v>105.73929214477539</v>
      </c>
      <c r="Y364" s="206">
        <f t="shared" si="22"/>
        <v>0</v>
      </c>
      <c r="Z364" s="206">
        <f t="shared" si="23"/>
        <v>89.406955718994141</v>
      </c>
      <c r="AA364" s="48"/>
    </row>
    <row r="365" spans="23:27">
      <c r="W365" s="48">
        <f t="shared" si="20"/>
        <v>0</v>
      </c>
      <c r="X365" s="206">
        <f t="shared" si="21"/>
        <v>105.73929214477539</v>
      </c>
      <c r="Y365" s="206">
        <f t="shared" si="22"/>
        <v>0</v>
      </c>
      <c r="Z365" s="206">
        <f t="shared" si="23"/>
        <v>89.406955718994141</v>
      </c>
      <c r="AA365" s="48"/>
    </row>
    <row r="366" spans="23:27">
      <c r="W366" s="48">
        <f t="shared" si="20"/>
        <v>0</v>
      </c>
      <c r="X366" s="206">
        <f t="shared" si="21"/>
        <v>105.73929214477539</v>
      </c>
      <c r="Y366" s="206">
        <f t="shared" si="22"/>
        <v>0</v>
      </c>
      <c r="Z366" s="206">
        <f t="shared" si="23"/>
        <v>89.406955718994141</v>
      </c>
      <c r="AA366" s="48"/>
    </row>
    <row r="367" spans="23:27">
      <c r="W367" s="48">
        <f t="shared" si="20"/>
        <v>0</v>
      </c>
      <c r="X367" s="206">
        <f t="shared" si="21"/>
        <v>105.73929214477539</v>
      </c>
      <c r="Y367" s="206">
        <f t="shared" si="22"/>
        <v>0</v>
      </c>
      <c r="Z367" s="206">
        <f t="shared" si="23"/>
        <v>89.406955718994141</v>
      </c>
      <c r="AA367" s="48"/>
    </row>
    <row r="368" spans="23:27">
      <c r="W368" s="48">
        <f t="shared" si="20"/>
        <v>0</v>
      </c>
      <c r="X368" s="206">
        <f t="shared" si="21"/>
        <v>105.73929214477539</v>
      </c>
      <c r="Y368" s="206">
        <f t="shared" si="22"/>
        <v>0</v>
      </c>
      <c r="Z368" s="206">
        <f t="shared" si="23"/>
        <v>89.406955718994141</v>
      </c>
      <c r="AA368" s="48"/>
    </row>
    <row r="369" spans="23:27">
      <c r="W369" s="48">
        <f t="shared" si="20"/>
        <v>0</v>
      </c>
      <c r="X369" s="206">
        <f t="shared" si="21"/>
        <v>105.73929214477539</v>
      </c>
      <c r="Y369" s="206">
        <f t="shared" si="22"/>
        <v>0</v>
      </c>
      <c r="Z369" s="206">
        <f t="shared" si="23"/>
        <v>89.406955718994141</v>
      </c>
      <c r="AA369" s="48"/>
    </row>
    <row r="370" spans="23:27">
      <c r="W370" s="48">
        <f t="shared" si="20"/>
        <v>0</v>
      </c>
      <c r="X370" s="206">
        <f t="shared" si="21"/>
        <v>105.73929214477539</v>
      </c>
      <c r="Y370" s="206">
        <f t="shared" si="22"/>
        <v>0</v>
      </c>
      <c r="Z370" s="206">
        <f t="shared" si="23"/>
        <v>89.406955718994141</v>
      </c>
      <c r="AA370" s="48"/>
    </row>
    <row r="371" spans="23:27">
      <c r="W371" s="48">
        <f t="shared" si="20"/>
        <v>0</v>
      </c>
      <c r="X371" s="206">
        <f t="shared" si="21"/>
        <v>105.73929214477539</v>
      </c>
      <c r="Y371" s="206">
        <f t="shared" si="22"/>
        <v>0</v>
      </c>
      <c r="Z371" s="206">
        <f t="shared" si="23"/>
        <v>89.406955718994141</v>
      </c>
      <c r="AA371" s="48"/>
    </row>
    <row r="372" spans="23:27">
      <c r="W372" s="48">
        <f t="shared" si="20"/>
        <v>0</v>
      </c>
      <c r="X372" s="206">
        <f t="shared" si="21"/>
        <v>105.73929214477539</v>
      </c>
      <c r="Y372" s="206">
        <f t="shared" si="22"/>
        <v>0</v>
      </c>
      <c r="Z372" s="206">
        <f t="shared" si="23"/>
        <v>89.406955718994141</v>
      </c>
      <c r="AA372" s="48"/>
    </row>
    <row r="373" spans="23:27">
      <c r="W373" s="48">
        <f t="shared" si="20"/>
        <v>0</v>
      </c>
      <c r="X373" s="206">
        <f t="shared" si="21"/>
        <v>105.73929214477539</v>
      </c>
      <c r="Y373" s="206">
        <f t="shared" si="22"/>
        <v>0</v>
      </c>
      <c r="Z373" s="206">
        <f t="shared" si="23"/>
        <v>89.406955718994141</v>
      </c>
      <c r="AA373" s="48"/>
    </row>
    <row r="374" spans="23:27">
      <c r="W374" s="48">
        <f t="shared" si="20"/>
        <v>0</v>
      </c>
      <c r="X374" s="206">
        <f t="shared" si="21"/>
        <v>105.73929214477539</v>
      </c>
      <c r="Y374" s="206">
        <f t="shared" si="22"/>
        <v>0</v>
      </c>
      <c r="Z374" s="206">
        <f t="shared" si="23"/>
        <v>89.406955718994141</v>
      </c>
      <c r="AA374" s="48"/>
    </row>
    <row r="375" spans="23:27">
      <c r="W375" s="48">
        <f t="shared" si="20"/>
        <v>0</v>
      </c>
      <c r="X375" s="206">
        <f t="shared" si="21"/>
        <v>105.73929214477539</v>
      </c>
      <c r="Y375" s="206">
        <f t="shared" si="22"/>
        <v>0</v>
      </c>
      <c r="Z375" s="206">
        <f t="shared" si="23"/>
        <v>89.406955718994141</v>
      </c>
      <c r="AA375" s="48"/>
    </row>
    <row r="376" spans="23:27">
      <c r="W376" s="48">
        <f t="shared" si="20"/>
        <v>0</v>
      </c>
      <c r="X376" s="206">
        <f t="shared" si="21"/>
        <v>105.73929214477539</v>
      </c>
      <c r="Y376" s="206">
        <f t="shared" si="22"/>
        <v>0</v>
      </c>
      <c r="Z376" s="206">
        <f t="shared" si="23"/>
        <v>89.406955718994141</v>
      </c>
      <c r="AA376" s="48"/>
    </row>
    <row r="377" spans="23:27">
      <c r="W377" s="48">
        <f t="shared" si="20"/>
        <v>0</v>
      </c>
      <c r="X377" s="206">
        <f t="shared" si="21"/>
        <v>105.73929214477539</v>
      </c>
      <c r="Y377" s="206">
        <f t="shared" si="22"/>
        <v>0</v>
      </c>
      <c r="Z377" s="206">
        <f t="shared" si="23"/>
        <v>89.406955718994141</v>
      </c>
      <c r="AA377" s="48"/>
    </row>
    <row r="378" spans="23:27">
      <c r="W378" s="48">
        <f t="shared" si="20"/>
        <v>0</v>
      </c>
      <c r="X378" s="206">
        <f t="shared" si="21"/>
        <v>105.73929214477539</v>
      </c>
      <c r="Y378" s="206">
        <f t="shared" si="22"/>
        <v>0</v>
      </c>
      <c r="Z378" s="206">
        <f t="shared" si="23"/>
        <v>89.406955718994141</v>
      </c>
      <c r="AA378" s="48"/>
    </row>
    <row r="379" spans="23:27">
      <c r="W379" s="48">
        <f t="shared" si="20"/>
        <v>0</v>
      </c>
      <c r="X379" s="206">
        <f t="shared" si="21"/>
        <v>105.73929214477539</v>
      </c>
      <c r="Y379" s="206">
        <f t="shared" si="22"/>
        <v>0</v>
      </c>
      <c r="Z379" s="206">
        <f t="shared" si="23"/>
        <v>89.406955718994141</v>
      </c>
      <c r="AA379" s="48"/>
    </row>
    <row r="380" spans="23:27">
      <c r="W380" s="48">
        <f t="shared" si="20"/>
        <v>0</v>
      </c>
      <c r="X380" s="206">
        <f t="shared" si="21"/>
        <v>105.73929214477539</v>
      </c>
      <c r="Y380" s="206">
        <f t="shared" si="22"/>
        <v>0</v>
      </c>
      <c r="Z380" s="206">
        <f t="shared" si="23"/>
        <v>89.406955718994141</v>
      </c>
      <c r="AA380" s="48"/>
    </row>
    <row r="381" spans="23:27">
      <c r="W381" s="48">
        <f t="shared" si="20"/>
        <v>0</v>
      </c>
      <c r="X381" s="206">
        <f t="shared" si="21"/>
        <v>105.73929214477539</v>
      </c>
      <c r="Y381" s="206">
        <f t="shared" si="22"/>
        <v>0</v>
      </c>
      <c r="Z381" s="206">
        <f t="shared" si="23"/>
        <v>89.406955718994141</v>
      </c>
      <c r="AA381" s="48"/>
    </row>
    <row r="382" spans="23:27">
      <c r="W382" s="48">
        <f t="shared" si="20"/>
        <v>0</v>
      </c>
      <c r="X382" s="206">
        <f t="shared" si="21"/>
        <v>105.73929214477539</v>
      </c>
      <c r="Y382" s="206">
        <f t="shared" si="22"/>
        <v>0</v>
      </c>
      <c r="Z382" s="206">
        <f t="shared" si="23"/>
        <v>89.406955718994141</v>
      </c>
      <c r="AA382" s="48"/>
    </row>
    <row r="383" spans="23:27">
      <c r="W383" s="48">
        <f t="shared" si="20"/>
        <v>0</v>
      </c>
      <c r="X383" s="206">
        <f t="shared" si="21"/>
        <v>105.73929214477539</v>
      </c>
      <c r="Y383" s="206">
        <f t="shared" si="22"/>
        <v>0</v>
      </c>
      <c r="Z383" s="206">
        <f t="shared" si="23"/>
        <v>89.406955718994141</v>
      </c>
      <c r="AA383" s="48"/>
    </row>
    <row r="384" spans="23:27">
      <c r="W384" s="48">
        <f t="shared" si="20"/>
        <v>0</v>
      </c>
      <c r="X384" s="206">
        <f t="shared" si="21"/>
        <v>105.73929214477539</v>
      </c>
      <c r="Y384" s="206">
        <f t="shared" si="22"/>
        <v>0</v>
      </c>
      <c r="Z384" s="206">
        <f t="shared" si="23"/>
        <v>89.406955718994141</v>
      </c>
      <c r="AA384" s="48"/>
    </row>
    <row r="385" spans="23:27">
      <c r="W385" s="48">
        <f t="shared" si="20"/>
        <v>0</v>
      </c>
      <c r="X385" s="206">
        <f t="shared" si="21"/>
        <v>105.73929214477539</v>
      </c>
      <c r="Y385" s="206">
        <f t="shared" si="22"/>
        <v>0</v>
      </c>
      <c r="Z385" s="206">
        <f t="shared" si="23"/>
        <v>89.406955718994141</v>
      </c>
      <c r="AA385" s="48"/>
    </row>
    <row r="386" spans="23:27">
      <c r="W386" s="48">
        <f t="shared" si="20"/>
        <v>0</v>
      </c>
      <c r="X386" s="206">
        <f t="shared" si="21"/>
        <v>105.73929214477539</v>
      </c>
      <c r="Y386" s="206">
        <f t="shared" si="22"/>
        <v>0</v>
      </c>
      <c r="Z386" s="206">
        <f t="shared" si="23"/>
        <v>89.406955718994141</v>
      </c>
      <c r="AA386" s="48"/>
    </row>
    <row r="387" spans="23:27">
      <c r="W387" s="48">
        <f t="shared" si="20"/>
        <v>0</v>
      </c>
      <c r="X387" s="206">
        <f t="shared" si="21"/>
        <v>105.73929214477539</v>
      </c>
      <c r="Y387" s="206">
        <f t="shared" si="22"/>
        <v>0</v>
      </c>
      <c r="Z387" s="206">
        <f t="shared" si="23"/>
        <v>89.406955718994141</v>
      </c>
      <c r="AA387" s="48"/>
    </row>
    <row r="388" spans="23:27">
      <c r="W388" s="48">
        <f t="shared" si="20"/>
        <v>0</v>
      </c>
      <c r="X388" s="206">
        <f t="shared" si="21"/>
        <v>105.73929214477539</v>
      </c>
      <c r="Y388" s="206">
        <f t="shared" si="22"/>
        <v>0</v>
      </c>
      <c r="Z388" s="206">
        <f t="shared" si="23"/>
        <v>89.406955718994141</v>
      </c>
      <c r="AA388" s="48"/>
    </row>
    <row r="389" spans="23:27">
      <c r="W389" s="48">
        <f t="shared" si="20"/>
        <v>0</v>
      </c>
      <c r="X389" s="206">
        <f t="shared" si="21"/>
        <v>105.73929214477539</v>
      </c>
      <c r="Y389" s="206">
        <f t="shared" si="22"/>
        <v>0</v>
      </c>
      <c r="Z389" s="206">
        <f t="shared" si="23"/>
        <v>89.406955718994141</v>
      </c>
      <c r="AA389" s="48"/>
    </row>
    <row r="390" spans="23:27">
      <c r="W390" s="48">
        <f t="shared" si="20"/>
        <v>0</v>
      </c>
      <c r="X390" s="206">
        <f t="shared" si="21"/>
        <v>105.73929214477539</v>
      </c>
      <c r="Y390" s="206">
        <f t="shared" si="22"/>
        <v>0</v>
      </c>
      <c r="Z390" s="206">
        <f t="shared" si="23"/>
        <v>89.406955718994141</v>
      </c>
      <c r="AA390" s="48"/>
    </row>
    <row r="391" spans="23:27">
      <c r="W391" s="48">
        <f t="shared" si="20"/>
        <v>0</v>
      </c>
      <c r="X391" s="206">
        <f t="shared" si="21"/>
        <v>105.73929214477539</v>
      </c>
      <c r="Y391" s="206">
        <f t="shared" si="22"/>
        <v>0</v>
      </c>
      <c r="Z391" s="206">
        <f t="shared" si="23"/>
        <v>89.406955718994141</v>
      </c>
      <c r="AA391" s="48"/>
    </row>
    <row r="392" spans="23:27">
      <c r="W392" s="48">
        <f t="shared" si="20"/>
        <v>0</v>
      </c>
      <c r="X392" s="206">
        <f t="shared" si="21"/>
        <v>105.73929214477539</v>
      </c>
      <c r="Y392" s="206">
        <f t="shared" si="22"/>
        <v>0</v>
      </c>
      <c r="Z392" s="206">
        <f t="shared" si="23"/>
        <v>89.406955718994141</v>
      </c>
      <c r="AA392" s="48"/>
    </row>
    <row r="393" spans="23:27">
      <c r="W393" s="48">
        <f t="shared" si="20"/>
        <v>0</v>
      </c>
      <c r="X393" s="206">
        <f t="shared" si="21"/>
        <v>105.73929214477539</v>
      </c>
      <c r="Y393" s="206">
        <f t="shared" si="22"/>
        <v>0</v>
      </c>
      <c r="Z393" s="206">
        <f t="shared" si="23"/>
        <v>89.406955718994141</v>
      </c>
      <c r="AA393" s="48"/>
    </row>
    <row r="394" spans="23:27">
      <c r="W394" s="48">
        <f t="shared" si="20"/>
        <v>0</v>
      </c>
      <c r="X394" s="206">
        <f t="shared" si="21"/>
        <v>105.73929214477539</v>
      </c>
      <c r="Y394" s="206">
        <f t="shared" si="22"/>
        <v>0</v>
      </c>
      <c r="Z394" s="206">
        <f t="shared" si="23"/>
        <v>89.406955718994141</v>
      </c>
      <c r="AA394" s="48"/>
    </row>
    <row r="395" spans="23:27">
      <c r="W395" s="48">
        <f t="shared" si="20"/>
        <v>0</v>
      </c>
      <c r="X395" s="206">
        <f t="shared" si="21"/>
        <v>105.73929214477539</v>
      </c>
      <c r="Y395" s="206">
        <f t="shared" si="22"/>
        <v>0</v>
      </c>
      <c r="Z395" s="206">
        <f t="shared" si="23"/>
        <v>89.406955718994141</v>
      </c>
      <c r="AA395" s="48"/>
    </row>
    <row r="396" spans="23:27">
      <c r="W396" s="48">
        <f t="shared" si="20"/>
        <v>0</v>
      </c>
      <c r="X396" s="206">
        <f t="shared" si="21"/>
        <v>105.73929214477539</v>
      </c>
      <c r="Y396" s="206">
        <f t="shared" si="22"/>
        <v>0</v>
      </c>
      <c r="Z396" s="206">
        <f t="shared" si="23"/>
        <v>89.406955718994141</v>
      </c>
      <c r="AA396" s="48"/>
    </row>
    <row r="397" spans="23:27">
      <c r="W397" s="48">
        <f t="shared" si="20"/>
        <v>0</v>
      </c>
      <c r="X397" s="206">
        <f t="shared" si="21"/>
        <v>105.73929214477539</v>
      </c>
      <c r="Y397" s="206">
        <f t="shared" si="22"/>
        <v>0</v>
      </c>
      <c r="Z397" s="206">
        <f t="shared" si="23"/>
        <v>89.406955718994141</v>
      </c>
      <c r="AA397" s="48"/>
    </row>
    <row r="398" spans="23:27">
      <c r="W398" s="48">
        <f t="shared" ref="W398:W461" si="24">B398</f>
        <v>0</v>
      </c>
      <c r="X398" s="206">
        <f t="shared" ref="X398:X461" si="25">I$26</f>
        <v>105.73929214477539</v>
      </c>
      <c r="Y398" s="206">
        <f t="shared" ref="Y398:Y461" si="26">C398</f>
        <v>0</v>
      </c>
      <c r="Z398" s="206">
        <f t="shared" ref="Z398:Z461" si="27">I$23</f>
        <v>89.406955718994141</v>
      </c>
      <c r="AA398" s="48"/>
    </row>
    <row r="399" spans="23:27">
      <c r="W399" s="48">
        <f t="shared" si="24"/>
        <v>0</v>
      </c>
      <c r="X399" s="206">
        <f t="shared" si="25"/>
        <v>105.73929214477539</v>
      </c>
      <c r="Y399" s="206">
        <f t="shared" si="26"/>
        <v>0</v>
      </c>
      <c r="Z399" s="206">
        <f t="shared" si="27"/>
        <v>89.406955718994141</v>
      </c>
      <c r="AA399" s="48"/>
    </row>
    <row r="400" spans="23:27">
      <c r="W400" s="48">
        <f t="shared" si="24"/>
        <v>0</v>
      </c>
      <c r="X400" s="206">
        <f t="shared" si="25"/>
        <v>105.73929214477539</v>
      </c>
      <c r="Y400" s="206">
        <f t="shared" si="26"/>
        <v>0</v>
      </c>
      <c r="Z400" s="206">
        <f t="shared" si="27"/>
        <v>89.406955718994141</v>
      </c>
      <c r="AA400" s="48"/>
    </row>
    <row r="401" spans="23:27">
      <c r="W401" s="48">
        <f t="shared" si="24"/>
        <v>0</v>
      </c>
      <c r="X401" s="206">
        <f t="shared" si="25"/>
        <v>105.73929214477539</v>
      </c>
      <c r="Y401" s="206">
        <f t="shared" si="26"/>
        <v>0</v>
      </c>
      <c r="Z401" s="206">
        <f t="shared" si="27"/>
        <v>89.406955718994141</v>
      </c>
      <c r="AA401" s="48"/>
    </row>
    <row r="402" spans="23:27">
      <c r="W402" s="48">
        <f t="shared" si="24"/>
        <v>0</v>
      </c>
      <c r="X402" s="206">
        <f t="shared" si="25"/>
        <v>105.73929214477539</v>
      </c>
      <c r="Y402" s="206">
        <f t="shared" si="26"/>
        <v>0</v>
      </c>
      <c r="Z402" s="206">
        <f t="shared" si="27"/>
        <v>89.406955718994141</v>
      </c>
      <c r="AA402" s="48"/>
    </row>
    <row r="403" spans="23:27">
      <c r="W403" s="48">
        <f t="shared" si="24"/>
        <v>0</v>
      </c>
      <c r="X403" s="206">
        <f t="shared" si="25"/>
        <v>105.73929214477539</v>
      </c>
      <c r="Y403" s="206">
        <f t="shared" si="26"/>
        <v>0</v>
      </c>
      <c r="Z403" s="206">
        <f t="shared" si="27"/>
        <v>89.406955718994141</v>
      </c>
      <c r="AA403" s="48"/>
    </row>
    <row r="404" spans="23:27">
      <c r="W404" s="48">
        <f t="shared" si="24"/>
        <v>0</v>
      </c>
      <c r="X404" s="206">
        <f t="shared" si="25"/>
        <v>105.73929214477539</v>
      </c>
      <c r="Y404" s="206">
        <f t="shared" si="26"/>
        <v>0</v>
      </c>
      <c r="Z404" s="206">
        <f t="shared" si="27"/>
        <v>89.406955718994141</v>
      </c>
      <c r="AA404" s="48"/>
    </row>
    <row r="405" spans="23:27">
      <c r="W405" s="48">
        <f t="shared" si="24"/>
        <v>0</v>
      </c>
      <c r="X405" s="206">
        <f t="shared" si="25"/>
        <v>105.73929214477539</v>
      </c>
      <c r="Y405" s="206">
        <f t="shared" si="26"/>
        <v>0</v>
      </c>
      <c r="Z405" s="206">
        <f t="shared" si="27"/>
        <v>89.406955718994141</v>
      </c>
      <c r="AA405" s="48"/>
    </row>
    <row r="406" spans="23:27">
      <c r="W406" s="48">
        <f t="shared" si="24"/>
        <v>0</v>
      </c>
      <c r="X406" s="206">
        <f t="shared" si="25"/>
        <v>105.73929214477539</v>
      </c>
      <c r="Y406" s="206">
        <f t="shared" si="26"/>
        <v>0</v>
      </c>
      <c r="Z406" s="206">
        <f t="shared" si="27"/>
        <v>89.406955718994141</v>
      </c>
      <c r="AA406" s="48"/>
    </row>
    <row r="407" spans="23:27">
      <c r="W407" s="48">
        <f t="shared" si="24"/>
        <v>0</v>
      </c>
      <c r="X407" s="206">
        <f t="shared" si="25"/>
        <v>105.73929214477539</v>
      </c>
      <c r="Y407" s="206">
        <f t="shared" si="26"/>
        <v>0</v>
      </c>
      <c r="Z407" s="206">
        <f t="shared" si="27"/>
        <v>89.406955718994141</v>
      </c>
      <c r="AA407" s="48"/>
    </row>
    <row r="408" spans="23:27">
      <c r="W408" s="48">
        <f t="shared" si="24"/>
        <v>0</v>
      </c>
      <c r="X408" s="206">
        <f t="shared" si="25"/>
        <v>105.73929214477539</v>
      </c>
      <c r="Y408" s="206">
        <f t="shared" si="26"/>
        <v>0</v>
      </c>
      <c r="Z408" s="206">
        <f t="shared" si="27"/>
        <v>89.406955718994141</v>
      </c>
      <c r="AA408" s="48"/>
    </row>
    <row r="409" spans="23:27">
      <c r="W409" s="48">
        <f t="shared" si="24"/>
        <v>0</v>
      </c>
      <c r="X409" s="206">
        <f t="shared" si="25"/>
        <v>105.73929214477539</v>
      </c>
      <c r="Y409" s="206">
        <f t="shared" si="26"/>
        <v>0</v>
      </c>
      <c r="Z409" s="206">
        <f t="shared" si="27"/>
        <v>89.406955718994141</v>
      </c>
      <c r="AA409" s="48"/>
    </row>
    <row r="410" spans="23:27">
      <c r="W410" s="48">
        <f t="shared" si="24"/>
        <v>0</v>
      </c>
      <c r="X410" s="206">
        <f t="shared" si="25"/>
        <v>105.73929214477539</v>
      </c>
      <c r="Y410" s="206">
        <f t="shared" si="26"/>
        <v>0</v>
      </c>
      <c r="Z410" s="206">
        <f t="shared" si="27"/>
        <v>89.406955718994141</v>
      </c>
      <c r="AA410" s="48"/>
    </row>
    <row r="411" spans="23:27">
      <c r="W411" s="48">
        <f t="shared" si="24"/>
        <v>0</v>
      </c>
      <c r="X411" s="206">
        <f t="shared" si="25"/>
        <v>105.73929214477539</v>
      </c>
      <c r="Y411" s="206">
        <f t="shared" si="26"/>
        <v>0</v>
      </c>
      <c r="Z411" s="206">
        <f t="shared" si="27"/>
        <v>89.406955718994141</v>
      </c>
      <c r="AA411" s="48"/>
    </row>
    <row r="412" spans="23:27">
      <c r="W412" s="48">
        <f t="shared" si="24"/>
        <v>0</v>
      </c>
      <c r="X412" s="206">
        <f t="shared" si="25"/>
        <v>105.73929214477539</v>
      </c>
      <c r="Y412" s="206">
        <f t="shared" si="26"/>
        <v>0</v>
      </c>
      <c r="Z412" s="206">
        <f t="shared" si="27"/>
        <v>89.406955718994141</v>
      </c>
      <c r="AA412" s="48"/>
    </row>
    <row r="413" spans="23:27">
      <c r="W413" s="48">
        <f t="shared" si="24"/>
        <v>0</v>
      </c>
      <c r="X413" s="206">
        <f t="shared" si="25"/>
        <v>105.73929214477539</v>
      </c>
      <c r="Y413" s="206">
        <f t="shared" si="26"/>
        <v>0</v>
      </c>
      <c r="Z413" s="206">
        <f t="shared" si="27"/>
        <v>89.406955718994141</v>
      </c>
      <c r="AA413" s="48"/>
    </row>
    <row r="414" spans="23:27">
      <c r="W414" s="48">
        <f t="shared" si="24"/>
        <v>0</v>
      </c>
      <c r="X414" s="206">
        <f t="shared" si="25"/>
        <v>105.73929214477539</v>
      </c>
      <c r="Y414" s="206">
        <f t="shared" si="26"/>
        <v>0</v>
      </c>
      <c r="Z414" s="206">
        <f t="shared" si="27"/>
        <v>89.406955718994141</v>
      </c>
      <c r="AA414" s="48"/>
    </row>
    <row r="415" spans="23:27">
      <c r="W415" s="48">
        <f t="shared" si="24"/>
        <v>0</v>
      </c>
      <c r="X415" s="206">
        <f t="shared" si="25"/>
        <v>105.73929214477539</v>
      </c>
      <c r="Y415" s="206">
        <f t="shared" si="26"/>
        <v>0</v>
      </c>
      <c r="Z415" s="206">
        <f t="shared" si="27"/>
        <v>89.406955718994141</v>
      </c>
      <c r="AA415" s="48"/>
    </row>
    <row r="416" spans="23:27">
      <c r="W416" s="48">
        <f t="shared" si="24"/>
        <v>0</v>
      </c>
      <c r="X416" s="206">
        <f t="shared" si="25"/>
        <v>105.73929214477539</v>
      </c>
      <c r="Y416" s="206">
        <f t="shared" si="26"/>
        <v>0</v>
      </c>
      <c r="Z416" s="206">
        <f t="shared" si="27"/>
        <v>89.406955718994141</v>
      </c>
      <c r="AA416" s="48"/>
    </row>
    <row r="417" spans="23:27">
      <c r="W417" s="48">
        <f t="shared" si="24"/>
        <v>0</v>
      </c>
      <c r="X417" s="206">
        <f t="shared" si="25"/>
        <v>105.73929214477539</v>
      </c>
      <c r="Y417" s="206">
        <f t="shared" si="26"/>
        <v>0</v>
      </c>
      <c r="Z417" s="206">
        <f t="shared" si="27"/>
        <v>89.406955718994141</v>
      </c>
      <c r="AA417" s="48"/>
    </row>
    <row r="418" spans="23:27">
      <c r="W418" s="48">
        <f t="shared" si="24"/>
        <v>0</v>
      </c>
      <c r="X418" s="206">
        <f t="shared" si="25"/>
        <v>105.73929214477539</v>
      </c>
      <c r="Y418" s="206">
        <f t="shared" si="26"/>
        <v>0</v>
      </c>
      <c r="Z418" s="206">
        <f t="shared" si="27"/>
        <v>89.406955718994141</v>
      </c>
      <c r="AA418" s="48"/>
    </row>
    <row r="419" spans="23:27">
      <c r="W419" s="48">
        <f t="shared" si="24"/>
        <v>0</v>
      </c>
      <c r="X419" s="206">
        <f t="shared" si="25"/>
        <v>105.73929214477539</v>
      </c>
      <c r="Y419" s="206">
        <f t="shared" si="26"/>
        <v>0</v>
      </c>
      <c r="Z419" s="206">
        <f t="shared" si="27"/>
        <v>89.406955718994141</v>
      </c>
      <c r="AA419" s="48"/>
    </row>
    <row r="420" spans="23:27">
      <c r="W420" s="48">
        <f t="shared" si="24"/>
        <v>0</v>
      </c>
      <c r="X420" s="206">
        <f t="shared" si="25"/>
        <v>105.73929214477539</v>
      </c>
      <c r="Y420" s="206">
        <f t="shared" si="26"/>
        <v>0</v>
      </c>
      <c r="Z420" s="206">
        <f t="shared" si="27"/>
        <v>89.406955718994141</v>
      </c>
      <c r="AA420" s="48"/>
    </row>
    <row r="421" spans="23:27">
      <c r="W421" s="48">
        <f t="shared" si="24"/>
        <v>0</v>
      </c>
      <c r="X421" s="206">
        <f t="shared" si="25"/>
        <v>105.73929214477539</v>
      </c>
      <c r="Y421" s="206">
        <f t="shared" si="26"/>
        <v>0</v>
      </c>
      <c r="Z421" s="206">
        <f t="shared" si="27"/>
        <v>89.406955718994141</v>
      </c>
      <c r="AA421" s="48"/>
    </row>
    <row r="422" spans="23:27">
      <c r="W422" s="48">
        <f t="shared" si="24"/>
        <v>0</v>
      </c>
      <c r="X422" s="206">
        <f t="shared" si="25"/>
        <v>105.73929214477539</v>
      </c>
      <c r="Y422" s="206">
        <f t="shared" si="26"/>
        <v>0</v>
      </c>
      <c r="Z422" s="206">
        <f t="shared" si="27"/>
        <v>89.406955718994141</v>
      </c>
      <c r="AA422" s="48"/>
    </row>
    <row r="423" spans="23:27">
      <c r="W423" s="48">
        <f t="shared" si="24"/>
        <v>0</v>
      </c>
      <c r="X423" s="206">
        <f t="shared" si="25"/>
        <v>105.73929214477539</v>
      </c>
      <c r="Y423" s="206">
        <f t="shared" si="26"/>
        <v>0</v>
      </c>
      <c r="Z423" s="206">
        <f t="shared" si="27"/>
        <v>89.406955718994141</v>
      </c>
      <c r="AA423" s="48"/>
    </row>
    <row r="424" spans="23:27">
      <c r="W424" s="48">
        <f t="shared" si="24"/>
        <v>0</v>
      </c>
      <c r="X424" s="206">
        <f t="shared" si="25"/>
        <v>105.73929214477539</v>
      </c>
      <c r="Y424" s="206">
        <f t="shared" si="26"/>
        <v>0</v>
      </c>
      <c r="Z424" s="206">
        <f t="shared" si="27"/>
        <v>89.406955718994141</v>
      </c>
      <c r="AA424" s="48"/>
    </row>
    <row r="425" spans="23:27">
      <c r="W425" s="48">
        <f t="shared" si="24"/>
        <v>0</v>
      </c>
      <c r="X425" s="206">
        <f t="shared" si="25"/>
        <v>105.73929214477539</v>
      </c>
      <c r="Y425" s="206">
        <f t="shared" si="26"/>
        <v>0</v>
      </c>
      <c r="Z425" s="206">
        <f t="shared" si="27"/>
        <v>89.406955718994141</v>
      </c>
      <c r="AA425" s="48"/>
    </row>
    <row r="426" spans="23:27">
      <c r="W426" s="48">
        <f t="shared" si="24"/>
        <v>0</v>
      </c>
      <c r="X426" s="206">
        <f t="shared" si="25"/>
        <v>105.73929214477539</v>
      </c>
      <c r="Y426" s="206">
        <f t="shared" si="26"/>
        <v>0</v>
      </c>
      <c r="Z426" s="206">
        <f t="shared" si="27"/>
        <v>89.406955718994141</v>
      </c>
      <c r="AA426" s="48"/>
    </row>
    <row r="427" spans="23:27">
      <c r="W427" s="48">
        <f t="shared" si="24"/>
        <v>0</v>
      </c>
      <c r="X427" s="206">
        <f t="shared" si="25"/>
        <v>105.73929214477539</v>
      </c>
      <c r="Y427" s="206">
        <f t="shared" si="26"/>
        <v>0</v>
      </c>
      <c r="Z427" s="206">
        <f t="shared" si="27"/>
        <v>89.406955718994141</v>
      </c>
      <c r="AA427" s="48"/>
    </row>
    <row r="428" spans="23:27">
      <c r="W428" s="48">
        <f t="shared" si="24"/>
        <v>0</v>
      </c>
      <c r="X428" s="206">
        <f t="shared" si="25"/>
        <v>105.73929214477539</v>
      </c>
      <c r="Y428" s="206">
        <f t="shared" si="26"/>
        <v>0</v>
      </c>
      <c r="Z428" s="206">
        <f t="shared" si="27"/>
        <v>89.406955718994141</v>
      </c>
      <c r="AA428" s="48"/>
    </row>
    <row r="429" spans="23:27">
      <c r="W429" s="48">
        <f t="shared" si="24"/>
        <v>0</v>
      </c>
      <c r="X429" s="206">
        <f t="shared" si="25"/>
        <v>105.73929214477539</v>
      </c>
      <c r="Y429" s="206">
        <f t="shared" si="26"/>
        <v>0</v>
      </c>
      <c r="Z429" s="206">
        <f t="shared" si="27"/>
        <v>89.406955718994141</v>
      </c>
      <c r="AA429" s="48"/>
    </row>
    <row r="430" spans="23:27">
      <c r="W430" s="48">
        <f t="shared" si="24"/>
        <v>0</v>
      </c>
      <c r="X430" s="206">
        <f t="shared" si="25"/>
        <v>105.73929214477539</v>
      </c>
      <c r="Y430" s="206">
        <f t="shared" si="26"/>
        <v>0</v>
      </c>
      <c r="Z430" s="206">
        <f t="shared" si="27"/>
        <v>89.406955718994141</v>
      </c>
      <c r="AA430" s="48"/>
    </row>
    <row r="431" spans="23:27">
      <c r="W431" s="48">
        <f t="shared" si="24"/>
        <v>0</v>
      </c>
      <c r="X431" s="206">
        <f t="shared" si="25"/>
        <v>105.73929214477539</v>
      </c>
      <c r="Y431" s="206">
        <f t="shared" si="26"/>
        <v>0</v>
      </c>
      <c r="Z431" s="206">
        <f t="shared" si="27"/>
        <v>89.406955718994141</v>
      </c>
      <c r="AA431" s="48"/>
    </row>
    <row r="432" spans="23:27">
      <c r="W432" s="48">
        <f t="shared" si="24"/>
        <v>0</v>
      </c>
      <c r="X432" s="206">
        <f t="shared" si="25"/>
        <v>105.73929214477539</v>
      </c>
      <c r="Y432" s="206">
        <f t="shared" si="26"/>
        <v>0</v>
      </c>
      <c r="Z432" s="206">
        <f t="shared" si="27"/>
        <v>89.406955718994141</v>
      </c>
      <c r="AA432" s="48"/>
    </row>
    <row r="433" spans="23:27">
      <c r="W433" s="48">
        <f t="shared" si="24"/>
        <v>0</v>
      </c>
      <c r="X433" s="206">
        <f t="shared" si="25"/>
        <v>105.73929214477539</v>
      </c>
      <c r="Y433" s="206">
        <f t="shared" si="26"/>
        <v>0</v>
      </c>
      <c r="Z433" s="206">
        <f t="shared" si="27"/>
        <v>89.406955718994141</v>
      </c>
      <c r="AA433" s="48"/>
    </row>
    <row r="434" spans="23:27">
      <c r="W434" s="48">
        <f t="shared" si="24"/>
        <v>0</v>
      </c>
      <c r="X434" s="206">
        <f t="shared" si="25"/>
        <v>105.73929214477539</v>
      </c>
      <c r="Y434" s="206">
        <f t="shared" si="26"/>
        <v>0</v>
      </c>
      <c r="Z434" s="206">
        <f t="shared" si="27"/>
        <v>89.406955718994141</v>
      </c>
      <c r="AA434" s="48"/>
    </row>
    <row r="435" spans="23:27">
      <c r="W435" s="48">
        <f t="shared" si="24"/>
        <v>0</v>
      </c>
      <c r="X435" s="206">
        <f t="shared" si="25"/>
        <v>105.73929214477539</v>
      </c>
      <c r="Y435" s="206">
        <f t="shared" si="26"/>
        <v>0</v>
      </c>
      <c r="Z435" s="206">
        <f t="shared" si="27"/>
        <v>89.406955718994141</v>
      </c>
      <c r="AA435" s="48"/>
    </row>
    <row r="436" spans="23:27">
      <c r="W436" s="48">
        <f t="shared" si="24"/>
        <v>0</v>
      </c>
      <c r="X436" s="206">
        <f t="shared" si="25"/>
        <v>105.73929214477539</v>
      </c>
      <c r="Y436" s="206">
        <f t="shared" si="26"/>
        <v>0</v>
      </c>
      <c r="Z436" s="206">
        <f t="shared" si="27"/>
        <v>89.406955718994141</v>
      </c>
      <c r="AA436" s="48"/>
    </row>
    <row r="437" spans="23:27">
      <c r="W437" s="48">
        <f t="shared" si="24"/>
        <v>0</v>
      </c>
      <c r="X437" s="206">
        <f t="shared" si="25"/>
        <v>105.73929214477539</v>
      </c>
      <c r="Y437" s="206">
        <f t="shared" si="26"/>
        <v>0</v>
      </c>
      <c r="Z437" s="206">
        <f t="shared" si="27"/>
        <v>89.406955718994141</v>
      </c>
      <c r="AA437" s="48"/>
    </row>
    <row r="438" spans="23:27">
      <c r="W438" s="48">
        <f t="shared" si="24"/>
        <v>0</v>
      </c>
      <c r="X438" s="206">
        <f t="shared" si="25"/>
        <v>105.73929214477539</v>
      </c>
      <c r="Y438" s="206">
        <f t="shared" si="26"/>
        <v>0</v>
      </c>
      <c r="Z438" s="206">
        <f t="shared" si="27"/>
        <v>89.406955718994141</v>
      </c>
      <c r="AA438" s="48"/>
    </row>
    <row r="439" spans="23:27">
      <c r="W439" s="48">
        <f t="shared" si="24"/>
        <v>0</v>
      </c>
      <c r="X439" s="206">
        <f t="shared" si="25"/>
        <v>105.73929214477539</v>
      </c>
      <c r="Y439" s="206">
        <f t="shared" si="26"/>
        <v>0</v>
      </c>
      <c r="Z439" s="206">
        <f t="shared" si="27"/>
        <v>89.406955718994141</v>
      </c>
      <c r="AA439" s="48"/>
    </row>
    <row r="440" spans="23:27">
      <c r="W440" s="48">
        <f t="shared" si="24"/>
        <v>0</v>
      </c>
      <c r="X440" s="206">
        <f t="shared" si="25"/>
        <v>105.73929214477539</v>
      </c>
      <c r="Y440" s="206">
        <f t="shared" si="26"/>
        <v>0</v>
      </c>
      <c r="Z440" s="206">
        <f t="shared" si="27"/>
        <v>89.406955718994141</v>
      </c>
      <c r="AA440" s="48"/>
    </row>
    <row r="441" spans="23:27">
      <c r="W441" s="48">
        <f t="shared" si="24"/>
        <v>0</v>
      </c>
      <c r="X441" s="206">
        <f t="shared" si="25"/>
        <v>105.73929214477539</v>
      </c>
      <c r="Y441" s="206">
        <f t="shared" si="26"/>
        <v>0</v>
      </c>
      <c r="Z441" s="206">
        <f t="shared" si="27"/>
        <v>89.406955718994141</v>
      </c>
      <c r="AA441" s="48"/>
    </row>
    <row r="442" spans="23:27">
      <c r="W442" s="48">
        <f t="shared" si="24"/>
        <v>0</v>
      </c>
      <c r="X442" s="206">
        <f t="shared" si="25"/>
        <v>105.73929214477539</v>
      </c>
      <c r="Y442" s="206">
        <f t="shared" si="26"/>
        <v>0</v>
      </c>
      <c r="Z442" s="206">
        <f t="shared" si="27"/>
        <v>89.406955718994141</v>
      </c>
      <c r="AA442" s="48"/>
    </row>
    <row r="443" spans="23:27">
      <c r="W443" s="48">
        <f t="shared" si="24"/>
        <v>0</v>
      </c>
      <c r="X443" s="206">
        <f t="shared" si="25"/>
        <v>105.73929214477539</v>
      </c>
      <c r="Y443" s="206">
        <f t="shared" si="26"/>
        <v>0</v>
      </c>
      <c r="Z443" s="206">
        <f t="shared" si="27"/>
        <v>89.406955718994141</v>
      </c>
      <c r="AA443" s="48"/>
    </row>
    <row r="444" spans="23:27">
      <c r="W444" s="48">
        <f t="shared" si="24"/>
        <v>0</v>
      </c>
      <c r="X444" s="206">
        <f t="shared" si="25"/>
        <v>105.73929214477539</v>
      </c>
      <c r="Y444" s="206">
        <f t="shared" si="26"/>
        <v>0</v>
      </c>
      <c r="Z444" s="206">
        <f t="shared" si="27"/>
        <v>89.406955718994141</v>
      </c>
      <c r="AA444" s="48"/>
    </row>
    <row r="445" spans="23:27">
      <c r="W445" s="48">
        <f t="shared" si="24"/>
        <v>0</v>
      </c>
      <c r="X445" s="206">
        <f t="shared" si="25"/>
        <v>105.73929214477539</v>
      </c>
      <c r="Y445" s="206">
        <f t="shared" si="26"/>
        <v>0</v>
      </c>
      <c r="Z445" s="206">
        <f t="shared" si="27"/>
        <v>89.406955718994141</v>
      </c>
      <c r="AA445" s="48"/>
    </row>
    <row r="446" spans="23:27">
      <c r="W446" s="48">
        <f t="shared" si="24"/>
        <v>0</v>
      </c>
      <c r="X446" s="206">
        <f t="shared" si="25"/>
        <v>105.73929214477539</v>
      </c>
      <c r="Y446" s="206">
        <f t="shared" si="26"/>
        <v>0</v>
      </c>
      <c r="Z446" s="206">
        <f t="shared" si="27"/>
        <v>89.406955718994141</v>
      </c>
      <c r="AA446" s="48"/>
    </row>
    <row r="447" spans="23:27">
      <c r="W447" s="48">
        <f t="shared" si="24"/>
        <v>0</v>
      </c>
      <c r="X447" s="206">
        <f t="shared" si="25"/>
        <v>105.73929214477539</v>
      </c>
      <c r="Y447" s="206">
        <f t="shared" si="26"/>
        <v>0</v>
      </c>
      <c r="Z447" s="206">
        <f t="shared" si="27"/>
        <v>89.406955718994141</v>
      </c>
      <c r="AA447" s="48"/>
    </row>
    <row r="448" spans="23:27">
      <c r="W448" s="48">
        <f t="shared" si="24"/>
        <v>0</v>
      </c>
      <c r="X448" s="206">
        <f t="shared" si="25"/>
        <v>105.73929214477539</v>
      </c>
      <c r="Y448" s="206">
        <f t="shared" si="26"/>
        <v>0</v>
      </c>
      <c r="Z448" s="206">
        <f t="shared" si="27"/>
        <v>89.406955718994141</v>
      </c>
      <c r="AA448" s="48"/>
    </row>
    <row r="449" spans="23:27">
      <c r="W449" s="48">
        <f t="shared" si="24"/>
        <v>0</v>
      </c>
      <c r="X449" s="206">
        <f t="shared" si="25"/>
        <v>105.73929214477539</v>
      </c>
      <c r="Y449" s="206">
        <f t="shared" si="26"/>
        <v>0</v>
      </c>
      <c r="Z449" s="206">
        <f t="shared" si="27"/>
        <v>89.406955718994141</v>
      </c>
      <c r="AA449" s="48"/>
    </row>
    <row r="450" spans="23:27">
      <c r="W450" s="48">
        <f t="shared" si="24"/>
        <v>0</v>
      </c>
      <c r="X450" s="206">
        <f t="shared" si="25"/>
        <v>105.73929214477539</v>
      </c>
      <c r="Y450" s="206">
        <f t="shared" si="26"/>
        <v>0</v>
      </c>
      <c r="Z450" s="206">
        <f t="shared" si="27"/>
        <v>89.406955718994141</v>
      </c>
      <c r="AA450" s="48"/>
    </row>
    <row r="451" spans="23:27">
      <c r="W451" s="48">
        <f t="shared" si="24"/>
        <v>0</v>
      </c>
      <c r="X451" s="206">
        <f t="shared" si="25"/>
        <v>105.73929214477539</v>
      </c>
      <c r="Y451" s="206">
        <f t="shared" si="26"/>
        <v>0</v>
      </c>
      <c r="Z451" s="206">
        <f t="shared" si="27"/>
        <v>89.406955718994141</v>
      </c>
      <c r="AA451" s="48"/>
    </row>
    <row r="452" spans="23:27">
      <c r="W452" s="48">
        <f t="shared" si="24"/>
        <v>0</v>
      </c>
      <c r="X452" s="206">
        <f t="shared" si="25"/>
        <v>105.73929214477539</v>
      </c>
      <c r="Y452" s="206">
        <f t="shared" si="26"/>
        <v>0</v>
      </c>
      <c r="Z452" s="206">
        <f t="shared" si="27"/>
        <v>89.406955718994141</v>
      </c>
      <c r="AA452" s="48"/>
    </row>
    <row r="453" spans="23:27">
      <c r="W453" s="48">
        <f t="shared" si="24"/>
        <v>0</v>
      </c>
      <c r="X453" s="206">
        <f t="shared" si="25"/>
        <v>105.73929214477539</v>
      </c>
      <c r="Y453" s="206">
        <f t="shared" si="26"/>
        <v>0</v>
      </c>
      <c r="Z453" s="206">
        <f t="shared" si="27"/>
        <v>89.406955718994141</v>
      </c>
      <c r="AA453" s="48"/>
    </row>
    <row r="454" spans="23:27">
      <c r="W454" s="48">
        <f t="shared" si="24"/>
        <v>0</v>
      </c>
      <c r="X454" s="206">
        <f t="shared" si="25"/>
        <v>105.73929214477539</v>
      </c>
      <c r="Y454" s="206">
        <f t="shared" si="26"/>
        <v>0</v>
      </c>
      <c r="Z454" s="206">
        <f t="shared" si="27"/>
        <v>89.406955718994141</v>
      </c>
      <c r="AA454" s="48"/>
    </row>
    <row r="455" spans="23:27">
      <c r="W455" s="48">
        <f t="shared" si="24"/>
        <v>0</v>
      </c>
      <c r="X455" s="206">
        <f t="shared" si="25"/>
        <v>105.73929214477539</v>
      </c>
      <c r="Y455" s="206">
        <f t="shared" si="26"/>
        <v>0</v>
      </c>
      <c r="Z455" s="206">
        <f t="shared" si="27"/>
        <v>89.406955718994141</v>
      </c>
      <c r="AA455" s="48"/>
    </row>
    <row r="456" spans="23:27">
      <c r="W456" s="48">
        <f t="shared" si="24"/>
        <v>0</v>
      </c>
      <c r="X456" s="206">
        <f t="shared" si="25"/>
        <v>105.73929214477539</v>
      </c>
      <c r="Y456" s="206">
        <f t="shared" si="26"/>
        <v>0</v>
      </c>
      <c r="Z456" s="206">
        <f t="shared" si="27"/>
        <v>89.406955718994141</v>
      </c>
      <c r="AA456" s="48"/>
    </row>
    <row r="457" spans="23:27">
      <c r="W457" s="48">
        <f t="shared" si="24"/>
        <v>0</v>
      </c>
      <c r="X457" s="206">
        <f t="shared" si="25"/>
        <v>105.73929214477539</v>
      </c>
      <c r="Y457" s="206">
        <f t="shared" si="26"/>
        <v>0</v>
      </c>
      <c r="Z457" s="206">
        <f t="shared" si="27"/>
        <v>89.406955718994141</v>
      </c>
      <c r="AA457" s="48"/>
    </row>
    <row r="458" spans="23:27">
      <c r="W458" s="48">
        <f t="shared" si="24"/>
        <v>0</v>
      </c>
      <c r="X458" s="206">
        <f t="shared" si="25"/>
        <v>105.73929214477539</v>
      </c>
      <c r="Y458" s="206">
        <f t="shared" si="26"/>
        <v>0</v>
      </c>
      <c r="Z458" s="206">
        <f t="shared" si="27"/>
        <v>89.406955718994141</v>
      </c>
      <c r="AA458" s="48"/>
    </row>
    <row r="459" spans="23:27">
      <c r="W459" s="48">
        <f t="shared" si="24"/>
        <v>0</v>
      </c>
      <c r="X459" s="206">
        <f t="shared" si="25"/>
        <v>105.73929214477539</v>
      </c>
      <c r="Y459" s="206">
        <f t="shared" si="26"/>
        <v>0</v>
      </c>
      <c r="Z459" s="206">
        <f t="shared" si="27"/>
        <v>89.406955718994141</v>
      </c>
      <c r="AA459" s="48"/>
    </row>
    <row r="460" spans="23:27">
      <c r="W460" s="48">
        <f t="shared" si="24"/>
        <v>0</v>
      </c>
      <c r="X460" s="206">
        <f t="shared" si="25"/>
        <v>105.73929214477539</v>
      </c>
      <c r="Y460" s="206">
        <f t="shared" si="26"/>
        <v>0</v>
      </c>
      <c r="Z460" s="206">
        <f t="shared" si="27"/>
        <v>89.406955718994141</v>
      </c>
      <c r="AA460" s="48"/>
    </row>
    <row r="461" spans="23:27">
      <c r="W461" s="48">
        <f t="shared" si="24"/>
        <v>0</v>
      </c>
      <c r="X461" s="206">
        <f t="shared" si="25"/>
        <v>105.73929214477539</v>
      </c>
      <c r="Y461" s="206">
        <f t="shared" si="26"/>
        <v>0</v>
      </c>
      <c r="Z461" s="206">
        <f t="shared" si="27"/>
        <v>89.406955718994141</v>
      </c>
      <c r="AA461" s="48"/>
    </row>
    <row r="462" spans="23:27">
      <c r="W462" s="48">
        <f t="shared" ref="W462:W525" si="28">B462</f>
        <v>0</v>
      </c>
      <c r="X462" s="206">
        <f t="shared" ref="X462:X525" si="29">I$26</f>
        <v>105.73929214477539</v>
      </c>
      <c r="Y462" s="206">
        <f t="shared" ref="Y462:Y525" si="30">C462</f>
        <v>0</v>
      </c>
      <c r="Z462" s="206">
        <f t="shared" ref="Z462:Z525" si="31">I$23</f>
        <v>89.406955718994141</v>
      </c>
      <c r="AA462" s="48"/>
    </row>
    <row r="463" spans="23:27">
      <c r="W463" s="48">
        <f t="shared" si="28"/>
        <v>0</v>
      </c>
      <c r="X463" s="206">
        <f t="shared" si="29"/>
        <v>105.73929214477539</v>
      </c>
      <c r="Y463" s="206">
        <f t="shared" si="30"/>
        <v>0</v>
      </c>
      <c r="Z463" s="206">
        <f t="shared" si="31"/>
        <v>89.406955718994141</v>
      </c>
      <c r="AA463" s="48"/>
    </row>
    <row r="464" spans="23:27">
      <c r="W464" s="48">
        <f t="shared" si="28"/>
        <v>0</v>
      </c>
      <c r="X464" s="206">
        <f t="shared" si="29"/>
        <v>105.73929214477539</v>
      </c>
      <c r="Y464" s="206">
        <f t="shared" si="30"/>
        <v>0</v>
      </c>
      <c r="Z464" s="206">
        <f t="shared" si="31"/>
        <v>89.406955718994141</v>
      </c>
      <c r="AA464" s="48"/>
    </row>
    <row r="465" spans="23:27">
      <c r="W465" s="48">
        <f t="shared" si="28"/>
        <v>0</v>
      </c>
      <c r="X465" s="206">
        <f t="shared" si="29"/>
        <v>105.73929214477539</v>
      </c>
      <c r="Y465" s="206">
        <f t="shared" si="30"/>
        <v>0</v>
      </c>
      <c r="Z465" s="206">
        <f t="shared" si="31"/>
        <v>89.406955718994141</v>
      </c>
      <c r="AA465" s="48"/>
    </row>
    <row r="466" spans="23:27">
      <c r="W466" s="48">
        <f t="shared" si="28"/>
        <v>0</v>
      </c>
      <c r="X466" s="206">
        <f t="shared" si="29"/>
        <v>105.73929214477539</v>
      </c>
      <c r="Y466" s="206">
        <f t="shared" si="30"/>
        <v>0</v>
      </c>
      <c r="Z466" s="206">
        <f t="shared" si="31"/>
        <v>89.406955718994141</v>
      </c>
      <c r="AA466" s="48"/>
    </row>
    <row r="467" spans="23:27">
      <c r="W467" s="48">
        <f t="shared" si="28"/>
        <v>0</v>
      </c>
      <c r="X467" s="206">
        <f t="shared" si="29"/>
        <v>105.73929214477539</v>
      </c>
      <c r="Y467" s="206">
        <f t="shared" si="30"/>
        <v>0</v>
      </c>
      <c r="Z467" s="206">
        <f t="shared" si="31"/>
        <v>89.406955718994141</v>
      </c>
      <c r="AA467" s="48"/>
    </row>
    <row r="468" spans="23:27">
      <c r="W468" s="48">
        <f t="shared" si="28"/>
        <v>0</v>
      </c>
      <c r="X468" s="206">
        <f t="shared" si="29"/>
        <v>105.73929214477539</v>
      </c>
      <c r="Y468" s="206">
        <f t="shared" si="30"/>
        <v>0</v>
      </c>
      <c r="Z468" s="206">
        <f t="shared" si="31"/>
        <v>89.406955718994141</v>
      </c>
      <c r="AA468" s="48"/>
    </row>
    <row r="469" spans="23:27">
      <c r="W469" s="48">
        <f t="shared" si="28"/>
        <v>0</v>
      </c>
      <c r="X469" s="206">
        <f t="shared" si="29"/>
        <v>105.73929214477539</v>
      </c>
      <c r="Y469" s="206">
        <f t="shared" si="30"/>
        <v>0</v>
      </c>
      <c r="Z469" s="206">
        <f t="shared" si="31"/>
        <v>89.406955718994141</v>
      </c>
      <c r="AA469" s="48"/>
    </row>
    <row r="470" spans="23:27">
      <c r="W470" s="48">
        <f t="shared" si="28"/>
        <v>0</v>
      </c>
      <c r="X470" s="206">
        <f t="shared" si="29"/>
        <v>105.73929214477539</v>
      </c>
      <c r="Y470" s="206">
        <f t="shared" si="30"/>
        <v>0</v>
      </c>
      <c r="Z470" s="206">
        <f t="shared" si="31"/>
        <v>89.406955718994141</v>
      </c>
      <c r="AA470" s="48"/>
    </row>
    <row r="471" spans="23:27">
      <c r="W471" s="48">
        <f t="shared" si="28"/>
        <v>0</v>
      </c>
      <c r="X471" s="206">
        <f t="shared" si="29"/>
        <v>105.73929214477539</v>
      </c>
      <c r="Y471" s="206">
        <f t="shared" si="30"/>
        <v>0</v>
      </c>
      <c r="Z471" s="206">
        <f t="shared" si="31"/>
        <v>89.406955718994141</v>
      </c>
      <c r="AA471" s="48"/>
    </row>
    <row r="472" spans="23:27">
      <c r="W472" s="48">
        <f t="shared" si="28"/>
        <v>0</v>
      </c>
      <c r="X472" s="206">
        <f t="shared" si="29"/>
        <v>105.73929214477539</v>
      </c>
      <c r="Y472" s="206">
        <f t="shared" si="30"/>
        <v>0</v>
      </c>
      <c r="Z472" s="206">
        <f t="shared" si="31"/>
        <v>89.406955718994141</v>
      </c>
      <c r="AA472" s="48"/>
    </row>
    <row r="473" spans="23:27">
      <c r="W473" s="48">
        <f t="shared" si="28"/>
        <v>0</v>
      </c>
      <c r="X473" s="206">
        <f t="shared" si="29"/>
        <v>105.73929214477539</v>
      </c>
      <c r="Y473" s="206">
        <f t="shared" si="30"/>
        <v>0</v>
      </c>
      <c r="Z473" s="206">
        <f t="shared" si="31"/>
        <v>89.406955718994141</v>
      </c>
      <c r="AA473" s="48"/>
    </row>
    <row r="474" spans="23:27">
      <c r="W474" s="48">
        <f t="shared" si="28"/>
        <v>0</v>
      </c>
      <c r="X474" s="206">
        <f t="shared" si="29"/>
        <v>105.73929214477539</v>
      </c>
      <c r="Y474" s="206">
        <f t="shared" si="30"/>
        <v>0</v>
      </c>
      <c r="Z474" s="206">
        <f t="shared" si="31"/>
        <v>89.406955718994141</v>
      </c>
      <c r="AA474" s="48"/>
    </row>
    <row r="475" spans="23:27">
      <c r="W475" s="48">
        <f t="shared" si="28"/>
        <v>0</v>
      </c>
      <c r="X475" s="206">
        <f t="shared" si="29"/>
        <v>105.73929214477539</v>
      </c>
      <c r="Y475" s="206">
        <f t="shared" si="30"/>
        <v>0</v>
      </c>
      <c r="Z475" s="206">
        <f t="shared" si="31"/>
        <v>89.406955718994141</v>
      </c>
      <c r="AA475" s="48"/>
    </row>
    <row r="476" spans="23:27">
      <c r="W476" s="48">
        <f t="shared" si="28"/>
        <v>0</v>
      </c>
      <c r="X476" s="206">
        <f t="shared" si="29"/>
        <v>105.73929214477539</v>
      </c>
      <c r="Y476" s="206">
        <f t="shared" si="30"/>
        <v>0</v>
      </c>
      <c r="Z476" s="206">
        <f t="shared" si="31"/>
        <v>89.406955718994141</v>
      </c>
      <c r="AA476" s="48"/>
    </row>
    <row r="477" spans="23:27">
      <c r="W477" s="48">
        <f t="shared" si="28"/>
        <v>0</v>
      </c>
      <c r="X477" s="206">
        <f t="shared" si="29"/>
        <v>105.73929214477539</v>
      </c>
      <c r="Y477" s="206">
        <f t="shared" si="30"/>
        <v>0</v>
      </c>
      <c r="Z477" s="206">
        <f t="shared" si="31"/>
        <v>89.406955718994141</v>
      </c>
      <c r="AA477" s="48"/>
    </row>
    <row r="478" spans="23:27">
      <c r="W478" s="48">
        <f t="shared" si="28"/>
        <v>0</v>
      </c>
      <c r="X478" s="206">
        <f t="shared" si="29"/>
        <v>105.73929214477539</v>
      </c>
      <c r="Y478" s="206">
        <f t="shared" si="30"/>
        <v>0</v>
      </c>
      <c r="Z478" s="206">
        <f t="shared" si="31"/>
        <v>89.406955718994141</v>
      </c>
      <c r="AA478" s="48"/>
    </row>
    <row r="479" spans="23:27">
      <c r="W479" s="48">
        <f t="shared" si="28"/>
        <v>0</v>
      </c>
      <c r="X479" s="206">
        <f t="shared" si="29"/>
        <v>105.73929214477539</v>
      </c>
      <c r="Y479" s="206">
        <f t="shared" si="30"/>
        <v>0</v>
      </c>
      <c r="Z479" s="206">
        <f t="shared" si="31"/>
        <v>89.406955718994141</v>
      </c>
      <c r="AA479" s="48"/>
    </row>
    <row r="480" spans="23:27">
      <c r="W480" s="48">
        <f t="shared" si="28"/>
        <v>0</v>
      </c>
      <c r="X480" s="206">
        <f t="shared" si="29"/>
        <v>105.73929214477539</v>
      </c>
      <c r="Y480" s="206">
        <f t="shared" si="30"/>
        <v>0</v>
      </c>
      <c r="Z480" s="206">
        <f t="shared" si="31"/>
        <v>89.406955718994141</v>
      </c>
      <c r="AA480" s="48"/>
    </row>
    <row r="481" spans="23:27">
      <c r="W481" s="48">
        <f t="shared" si="28"/>
        <v>0</v>
      </c>
      <c r="X481" s="206">
        <f t="shared" si="29"/>
        <v>105.73929214477539</v>
      </c>
      <c r="Y481" s="206">
        <f t="shared" si="30"/>
        <v>0</v>
      </c>
      <c r="Z481" s="206">
        <f t="shared" si="31"/>
        <v>89.406955718994141</v>
      </c>
      <c r="AA481" s="48"/>
    </row>
    <row r="482" spans="23:27">
      <c r="W482" s="48">
        <f t="shared" si="28"/>
        <v>0</v>
      </c>
      <c r="X482" s="206">
        <f t="shared" si="29"/>
        <v>105.73929214477539</v>
      </c>
      <c r="Y482" s="206">
        <f t="shared" si="30"/>
        <v>0</v>
      </c>
      <c r="Z482" s="206">
        <f t="shared" si="31"/>
        <v>89.406955718994141</v>
      </c>
      <c r="AA482" s="48"/>
    </row>
    <row r="483" spans="23:27">
      <c r="W483" s="48">
        <f t="shared" si="28"/>
        <v>0</v>
      </c>
      <c r="X483" s="206">
        <f t="shared" si="29"/>
        <v>105.73929214477539</v>
      </c>
      <c r="Y483" s="206">
        <f t="shared" si="30"/>
        <v>0</v>
      </c>
      <c r="Z483" s="206">
        <f t="shared" si="31"/>
        <v>89.406955718994141</v>
      </c>
      <c r="AA483" s="48"/>
    </row>
    <row r="484" spans="23:27">
      <c r="W484" s="48">
        <f t="shared" si="28"/>
        <v>0</v>
      </c>
      <c r="X484" s="206">
        <f t="shared" si="29"/>
        <v>105.73929214477539</v>
      </c>
      <c r="Y484" s="206">
        <f t="shared" si="30"/>
        <v>0</v>
      </c>
      <c r="Z484" s="206">
        <f t="shared" si="31"/>
        <v>89.406955718994141</v>
      </c>
      <c r="AA484" s="48"/>
    </row>
    <row r="485" spans="23:27">
      <c r="W485" s="48">
        <f t="shared" si="28"/>
        <v>0</v>
      </c>
      <c r="X485" s="206">
        <f t="shared" si="29"/>
        <v>105.73929214477539</v>
      </c>
      <c r="Y485" s="206">
        <f t="shared" si="30"/>
        <v>0</v>
      </c>
      <c r="Z485" s="206">
        <f t="shared" si="31"/>
        <v>89.406955718994141</v>
      </c>
      <c r="AA485" s="48"/>
    </row>
    <row r="486" spans="23:27">
      <c r="W486" s="48">
        <f t="shared" si="28"/>
        <v>0</v>
      </c>
      <c r="X486" s="206">
        <f t="shared" si="29"/>
        <v>105.73929214477539</v>
      </c>
      <c r="Y486" s="206">
        <f t="shared" si="30"/>
        <v>0</v>
      </c>
      <c r="Z486" s="206">
        <f t="shared" si="31"/>
        <v>89.406955718994141</v>
      </c>
      <c r="AA486" s="48"/>
    </row>
    <row r="487" spans="23:27">
      <c r="W487" s="48">
        <f t="shared" si="28"/>
        <v>0</v>
      </c>
      <c r="X487" s="206">
        <f t="shared" si="29"/>
        <v>105.73929214477539</v>
      </c>
      <c r="Y487" s="206">
        <f t="shared" si="30"/>
        <v>0</v>
      </c>
      <c r="Z487" s="206">
        <f t="shared" si="31"/>
        <v>89.406955718994141</v>
      </c>
      <c r="AA487" s="48"/>
    </row>
    <row r="488" spans="23:27">
      <c r="W488" s="48">
        <f t="shared" si="28"/>
        <v>0</v>
      </c>
      <c r="X488" s="206">
        <f t="shared" si="29"/>
        <v>105.73929214477539</v>
      </c>
      <c r="Y488" s="206">
        <f t="shared" si="30"/>
        <v>0</v>
      </c>
      <c r="Z488" s="206">
        <f t="shared" si="31"/>
        <v>89.406955718994141</v>
      </c>
      <c r="AA488" s="48"/>
    </row>
    <row r="489" spans="23:27">
      <c r="W489" s="48">
        <f t="shared" si="28"/>
        <v>0</v>
      </c>
      <c r="X489" s="206">
        <f t="shared" si="29"/>
        <v>105.73929214477539</v>
      </c>
      <c r="Y489" s="206">
        <f t="shared" si="30"/>
        <v>0</v>
      </c>
      <c r="Z489" s="206">
        <f t="shared" si="31"/>
        <v>89.406955718994141</v>
      </c>
      <c r="AA489" s="48"/>
    </row>
    <row r="490" spans="23:27">
      <c r="W490" s="48">
        <f t="shared" si="28"/>
        <v>0</v>
      </c>
      <c r="X490" s="206">
        <f t="shared" si="29"/>
        <v>105.73929214477539</v>
      </c>
      <c r="Y490" s="206">
        <f t="shared" si="30"/>
        <v>0</v>
      </c>
      <c r="Z490" s="206">
        <f t="shared" si="31"/>
        <v>89.406955718994141</v>
      </c>
      <c r="AA490" s="48"/>
    </row>
    <row r="491" spans="23:27">
      <c r="W491" s="48">
        <f t="shared" si="28"/>
        <v>0</v>
      </c>
      <c r="X491" s="206">
        <f t="shared" si="29"/>
        <v>105.73929214477539</v>
      </c>
      <c r="Y491" s="206">
        <f t="shared" si="30"/>
        <v>0</v>
      </c>
      <c r="Z491" s="206">
        <f t="shared" si="31"/>
        <v>89.406955718994141</v>
      </c>
      <c r="AA491" s="48"/>
    </row>
    <row r="492" spans="23:27">
      <c r="W492" s="48">
        <f t="shared" si="28"/>
        <v>0</v>
      </c>
      <c r="X492" s="206">
        <f t="shared" si="29"/>
        <v>105.73929214477539</v>
      </c>
      <c r="Y492" s="206">
        <f t="shared" si="30"/>
        <v>0</v>
      </c>
      <c r="Z492" s="206">
        <f t="shared" si="31"/>
        <v>89.406955718994141</v>
      </c>
      <c r="AA492" s="48"/>
    </row>
    <row r="493" spans="23:27">
      <c r="W493" s="48">
        <f t="shared" si="28"/>
        <v>0</v>
      </c>
      <c r="X493" s="206">
        <f t="shared" si="29"/>
        <v>105.73929214477539</v>
      </c>
      <c r="Y493" s="206">
        <f t="shared" si="30"/>
        <v>0</v>
      </c>
      <c r="Z493" s="206">
        <f t="shared" si="31"/>
        <v>89.406955718994141</v>
      </c>
      <c r="AA493" s="48"/>
    </row>
    <row r="494" spans="23:27">
      <c r="W494" s="48">
        <f t="shared" si="28"/>
        <v>0</v>
      </c>
      <c r="X494" s="206">
        <f t="shared" si="29"/>
        <v>105.73929214477539</v>
      </c>
      <c r="Y494" s="206">
        <f t="shared" si="30"/>
        <v>0</v>
      </c>
      <c r="Z494" s="206">
        <f t="shared" si="31"/>
        <v>89.406955718994141</v>
      </c>
      <c r="AA494" s="48"/>
    </row>
    <row r="495" spans="23:27">
      <c r="W495" s="48">
        <f t="shared" si="28"/>
        <v>0</v>
      </c>
      <c r="X495" s="206">
        <f t="shared" si="29"/>
        <v>105.73929214477539</v>
      </c>
      <c r="Y495" s="206">
        <f t="shared" si="30"/>
        <v>0</v>
      </c>
      <c r="Z495" s="206">
        <f t="shared" si="31"/>
        <v>89.406955718994141</v>
      </c>
      <c r="AA495" s="48"/>
    </row>
    <row r="496" spans="23:27">
      <c r="W496" s="48">
        <f t="shared" si="28"/>
        <v>0</v>
      </c>
      <c r="X496" s="206">
        <f t="shared" si="29"/>
        <v>105.73929214477539</v>
      </c>
      <c r="Y496" s="206">
        <f t="shared" si="30"/>
        <v>0</v>
      </c>
      <c r="Z496" s="206">
        <f t="shared" si="31"/>
        <v>89.406955718994141</v>
      </c>
      <c r="AA496" s="48"/>
    </row>
    <row r="497" spans="23:27">
      <c r="W497" s="48">
        <f t="shared" si="28"/>
        <v>0</v>
      </c>
      <c r="X497" s="206">
        <f t="shared" si="29"/>
        <v>105.73929214477539</v>
      </c>
      <c r="Y497" s="206">
        <f t="shared" si="30"/>
        <v>0</v>
      </c>
      <c r="Z497" s="206">
        <f t="shared" si="31"/>
        <v>89.406955718994141</v>
      </c>
      <c r="AA497" s="48"/>
    </row>
    <row r="498" spans="23:27">
      <c r="W498" s="48">
        <f t="shared" si="28"/>
        <v>0</v>
      </c>
      <c r="X498" s="206">
        <f t="shared" si="29"/>
        <v>105.73929214477539</v>
      </c>
      <c r="Y498" s="206">
        <f t="shared" si="30"/>
        <v>0</v>
      </c>
      <c r="Z498" s="206">
        <f t="shared" si="31"/>
        <v>89.406955718994141</v>
      </c>
      <c r="AA498" s="48"/>
    </row>
    <row r="499" spans="23:27">
      <c r="W499" s="48">
        <f t="shared" si="28"/>
        <v>0</v>
      </c>
      <c r="X499" s="206">
        <f t="shared" si="29"/>
        <v>105.73929214477539</v>
      </c>
      <c r="Y499" s="206">
        <f t="shared" si="30"/>
        <v>0</v>
      </c>
      <c r="Z499" s="206">
        <f t="shared" si="31"/>
        <v>89.406955718994141</v>
      </c>
      <c r="AA499" s="48"/>
    </row>
    <row r="500" spans="23:27">
      <c r="W500" s="48">
        <f t="shared" si="28"/>
        <v>0</v>
      </c>
      <c r="X500" s="206">
        <f t="shared" si="29"/>
        <v>105.73929214477539</v>
      </c>
      <c r="Y500" s="206">
        <f t="shared" si="30"/>
        <v>0</v>
      </c>
      <c r="Z500" s="206">
        <f t="shared" si="31"/>
        <v>89.406955718994141</v>
      </c>
      <c r="AA500" s="48"/>
    </row>
    <row r="501" spans="23:27">
      <c r="W501" s="48">
        <f t="shared" si="28"/>
        <v>0</v>
      </c>
      <c r="X501" s="206">
        <f t="shared" si="29"/>
        <v>105.73929214477539</v>
      </c>
      <c r="Y501" s="206">
        <f t="shared" si="30"/>
        <v>0</v>
      </c>
      <c r="Z501" s="206">
        <f t="shared" si="31"/>
        <v>89.406955718994141</v>
      </c>
      <c r="AA501" s="48"/>
    </row>
    <row r="502" spans="23:27">
      <c r="W502" s="48">
        <f t="shared" si="28"/>
        <v>0</v>
      </c>
      <c r="X502" s="206">
        <f t="shared" si="29"/>
        <v>105.73929214477539</v>
      </c>
      <c r="Y502" s="206">
        <f t="shared" si="30"/>
        <v>0</v>
      </c>
      <c r="Z502" s="206">
        <f t="shared" si="31"/>
        <v>89.406955718994141</v>
      </c>
      <c r="AA502" s="48"/>
    </row>
    <row r="503" spans="23:27">
      <c r="W503" s="48">
        <f t="shared" si="28"/>
        <v>0</v>
      </c>
      <c r="X503" s="206">
        <f t="shared" si="29"/>
        <v>105.73929214477539</v>
      </c>
      <c r="Y503" s="206">
        <f t="shared" si="30"/>
        <v>0</v>
      </c>
      <c r="Z503" s="206">
        <f t="shared" si="31"/>
        <v>89.406955718994141</v>
      </c>
      <c r="AA503" s="48"/>
    </row>
    <row r="504" spans="23:27">
      <c r="W504" s="48">
        <f t="shared" si="28"/>
        <v>0</v>
      </c>
      <c r="X504" s="206">
        <f t="shared" si="29"/>
        <v>105.73929214477539</v>
      </c>
      <c r="Y504" s="206">
        <f t="shared" si="30"/>
        <v>0</v>
      </c>
      <c r="Z504" s="206">
        <f t="shared" si="31"/>
        <v>89.406955718994141</v>
      </c>
      <c r="AA504" s="48"/>
    </row>
    <row r="505" spans="23:27">
      <c r="W505" s="48">
        <f t="shared" si="28"/>
        <v>0</v>
      </c>
      <c r="X505" s="206">
        <f t="shared" si="29"/>
        <v>105.73929214477539</v>
      </c>
      <c r="Y505" s="206">
        <f t="shared" si="30"/>
        <v>0</v>
      </c>
      <c r="Z505" s="206">
        <f t="shared" si="31"/>
        <v>89.406955718994141</v>
      </c>
      <c r="AA505" s="48"/>
    </row>
    <row r="506" spans="23:27">
      <c r="W506" s="48">
        <f t="shared" si="28"/>
        <v>0</v>
      </c>
      <c r="X506" s="206">
        <f t="shared" si="29"/>
        <v>105.73929214477539</v>
      </c>
      <c r="Y506" s="206">
        <f t="shared" si="30"/>
        <v>0</v>
      </c>
      <c r="Z506" s="206">
        <f t="shared" si="31"/>
        <v>89.406955718994141</v>
      </c>
      <c r="AA506" s="48"/>
    </row>
    <row r="507" spans="23:27">
      <c r="W507" s="48">
        <f t="shared" si="28"/>
        <v>0</v>
      </c>
      <c r="X507" s="206">
        <f t="shared" si="29"/>
        <v>105.73929214477539</v>
      </c>
      <c r="Y507" s="206">
        <f t="shared" si="30"/>
        <v>0</v>
      </c>
      <c r="Z507" s="206">
        <f t="shared" si="31"/>
        <v>89.406955718994141</v>
      </c>
      <c r="AA507" s="48"/>
    </row>
    <row r="508" spans="23:27">
      <c r="W508" s="48">
        <f t="shared" si="28"/>
        <v>0</v>
      </c>
      <c r="X508" s="206">
        <f t="shared" si="29"/>
        <v>105.73929214477539</v>
      </c>
      <c r="Y508" s="206">
        <f t="shared" si="30"/>
        <v>0</v>
      </c>
      <c r="Z508" s="206">
        <f t="shared" si="31"/>
        <v>89.406955718994141</v>
      </c>
      <c r="AA508" s="48"/>
    </row>
    <row r="509" spans="23:27">
      <c r="W509" s="48">
        <f t="shared" si="28"/>
        <v>0</v>
      </c>
      <c r="X509" s="206">
        <f t="shared" si="29"/>
        <v>105.73929214477539</v>
      </c>
      <c r="Y509" s="206">
        <f t="shared" si="30"/>
        <v>0</v>
      </c>
      <c r="Z509" s="206">
        <f t="shared" si="31"/>
        <v>89.406955718994141</v>
      </c>
      <c r="AA509" s="48"/>
    </row>
    <row r="510" spans="23:27">
      <c r="W510" s="48">
        <f t="shared" si="28"/>
        <v>0</v>
      </c>
      <c r="X510" s="206">
        <f t="shared" si="29"/>
        <v>105.73929214477539</v>
      </c>
      <c r="Y510" s="206">
        <f t="shared" si="30"/>
        <v>0</v>
      </c>
      <c r="Z510" s="206">
        <f t="shared" si="31"/>
        <v>89.406955718994141</v>
      </c>
      <c r="AA510" s="48"/>
    </row>
    <row r="511" spans="23:27">
      <c r="W511" s="48">
        <f t="shared" si="28"/>
        <v>0</v>
      </c>
      <c r="X511" s="206">
        <f t="shared" si="29"/>
        <v>105.73929214477539</v>
      </c>
      <c r="Y511" s="206">
        <f t="shared" si="30"/>
        <v>0</v>
      </c>
      <c r="Z511" s="206">
        <f t="shared" si="31"/>
        <v>89.406955718994141</v>
      </c>
      <c r="AA511" s="48"/>
    </row>
    <row r="512" spans="23:27">
      <c r="W512" s="48">
        <f t="shared" si="28"/>
        <v>0</v>
      </c>
      <c r="X512" s="206">
        <f t="shared" si="29"/>
        <v>105.73929214477539</v>
      </c>
      <c r="Y512" s="206">
        <f t="shared" si="30"/>
        <v>0</v>
      </c>
      <c r="Z512" s="206">
        <f t="shared" si="31"/>
        <v>89.406955718994141</v>
      </c>
      <c r="AA512" s="48"/>
    </row>
    <row r="513" spans="23:27">
      <c r="W513" s="48">
        <f t="shared" si="28"/>
        <v>0</v>
      </c>
      <c r="X513" s="206">
        <f t="shared" si="29"/>
        <v>105.73929214477539</v>
      </c>
      <c r="Y513" s="206">
        <f t="shared" si="30"/>
        <v>0</v>
      </c>
      <c r="Z513" s="206">
        <f t="shared" si="31"/>
        <v>89.406955718994141</v>
      </c>
      <c r="AA513" s="48"/>
    </row>
    <row r="514" spans="23:27">
      <c r="W514" s="48">
        <f t="shared" si="28"/>
        <v>0</v>
      </c>
      <c r="X514" s="206">
        <f t="shared" si="29"/>
        <v>105.73929214477539</v>
      </c>
      <c r="Y514" s="206">
        <f t="shared" si="30"/>
        <v>0</v>
      </c>
      <c r="Z514" s="206">
        <f t="shared" si="31"/>
        <v>89.406955718994141</v>
      </c>
      <c r="AA514" s="48"/>
    </row>
    <row r="515" spans="23:27">
      <c r="W515" s="48">
        <f t="shared" si="28"/>
        <v>0</v>
      </c>
      <c r="X515" s="206">
        <f t="shared" si="29"/>
        <v>105.73929214477539</v>
      </c>
      <c r="Y515" s="206">
        <f t="shared" si="30"/>
        <v>0</v>
      </c>
      <c r="Z515" s="206">
        <f t="shared" si="31"/>
        <v>89.406955718994141</v>
      </c>
      <c r="AA515" s="48"/>
    </row>
    <row r="516" spans="23:27">
      <c r="W516" s="48">
        <f t="shared" si="28"/>
        <v>0</v>
      </c>
      <c r="X516" s="206">
        <f t="shared" si="29"/>
        <v>105.73929214477539</v>
      </c>
      <c r="Y516" s="206">
        <f t="shared" si="30"/>
        <v>0</v>
      </c>
      <c r="Z516" s="206">
        <f t="shared" si="31"/>
        <v>89.406955718994141</v>
      </c>
      <c r="AA516" s="48"/>
    </row>
    <row r="517" spans="23:27">
      <c r="W517" s="48">
        <f t="shared" si="28"/>
        <v>0</v>
      </c>
      <c r="X517" s="206">
        <f t="shared" si="29"/>
        <v>105.73929214477539</v>
      </c>
      <c r="Y517" s="206">
        <f t="shared" si="30"/>
        <v>0</v>
      </c>
      <c r="Z517" s="206">
        <f t="shared" si="31"/>
        <v>89.406955718994141</v>
      </c>
      <c r="AA517" s="48"/>
    </row>
    <row r="518" spans="23:27">
      <c r="W518" s="48">
        <f t="shared" si="28"/>
        <v>0</v>
      </c>
      <c r="X518" s="206">
        <f t="shared" si="29"/>
        <v>105.73929214477539</v>
      </c>
      <c r="Y518" s="206">
        <f t="shared" si="30"/>
        <v>0</v>
      </c>
      <c r="Z518" s="206">
        <f t="shared" si="31"/>
        <v>89.406955718994141</v>
      </c>
      <c r="AA518" s="48"/>
    </row>
    <row r="519" spans="23:27">
      <c r="W519" s="48">
        <f t="shared" si="28"/>
        <v>0</v>
      </c>
      <c r="X519" s="206">
        <f t="shared" si="29"/>
        <v>105.73929214477539</v>
      </c>
      <c r="Y519" s="206">
        <f t="shared" si="30"/>
        <v>0</v>
      </c>
      <c r="Z519" s="206">
        <f t="shared" si="31"/>
        <v>89.406955718994141</v>
      </c>
      <c r="AA519" s="48"/>
    </row>
    <row r="520" spans="23:27">
      <c r="W520" s="48">
        <f t="shared" si="28"/>
        <v>0</v>
      </c>
      <c r="X520" s="206">
        <f t="shared" si="29"/>
        <v>105.73929214477539</v>
      </c>
      <c r="Y520" s="206">
        <f t="shared" si="30"/>
        <v>0</v>
      </c>
      <c r="Z520" s="206">
        <f t="shared" si="31"/>
        <v>89.406955718994141</v>
      </c>
      <c r="AA520" s="48"/>
    </row>
    <row r="521" spans="23:27">
      <c r="W521" s="48">
        <f t="shared" si="28"/>
        <v>0</v>
      </c>
      <c r="X521" s="206">
        <f t="shared" si="29"/>
        <v>105.73929214477539</v>
      </c>
      <c r="Y521" s="206">
        <f t="shared" si="30"/>
        <v>0</v>
      </c>
      <c r="Z521" s="206">
        <f t="shared" si="31"/>
        <v>89.406955718994141</v>
      </c>
      <c r="AA521" s="48"/>
    </row>
    <row r="522" spans="23:27">
      <c r="W522" s="48">
        <f t="shared" si="28"/>
        <v>0</v>
      </c>
      <c r="X522" s="206">
        <f t="shared" si="29"/>
        <v>105.73929214477539</v>
      </c>
      <c r="Y522" s="206">
        <f t="shared" si="30"/>
        <v>0</v>
      </c>
      <c r="Z522" s="206">
        <f t="shared" si="31"/>
        <v>89.406955718994141</v>
      </c>
      <c r="AA522" s="48"/>
    </row>
    <row r="523" spans="23:27">
      <c r="W523" s="48">
        <f t="shared" si="28"/>
        <v>0</v>
      </c>
      <c r="X523" s="206">
        <f t="shared" si="29"/>
        <v>105.73929214477539</v>
      </c>
      <c r="Y523" s="206">
        <f t="shared" si="30"/>
        <v>0</v>
      </c>
      <c r="Z523" s="206">
        <f t="shared" si="31"/>
        <v>89.406955718994141</v>
      </c>
      <c r="AA523" s="48"/>
    </row>
    <row r="524" spans="23:27">
      <c r="W524" s="48">
        <f t="shared" si="28"/>
        <v>0</v>
      </c>
      <c r="X524" s="206">
        <f t="shared" si="29"/>
        <v>105.73929214477539</v>
      </c>
      <c r="Y524" s="206">
        <f t="shared" si="30"/>
        <v>0</v>
      </c>
      <c r="Z524" s="206">
        <f t="shared" si="31"/>
        <v>89.406955718994141</v>
      </c>
      <c r="AA524" s="48"/>
    </row>
    <row r="525" spans="23:27">
      <c r="W525" s="48">
        <f t="shared" si="28"/>
        <v>0</v>
      </c>
      <c r="X525" s="206">
        <f t="shared" si="29"/>
        <v>105.73929214477539</v>
      </c>
      <c r="Y525" s="206">
        <f t="shared" si="30"/>
        <v>0</v>
      </c>
      <c r="Z525" s="206">
        <f t="shared" si="31"/>
        <v>89.406955718994141</v>
      </c>
      <c r="AA525" s="48"/>
    </row>
    <row r="526" spans="23:27">
      <c r="W526" s="48">
        <f t="shared" ref="W526:W589" si="32">B526</f>
        <v>0</v>
      </c>
      <c r="X526" s="206">
        <f t="shared" ref="X526:X589" si="33">I$26</f>
        <v>105.73929214477539</v>
      </c>
      <c r="Y526" s="206">
        <f t="shared" ref="Y526:Y589" si="34">C526</f>
        <v>0</v>
      </c>
      <c r="Z526" s="206">
        <f t="shared" ref="Z526:Z589" si="35">I$23</f>
        <v>89.406955718994141</v>
      </c>
      <c r="AA526" s="48"/>
    </row>
    <row r="527" spans="23:27">
      <c r="W527" s="48">
        <f t="shared" si="32"/>
        <v>0</v>
      </c>
      <c r="X527" s="206">
        <f t="shared" si="33"/>
        <v>105.73929214477539</v>
      </c>
      <c r="Y527" s="206">
        <f t="shared" si="34"/>
        <v>0</v>
      </c>
      <c r="Z527" s="206">
        <f t="shared" si="35"/>
        <v>89.406955718994141</v>
      </c>
      <c r="AA527" s="48"/>
    </row>
    <row r="528" spans="23:27">
      <c r="W528" s="48">
        <f t="shared" si="32"/>
        <v>0</v>
      </c>
      <c r="X528" s="206">
        <f t="shared" si="33"/>
        <v>105.73929214477539</v>
      </c>
      <c r="Y528" s="206">
        <f t="shared" si="34"/>
        <v>0</v>
      </c>
      <c r="Z528" s="206">
        <f t="shared" si="35"/>
        <v>89.406955718994141</v>
      </c>
      <c r="AA528" s="48"/>
    </row>
    <row r="529" spans="23:27">
      <c r="W529" s="48">
        <f t="shared" si="32"/>
        <v>0</v>
      </c>
      <c r="X529" s="206">
        <f t="shared" si="33"/>
        <v>105.73929214477539</v>
      </c>
      <c r="Y529" s="206">
        <f t="shared" si="34"/>
        <v>0</v>
      </c>
      <c r="Z529" s="206">
        <f t="shared" si="35"/>
        <v>89.406955718994141</v>
      </c>
      <c r="AA529" s="48"/>
    </row>
    <row r="530" spans="23:27">
      <c r="W530" s="48">
        <f t="shared" si="32"/>
        <v>0</v>
      </c>
      <c r="X530" s="206">
        <f t="shared" si="33"/>
        <v>105.73929214477539</v>
      </c>
      <c r="Y530" s="206">
        <f t="shared" si="34"/>
        <v>0</v>
      </c>
      <c r="Z530" s="206">
        <f t="shared" si="35"/>
        <v>89.406955718994141</v>
      </c>
      <c r="AA530" s="48"/>
    </row>
    <row r="531" spans="23:27">
      <c r="W531" s="48">
        <f t="shared" si="32"/>
        <v>0</v>
      </c>
      <c r="X531" s="206">
        <f t="shared" si="33"/>
        <v>105.73929214477539</v>
      </c>
      <c r="Y531" s="206">
        <f t="shared" si="34"/>
        <v>0</v>
      </c>
      <c r="Z531" s="206">
        <f t="shared" si="35"/>
        <v>89.406955718994141</v>
      </c>
      <c r="AA531" s="48"/>
    </row>
    <row r="532" spans="23:27">
      <c r="W532" s="48">
        <f t="shared" si="32"/>
        <v>0</v>
      </c>
      <c r="X532" s="206">
        <f t="shared" si="33"/>
        <v>105.73929214477539</v>
      </c>
      <c r="Y532" s="206">
        <f t="shared" si="34"/>
        <v>0</v>
      </c>
      <c r="Z532" s="206">
        <f t="shared" si="35"/>
        <v>89.406955718994141</v>
      </c>
      <c r="AA532" s="48"/>
    </row>
    <row r="533" spans="23:27">
      <c r="W533" s="48">
        <f t="shared" si="32"/>
        <v>0</v>
      </c>
      <c r="X533" s="206">
        <f t="shared" si="33"/>
        <v>105.73929214477539</v>
      </c>
      <c r="Y533" s="206">
        <f t="shared" si="34"/>
        <v>0</v>
      </c>
      <c r="Z533" s="206">
        <f t="shared" si="35"/>
        <v>89.406955718994141</v>
      </c>
      <c r="AA533" s="48"/>
    </row>
    <row r="534" spans="23:27">
      <c r="W534" s="48">
        <f t="shared" si="32"/>
        <v>0</v>
      </c>
      <c r="X534" s="206">
        <f t="shared" si="33"/>
        <v>105.73929214477539</v>
      </c>
      <c r="Y534" s="206">
        <f t="shared" si="34"/>
        <v>0</v>
      </c>
      <c r="Z534" s="206">
        <f t="shared" si="35"/>
        <v>89.406955718994141</v>
      </c>
      <c r="AA534" s="48"/>
    </row>
    <row r="535" spans="23:27">
      <c r="W535" s="48">
        <f t="shared" si="32"/>
        <v>0</v>
      </c>
      <c r="X535" s="206">
        <f t="shared" si="33"/>
        <v>105.73929214477539</v>
      </c>
      <c r="Y535" s="206">
        <f t="shared" si="34"/>
        <v>0</v>
      </c>
      <c r="Z535" s="206">
        <f t="shared" si="35"/>
        <v>89.406955718994141</v>
      </c>
      <c r="AA535" s="48"/>
    </row>
    <row r="536" spans="23:27">
      <c r="W536" s="48">
        <f t="shared" si="32"/>
        <v>0</v>
      </c>
      <c r="X536" s="206">
        <f t="shared" si="33"/>
        <v>105.73929214477539</v>
      </c>
      <c r="Y536" s="206">
        <f t="shared" si="34"/>
        <v>0</v>
      </c>
      <c r="Z536" s="206">
        <f t="shared" si="35"/>
        <v>89.406955718994141</v>
      </c>
      <c r="AA536" s="48"/>
    </row>
    <row r="537" spans="23:27">
      <c r="W537" s="48">
        <f t="shared" si="32"/>
        <v>0</v>
      </c>
      <c r="X537" s="206">
        <f t="shared" si="33"/>
        <v>105.73929214477539</v>
      </c>
      <c r="Y537" s="206">
        <f t="shared" si="34"/>
        <v>0</v>
      </c>
      <c r="Z537" s="206">
        <f t="shared" si="35"/>
        <v>89.406955718994141</v>
      </c>
      <c r="AA537" s="48"/>
    </row>
    <row r="538" spans="23:27">
      <c r="W538" s="48">
        <f t="shared" si="32"/>
        <v>0</v>
      </c>
      <c r="X538" s="206">
        <f t="shared" si="33"/>
        <v>105.73929214477539</v>
      </c>
      <c r="Y538" s="206">
        <f t="shared" si="34"/>
        <v>0</v>
      </c>
      <c r="Z538" s="206">
        <f t="shared" si="35"/>
        <v>89.406955718994141</v>
      </c>
      <c r="AA538" s="48"/>
    </row>
    <row r="539" spans="23:27">
      <c r="W539" s="48">
        <f t="shared" si="32"/>
        <v>0</v>
      </c>
      <c r="X539" s="206">
        <f t="shared" si="33"/>
        <v>105.73929214477539</v>
      </c>
      <c r="Y539" s="206">
        <f t="shared" si="34"/>
        <v>0</v>
      </c>
      <c r="Z539" s="206">
        <f t="shared" si="35"/>
        <v>89.406955718994141</v>
      </c>
      <c r="AA539" s="48"/>
    </row>
    <row r="540" spans="23:27">
      <c r="W540" s="48">
        <f t="shared" si="32"/>
        <v>0</v>
      </c>
      <c r="X540" s="206">
        <f t="shared" si="33"/>
        <v>105.73929214477539</v>
      </c>
      <c r="Y540" s="206">
        <f t="shared" si="34"/>
        <v>0</v>
      </c>
      <c r="Z540" s="206">
        <f t="shared" si="35"/>
        <v>89.406955718994141</v>
      </c>
      <c r="AA540" s="48"/>
    </row>
    <row r="541" spans="23:27">
      <c r="W541" s="48">
        <f t="shared" si="32"/>
        <v>0</v>
      </c>
      <c r="X541" s="206">
        <f t="shared" si="33"/>
        <v>105.73929214477539</v>
      </c>
      <c r="Y541" s="206">
        <f t="shared" si="34"/>
        <v>0</v>
      </c>
      <c r="Z541" s="206">
        <f t="shared" si="35"/>
        <v>89.406955718994141</v>
      </c>
      <c r="AA541" s="48"/>
    </row>
    <row r="542" spans="23:27">
      <c r="W542" s="48">
        <f t="shared" si="32"/>
        <v>0</v>
      </c>
      <c r="X542" s="206">
        <f t="shared" si="33"/>
        <v>105.73929214477539</v>
      </c>
      <c r="Y542" s="206">
        <f t="shared" si="34"/>
        <v>0</v>
      </c>
      <c r="Z542" s="206">
        <f t="shared" si="35"/>
        <v>89.406955718994141</v>
      </c>
      <c r="AA542" s="48"/>
    </row>
    <row r="543" spans="23:27">
      <c r="W543" s="48">
        <f t="shared" si="32"/>
        <v>0</v>
      </c>
      <c r="X543" s="206">
        <f t="shared" si="33"/>
        <v>105.73929214477539</v>
      </c>
      <c r="Y543" s="206">
        <f t="shared" si="34"/>
        <v>0</v>
      </c>
      <c r="Z543" s="206">
        <f t="shared" si="35"/>
        <v>89.406955718994141</v>
      </c>
      <c r="AA543" s="48"/>
    </row>
    <row r="544" spans="23:27">
      <c r="W544" s="48">
        <f t="shared" si="32"/>
        <v>0</v>
      </c>
      <c r="X544" s="206">
        <f t="shared" si="33"/>
        <v>105.73929214477539</v>
      </c>
      <c r="Y544" s="206">
        <f t="shared" si="34"/>
        <v>0</v>
      </c>
      <c r="Z544" s="206">
        <f t="shared" si="35"/>
        <v>89.406955718994141</v>
      </c>
      <c r="AA544" s="48"/>
    </row>
    <row r="545" spans="23:27">
      <c r="W545" s="48">
        <f t="shared" si="32"/>
        <v>0</v>
      </c>
      <c r="X545" s="206">
        <f t="shared" si="33"/>
        <v>105.73929214477539</v>
      </c>
      <c r="Y545" s="206">
        <f t="shared" si="34"/>
        <v>0</v>
      </c>
      <c r="Z545" s="206">
        <f t="shared" si="35"/>
        <v>89.406955718994141</v>
      </c>
      <c r="AA545" s="48"/>
    </row>
    <row r="546" spans="23:27">
      <c r="W546" s="48">
        <f t="shared" si="32"/>
        <v>0</v>
      </c>
      <c r="X546" s="206">
        <f t="shared" si="33"/>
        <v>105.73929214477539</v>
      </c>
      <c r="Y546" s="206">
        <f t="shared" si="34"/>
        <v>0</v>
      </c>
      <c r="Z546" s="206">
        <f t="shared" si="35"/>
        <v>89.406955718994141</v>
      </c>
      <c r="AA546" s="48"/>
    </row>
    <row r="547" spans="23:27">
      <c r="W547" s="48">
        <f t="shared" si="32"/>
        <v>0</v>
      </c>
      <c r="X547" s="206">
        <f t="shared" si="33"/>
        <v>105.73929214477539</v>
      </c>
      <c r="Y547" s="206">
        <f t="shared" si="34"/>
        <v>0</v>
      </c>
      <c r="Z547" s="206">
        <f t="shared" si="35"/>
        <v>89.406955718994141</v>
      </c>
      <c r="AA547" s="48"/>
    </row>
    <row r="548" spans="23:27">
      <c r="W548" s="48">
        <f t="shared" si="32"/>
        <v>0</v>
      </c>
      <c r="X548" s="206">
        <f t="shared" si="33"/>
        <v>105.73929214477539</v>
      </c>
      <c r="Y548" s="206">
        <f t="shared" si="34"/>
        <v>0</v>
      </c>
      <c r="Z548" s="206">
        <f t="shared" si="35"/>
        <v>89.406955718994141</v>
      </c>
      <c r="AA548" s="48"/>
    </row>
    <row r="549" spans="23:27">
      <c r="W549" s="48">
        <f t="shared" si="32"/>
        <v>0</v>
      </c>
      <c r="X549" s="206">
        <f t="shared" si="33"/>
        <v>105.73929214477539</v>
      </c>
      <c r="Y549" s="206">
        <f t="shared" si="34"/>
        <v>0</v>
      </c>
      <c r="Z549" s="206">
        <f t="shared" si="35"/>
        <v>89.406955718994141</v>
      </c>
      <c r="AA549" s="48"/>
    </row>
    <row r="550" spans="23:27">
      <c r="W550" s="48">
        <f t="shared" si="32"/>
        <v>0</v>
      </c>
      <c r="X550" s="206">
        <f t="shared" si="33"/>
        <v>105.73929214477539</v>
      </c>
      <c r="Y550" s="206">
        <f t="shared" si="34"/>
        <v>0</v>
      </c>
      <c r="Z550" s="206">
        <f t="shared" si="35"/>
        <v>89.406955718994141</v>
      </c>
      <c r="AA550" s="48"/>
    </row>
    <row r="551" spans="23:27">
      <c r="W551" s="48">
        <f t="shared" si="32"/>
        <v>0</v>
      </c>
      <c r="X551" s="206">
        <f t="shared" si="33"/>
        <v>105.73929214477539</v>
      </c>
      <c r="Y551" s="206">
        <f t="shared" si="34"/>
        <v>0</v>
      </c>
      <c r="Z551" s="206">
        <f t="shared" si="35"/>
        <v>89.406955718994141</v>
      </c>
      <c r="AA551" s="48"/>
    </row>
    <row r="552" spans="23:27">
      <c r="W552" s="48">
        <f t="shared" si="32"/>
        <v>0</v>
      </c>
      <c r="X552" s="206">
        <f t="shared" si="33"/>
        <v>105.73929214477539</v>
      </c>
      <c r="Y552" s="206">
        <f t="shared" si="34"/>
        <v>0</v>
      </c>
      <c r="Z552" s="206">
        <f t="shared" si="35"/>
        <v>89.406955718994141</v>
      </c>
      <c r="AA552" s="48"/>
    </row>
    <row r="553" spans="23:27">
      <c r="W553" s="48">
        <f t="shared" si="32"/>
        <v>0</v>
      </c>
      <c r="X553" s="206">
        <f t="shared" si="33"/>
        <v>105.73929214477539</v>
      </c>
      <c r="Y553" s="206">
        <f t="shared" si="34"/>
        <v>0</v>
      </c>
      <c r="Z553" s="206">
        <f t="shared" si="35"/>
        <v>89.406955718994141</v>
      </c>
      <c r="AA553" s="48"/>
    </row>
    <row r="554" spans="23:27">
      <c r="W554" s="48">
        <f t="shared" si="32"/>
        <v>0</v>
      </c>
      <c r="X554" s="206">
        <f t="shared" si="33"/>
        <v>105.73929214477539</v>
      </c>
      <c r="Y554" s="206">
        <f t="shared" si="34"/>
        <v>0</v>
      </c>
      <c r="Z554" s="206">
        <f t="shared" si="35"/>
        <v>89.406955718994141</v>
      </c>
      <c r="AA554" s="48"/>
    </row>
    <row r="555" spans="23:27">
      <c r="W555" s="48">
        <f t="shared" si="32"/>
        <v>0</v>
      </c>
      <c r="X555" s="206">
        <f t="shared" si="33"/>
        <v>105.73929214477539</v>
      </c>
      <c r="Y555" s="206">
        <f t="shared" si="34"/>
        <v>0</v>
      </c>
      <c r="Z555" s="206">
        <f t="shared" si="35"/>
        <v>89.406955718994141</v>
      </c>
      <c r="AA555" s="48"/>
    </row>
    <row r="556" spans="23:27">
      <c r="W556" s="48">
        <f t="shared" si="32"/>
        <v>0</v>
      </c>
      <c r="X556" s="206">
        <f t="shared" si="33"/>
        <v>105.73929214477539</v>
      </c>
      <c r="Y556" s="206">
        <f t="shared" si="34"/>
        <v>0</v>
      </c>
      <c r="Z556" s="206">
        <f t="shared" si="35"/>
        <v>89.406955718994141</v>
      </c>
      <c r="AA556" s="48"/>
    </row>
    <row r="557" spans="23:27">
      <c r="W557" s="48">
        <f t="shared" si="32"/>
        <v>0</v>
      </c>
      <c r="X557" s="206">
        <f t="shared" si="33"/>
        <v>105.73929214477539</v>
      </c>
      <c r="Y557" s="206">
        <f t="shared" si="34"/>
        <v>0</v>
      </c>
      <c r="Z557" s="206">
        <f t="shared" si="35"/>
        <v>89.406955718994141</v>
      </c>
      <c r="AA557" s="48"/>
    </row>
    <row r="558" spans="23:27">
      <c r="W558" s="48">
        <f t="shared" si="32"/>
        <v>0</v>
      </c>
      <c r="X558" s="206">
        <f t="shared" si="33"/>
        <v>105.73929214477539</v>
      </c>
      <c r="Y558" s="206">
        <f t="shared" si="34"/>
        <v>0</v>
      </c>
      <c r="Z558" s="206">
        <f t="shared" si="35"/>
        <v>89.406955718994141</v>
      </c>
      <c r="AA558" s="48"/>
    </row>
    <row r="559" spans="23:27">
      <c r="W559" s="48">
        <f t="shared" si="32"/>
        <v>0</v>
      </c>
      <c r="X559" s="206">
        <f t="shared" si="33"/>
        <v>105.73929214477539</v>
      </c>
      <c r="Y559" s="206">
        <f t="shared" si="34"/>
        <v>0</v>
      </c>
      <c r="Z559" s="206">
        <f t="shared" si="35"/>
        <v>89.406955718994141</v>
      </c>
      <c r="AA559" s="48"/>
    </row>
    <row r="560" spans="23:27">
      <c r="W560" s="48">
        <f t="shared" si="32"/>
        <v>0</v>
      </c>
      <c r="X560" s="206">
        <f t="shared" si="33"/>
        <v>105.73929214477539</v>
      </c>
      <c r="Y560" s="206">
        <f t="shared" si="34"/>
        <v>0</v>
      </c>
      <c r="Z560" s="206">
        <f t="shared" si="35"/>
        <v>89.406955718994141</v>
      </c>
      <c r="AA560" s="48"/>
    </row>
    <row r="561" spans="23:27">
      <c r="W561" s="48">
        <f t="shared" si="32"/>
        <v>0</v>
      </c>
      <c r="X561" s="206">
        <f t="shared" si="33"/>
        <v>105.73929214477539</v>
      </c>
      <c r="Y561" s="206">
        <f t="shared" si="34"/>
        <v>0</v>
      </c>
      <c r="Z561" s="206">
        <f t="shared" si="35"/>
        <v>89.406955718994141</v>
      </c>
      <c r="AA561" s="48"/>
    </row>
    <row r="562" spans="23:27">
      <c r="W562" s="48">
        <f t="shared" si="32"/>
        <v>0</v>
      </c>
      <c r="X562" s="206">
        <f t="shared" si="33"/>
        <v>105.73929214477539</v>
      </c>
      <c r="Y562" s="206">
        <f t="shared" si="34"/>
        <v>0</v>
      </c>
      <c r="Z562" s="206">
        <f t="shared" si="35"/>
        <v>89.406955718994141</v>
      </c>
      <c r="AA562" s="48"/>
    </row>
    <row r="563" spans="23:27">
      <c r="W563" s="48">
        <f t="shared" si="32"/>
        <v>0</v>
      </c>
      <c r="X563" s="206">
        <f t="shared" si="33"/>
        <v>105.73929214477539</v>
      </c>
      <c r="Y563" s="206">
        <f t="shared" si="34"/>
        <v>0</v>
      </c>
      <c r="Z563" s="206">
        <f t="shared" si="35"/>
        <v>89.406955718994141</v>
      </c>
      <c r="AA563" s="48"/>
    </row>
    <row r="564" spans="23:27">
      <c r="W564" s="48">
        <f t="shared" si="32"/>
        <v>0</v>
      </c>
      <c r="X564" s="206">
        <f t="shared" si="33"/>
        <v>105.73929214477539</v>
      </c>
      <c r="Y564" s="206">
        <f t="shared" si="34"/>
        <v>0</v>
      </c>
      <c r="Z564" s="206">
        <f t="shared" si="35"/>
        <v>89.406955718994141</v>
      </c>
      <c r="AA564" s="48"/>
    </row>
    <row r="565" spans="23:27">
      <c r="W565" s="48">
        <f t="shared" si="32"/>
        <v>0</v>
      </c>
      <c r="X565" s="206">
        <f t="shared" si="33"/>
        <v>105.73929214477539</v>
      </c>
      <c r="Y565" s="206">
        <f t="shared" si="34"/>
        <v>0</v>
      </c>
      <c r="Z565" s="206">
        <f t="shared" si="35"/>
        <v>89.406955718994141</v>
      </c>
      <c r="AA565" s="48"/>
    </row>
    <row r="566" spans="23:27">
      <c r="W566" s="48">
        <f t="shared" si="32"/>
        <v>0</v>
      </c>
      <c r="X566" s="206">
        <f t="shared" si="33"/>
        <v>105.73929214477539</v>
      </c>
      <c r="Y566" s="206">
        <f t="shared" si="34"/>
        <v>0</v>
      </c>
      <c r="Z566" s="206">
        <f t="shared" si="35"/>
        <v>89.406955718994141</v>
      </c>
      <c r="AA566" s="48"/>
    </row>
    <row r="567" spans="23:27">
      <c r="W567" s="48">
        <f t="shared" si="32"/>
        <v>0</v>
      </c>
      <c r="X567" s="206">
        <f t="shared" si="33"/>
        <v>105.73929214477539</v>
      </c>
      <c r="Y567" s="206">
        <f t="shared" si="34"/>
        <v>0</v>
      </c>
      <c r="Z567" s="206">
        <f t="shared" si="35"/>
        <v>89.406955718994141</v>
      </c>
      <c r="AA567" s="48"/>
    </row>
    <row r="568" spans="23:27">
      <c r="W568" s="48">
        <f t="shared" si="32"/>
        <v>0</v>
      </c>
      <c r="X568" s="206">
        <f t="shared" si="33"/>
        <v>105.73929214477539</v>
      </c>
      <c r="Y568" s="206">
        <f t="shared" si="34"/>
        <v>0</v>
      </c>
      <c r="Z568" s="206">
        <f t="shared" si="35"/>
        <v>89.406955718994141</v>
      </c>
      <c r="AA568" s="48"/>
    </row>
    <row r="569" spans="23:27">
      <c r="W569" s="48">
        <f t="shared" si="32"/>
        <v>0</v>
      </c>
      <c r="X569" s="206">
        <f t="shared" si="33"/>
        <v>105.73929214477539</v>
      </c>
      <c r="Y569" s="206">
        <f t="shared" si="34"/>
        <v>0</v>
      </c>
      <c r="Z569" s="206">
        <f t="shared" si="35"/>
        <v>89.406955718994141</v>
      </c>
      <c r="AA569" s="48"/>
    </row>
    <row r="570" spans="23:27">
      <c r="W570" s="48">
        <f t="shared" si="32"/>
        <v>0</v>
      </c>
      <c r="X570" s="206">
        <f t="shared" si="33"/>
        <v>105.73929214477539</v>
      </c>
      <c r="Y570" s="206">
        <f t="shared" si="34"/>
        <v>0</v>
      </c>
      <c r="Z570" s="206">
        <f t="shared" si="35"/>
        <v>89.406955718994141</v>
      </c>
      <c r="AA570" s="48"/>
    </row>
    <row r="571" spans="23:27">
      <c r="W571" s="48">
        <f t="shared" si="32"/>
        <v>0</v>
      </c>
      <c r="X571" s="206">
        <f t="shared" si="33"/>
        <v>105.73929214477539</v>
      </c>
      <c r="Y571" s="206">
        <f t="shared" si="34"/>
        <v>0</v>
      </c>
      <c r="Z571" s="206">
        <f t="shared" si="35"/>
        <v>89.406955718994141</v>
      </c>
      <c r="AA571" s="48"/>
    </row>
    <row r="572" spans="23:27">
      <c r="W572" s="48">
        <f t="shared" si="32"/>
        <v>0</v>
      </c>
      <c r="X572" s="206">
        <f t="shared" si="33"/>
        <v>105.73929214477539</v>
      </c>
      <c r="Y572" s="206">
        <f t="shared" si="34"/>
        <v>0</v>
      </c>
      <c r="Z572" s="206">
        <f t="shared" si="35"/>
        <v>89.406955718994141</v>
      </c>
      <c r="AA572" s="48"/>
    </row>
    <row r="573" spans="23:27">
      <c r="W573" s="48">
        <f t="shared" si="32"/>
        <v>0</v>
      </c>
      <c r="X573" s="206">
        <f t="shared" si="33"/>
        <v>105.73929214477539</v>
      </c>
      <c r="Y573" s="206">
        <f t="shared" si="34"/>
        <v>0</v>
      </c>
      <c r="Z573" s="206">
        <f t="shared" si="35"/>
        <v>89.406955718994141</v>
      </c>
      <c r="AA573" s="48"/>
    </row>
    <row r="574" spans="23:27">
      <c r="W574" s="48">
        <f t="shared" si="32"/>
        <v>0</v>
      </c>
      <c r="X574" s="206">
        <f t="shared" si="33"/>
        <v>105.73929214477539</v>
      </c>
      <c r="Y574" s="206">
        <f t="shared" si="34"/>
        <v>0</v>
      </c>
      <c r="Z574" s="206">
        <f t="shared" si="35"/>
        <v>89.406955718994141</v>
      </c>
      <c r="AA574" s="48"/>
    </row>
    <row r="575" spans="23:27">
      <c r="W575" s="48">
        <f t="shared" si="32"/>
        <v>0</v>
      </c>
      <c r="X575" s="206">
        <f t="shared" si="33"/>
        <v>105.73929214477539</v>
      </c>
      <c r="Y575" s="206">
        <f t="shared" si="34"/>
        <v>0</v>
      </c>
      <c r="Z575" s="206">
        <f t="shared" si="35"/>
        <v>89.406955718994141</v>
      </c>
      <c r="AA575" s="48"/>
    </row>
    <row r="576" spans="23:27">
      <c r="W576" s="48">
        <f t="shared" si="32"/>
        <v>0</v>
      </c>
      <c r="X576" s="206">
        <f t="shared" si="33"/>
        <v>105.73929214477539</v>
      </c>
      <c r="Y576" s="206">
        <f t="shared" si="34"/>
        <v>0</v>
      </c>
      <c r="Z576" s="206">
        <f t="shared" si="35"/>
        <v>89.406955718994141</v>
      </c>
      <c r="AA576" s="48"/>
    </row>
    <row r="577" spans="23:27">
      <c r="W577" s="48">
        <f t="shared" si="32"/>
        <v>0</v>
      </c>
      <c r="X577" s="206">
        <f t="shared" si="33"/>
        <v>105.73929214477539</v>
      </c>
      <c r="Y577" s="206">
        <f t="shared" si="34"/>
        <v>0</v>
      </c>
      <c r="Z577" s="206">
        <f t="shared" si="35"/>
        <v>89.406955718994141</v>
      </c>
      <c r="AA577" s="48"/>
    </row>
    <row r="578" spans="23:27">
      <c r="W578" s="48">
        <f t="shared" si="32"/>
        <v>0</v>
      </c>
      <c r="X578" s="206">
        <f t="shared" si="33"/>
        <v>105.73929214477539</v>
      </c>
      <c r="Y578" s="206">
        <f t="shared" si="34"/>
        <v>0</v>
      </c>
      <c r="Z578" s="206">
        <f t="shared" si="35"/>
        <v>89.406955718994141</v>
      </c>
      <c r="AA578" s="48"/>
    </row>
    <row r="579" spans="23:27">
      <c r="W579" s="48">
        <f t="shared" si="32"/>
        <v>0</v>
      </c>
      <c r="X579" s="206">
        <f t="shared" si="33"/>
        <v>105.73929214477539</v>
      </c>
      <c r="Y579" s="206">
        <f t="shared" si="34"/>
        <v>0</v>
      </c>
      <c r="Z579" s="206">
        <f t="shared" si="35"/>
        <v>89.406955718994141</v>
      </c>
      <c r="AA579" s="48"/>
    </row>
    <row r="580" spans="23:27">
      <c r="W580" s="48">
        <f t="shared" si="32"/>
        <v>0</v>
      </c>
      <c r="X580" s="206">
        <f t="shared" si="33"/>
        <v>105.73929214477539</v>
      </c>
      <c r="Y580" s="206">
        <f t="shared" si="34"/>
        <v>0</v>
      </c>
      <c r="Z580" s="206">
        <f t="shared" si="35"/>
        <v>89.406955718994141</v>
      </c>
      <c r="AA580" s="48"/>
    </row>
    <row r="581" spans="23:27">
      <c r="W581" s="48">
        <f t="shared" si="32"/>
        <v>0</v>
      </c>
      <c r="X581" s="206">
        <f t="shared" si="33"/>
        <v>105.73929214477539</v>
      </c>
      <c r="Y581" s="206">
        <f t="shared" si="34"/>
        <v>0</v>
      </c>
      <c r="Z581" s="206">
        <f t="shared" si="35"/>
        <v>89.406955718994141</v>
      </c>
      <c r="AA581" s="48"/>
    </row>
    <row r="582" spans="23:27">
      <c r="W582" s="48">
        <f t="shared" si="32"/>
        <v>0</v>
      </c>
      <c r="X582" s="206">
        <f t="shared" si="33"/>
        <v>105.73929214477539</v>
      </c>
      <c r="Y582" s="206">
        <f t="shared" si="34"/>
        <v>0</v>
      </c>
      <c r="Z582" s="206">
        <f t="shared" si="35"/>
        <v>89.406955718994141</v>
      </c>
      <c r="AA582" s="48"/>
    </row>
    <row r="583" spans="23:27">
      <c r="W583" s="48">
        <f t="shared" si="32"/>
        <v>0</v>
      </c>
      <c r="X583" s="206">
        <f t="shared" si="33"/>
        <v>105.73929214477539</v>
      </c>
      <c r="Y583" s="206">
        <f t="shared" si="34"/>
        <v>0</v>
      </c>
      <c r="Z583" s="206">
        <f t="shared" si="35"/>
        <v>89.406955718994141</v>
      </c>
      <c r="AA583" s="48"/>
    </row>
    <row r="584" spans="23:27">
      <c r="W584" s="48">
        <f t="shared" si="32"/>
        <v>0</v>
      </c>
      <c r="X584" s="206">
        <f t="shared" si="33"/>
        <v>105.73929214477539</v>
      </c>
      <c r="Y584" s="206">
        <f t="shared" si="34"/>
        <v>0</v>
      </c>
      <c r="Z584" s="206">
        <f t="shared" si="35"/>
        <v>89.406955718994141</v>
      </c>
      <c r="AA584" s="48"/>
    </row>
    <row r="585" spans="23:27">
      <c r="W585" s="48">
        <f t="shared" si="32"/>
        <v>0</v>
      </c>
      <c r="X585" s="206">
        <f t="shared" si="33"/>
        <v>105.73929214477539</v>
      </c>
      <c r="Y585" s="206">
        <f t="shared" si="34"/>
        <v>0</v>
      </c>
      <c r="Z585" s="206">
        <f t="shared" si="35"/>
        <v>89.406955718994141</v>
      </c>
      <c r="AA585" s="48"/>
    </row>
    <row r="586" spans="23:27">
      <c r="W586" s="48">
        <f t="shared" si="32"/>
        <v>0</v>
      </c>
      <c r="X586" s="206">
        <f t="shared" si="33"/>
        <v>105.73929214477539</v>
      </c>
      <c r="Y586" s="206">
        <f t="shared" si="34"/>
        <v>0</v>
      </c>
      <c r="Z586" s="206">
        <f t="shared" si="35"/>
        <v>89.406955718994141</v>
      </c>
      <c r="AA586" s="48"/>
    </row>
    <row r="587" spans="23:27">
      <c r="W587" s="48">
        <f t="shared" si="32"/>
        <v>0</v>
      </c>
      <c r="X587" s="206">
        <f t="shared" si="33"/>
        <v>105.73929214477539</v>
      </c>
      <c r="Y587" s="206">
        <f t="shared" si="34"/>
        <v>0</v>
      </c>
      <c r="Z587" s="206">
        <f t="shared" si="35"/>
        <v>89.406955718994141</v>
      </c>
      <c r="AA587" s="48"/>
    </row>
    <row r="588" spans="23:27">
      <c r="W588" s="48">
        <f t="shared" si="32"/>
        <v>0</v>
      </c>
      <c r="X588" s="206">
        <f t="shared" si="33"/>
        <v>105.73929214477539</v>
      </c>
      <c r="Y588" s="206">
        <f t="shared" si="34"/>
        <v>0</v>
      </c>
      <c r="Z588" s="206">
        <f t="shared" si="35"/>
        <v>89.406955718994141</v>
      </c>
      <c r="AA588" s="48"/>
    </row>
    <row r="589" spans="23:27">
      <c r="W589" s="48">
        <f t="shared" si="32"/>
        <v>0</v>
      </c>
      <c r="X589" s="206">
        <f t="shared" si="33"/>
        <v>105.73929214477539</v>
      </c>
      <c r="Y589" s="206">
        <f t="shared" si="34"/>
        <v>0</v>
      </c>
      <c r="Z589" s="206">
        <f t="shared" si="35"/>
        <v>89.406955718994141</v>
      </c>
      <c r="AA589" s="48"/>
    </row>
    <row r="590" spans="23:27">
      <c r="W590" s="48">
        <f t="shared" ref="W590:W614" si="36">B590</f>
        <v>0</v>
      </c>
      <c r="X590" s="206">
        <f t="shared" ref="X590:X614" si="37">I$26</f>
        <v>105.73929214477539</v>
      </c>
      <c r="Y590" s="206">
        <f t="shared" ref="Y590:Y614" si="38">C590</f>
        <v>0</v>
      </c>
      <c r="Z590" s="206">
        <f t="shared" ref="Z590:Z614" si="39">I$23</f>
        <v>89.406955718994141</v>
      </c>
      <c r="AA590" s="48"/>
    </row>
    <row r="591" spans="23:27">
      <c r="W591" s="48">
        <f t="shared" si="36"/>
        <v>0</v>
      </c>
      <c r="X591" s="206">
        <f t="shared" si="37"/>
        <v>105.73929214477539</v>
      </c>
      <c r="Y591" s="206">
        <f t="shared" si="38"/>
        <v>0</v>
      </c>
      <c r="Z591" s="206">
        <f t="shared" si="39"/>
        <v>89.406955718994141</v>
      </c>
      <c r="AA591" s="48"/>
    </row>
    <row r="592" spans="23:27">
      <c r="W592" s="48">
        <f t="shared" si="36"/>
        <v>0</v>
      </c>
      <c r="X592" s="206">
        <f t="shared" si="37"/>
        <v>105.73929214477539</v>
      </c>
      <c r="Y592" s="206">
        <f t="shared" si="38"/>
        <v>0</v>
      </c>
      <c r="Z592" s="206">
        <f t="shared" si="39"/>
        <v>89.406955718994141</v>
      </c>
      <c r="AA592" s="48"/>
    </row>
    <row r="593" spans="23:27">
      <c r="W593" s="48">
        <f t="shared" si="36"/>
        <v>0</v>
      </c>
      <c r="X593" s="206">
        <f t="shared" si="37"/>
        <v>105.73929214477539</v>
      </c>
      <c r="Y593" s="206">
        <f t="shared" si="38"/>
        <v>0</v>
      </c>
      <c r="Z593" s="206">
        <f t="shared" si="39"/>
        <v>89.406955718994141</v>
      </c>
      <c r="AA593" s="48"/>
    </row>
    <row r="594" spans="23:27">
      <c r="W594" s="48">
        <f t="shared" si="36"/>
        <v>0</v>
      </c>
      <c r="X594" s="206">
        <f t="shared" si="37"/>
        <v>105.73929214477539</v>
      </c>
      <c r="Y594" s="206">
        <f t="shared" si="38"/>
        <v>0</v>
      </c>
      <c r="Z594" s="206">
        <f t="shared" si="39"/>
        <v>89.406955718994141</v>
      </c>
      <c r="AA594" s="48"/>
    </row>
    <row r="595" spans="23:27">
      <c r="W595" s="48">
        <f t="shared" si="36"/>
        <v>0</v>
      </c>
      <c r="X595" s="206">
        <f t="shared" si="37"/>
        <v>105.73929214477539</v>
      </c>
      <c r="Y595" s="206">
        <f t="shared" si="38"/>
        <v>0</v>
      </c>
      <c r="Z595" s="206">
        <f t="shared" si="39"/>
        <v>89.406955718994141</v>
      </c>
      <c r="AA595" s="48"/>
    </row>
    <row r="596" spans="23:27">
      <c r="W596" s="48">
        <f t="shared" si="36"/>
        <v>0</v>
      </c>
      <c r="X596" s="206">
        <f t="shared" si="37"/>
        <v>105.73929214477539</v>
      </c>
      <c r="Y596" s="206">
        <f t="shared" si="38"/>
        <v>0</v>
      </c>
      <c r="Z596" s="206">
        <f t="shared" si="39"/>
        <v>89.406955718994141</v>
      </c>
      <c r="AA596" s="48"/>
    </row>
    <row r="597" spans="23:27">
      <c r="W597" s="48">
        <f t="shared" si="36"/>
        <v>0</v>
      </c>
      <c r="X597" s="206">
        <f t="shared" si="37"/>
        <v>105.73929214477539</v>
      </c>
      <c r="Y597" s="206">
        <f t="shared" si="38"/>
        <v>0</v>
      </c>
      <c r="Z597" s="206">
        <f t="shared" si="39"/>
        <v>89.406955718994141</v>
      </c>
      <c r="AA597" s="48"/>
    </row>
    <row r="598" spans="23:27">
      <c r="W598" s="48">
        <f t="shared" si="36"/>
        <v>0</v>
      </c>
      <c r="X598" s="206">
        <f t="shared" si="37"/>
        <v>105.73929214477539</v>
      </c>
      <c r="Y598" s="206">
        <f t="shared" si="38"/>
        <v>0</v>
      </c>
      <c r="Z598" s="206">
        <f t="shared" si="39"/>
        <v>89.406955718994141</v>
      </c>
      <c r="AA598" s="48"/>
    </row>
    <row r="599" spans="23:27">
      <c r="W599" s="48">
        <f t="shared" si="36"/>
        <v>0</v>
      </c>
      <c r="X599" s="206">
        <f t="shared" si="37"/>
        <v>105.73929214477539</v>
      </c>
      <c r="Y599" s="206">
        <f t="shared" si="38"/>
        <v>0</v>
      </c>
      <c r="Z599" s="206">
        <f t="shared" si="39"/>
        <v>89.406955718994141</v>
      </c>
      <c r="AA599" s="48"/>
    </row>
    <row r="600" spans="23:27">
      <c r="W600" s="48">
        <f t="shared" si="36"/>
        <v>0</v>
      </c>
      <c r="X600" s="206">
        <f t="shared" si="37"/>
        <v>105.73929214477539</v>
      </c>
      <c r="Y600" s="206">
        <f t="shared" si="38"/>
        <v>0</v>
      </c>
      <c r="Z600" s="206">
        <f t="shared" si="39"/>
        <v>89.406955718994141</v>
      </c>
      <c r="AA600" s="48"/>
    </row>
    <row r="601" spans="23:27">
      <c r="W601" s="48">
        <f t="shared" si="36"/>
        <v>0</v>
      </c>
      <c r="X601" s="206">
        <f t="shared" si="37"/>
        <v>105.73929214477539</v>
      </c>
      <c r="Y601" s="206">
        <f t="shared" si="38"/>
        <v>0</v>
      </c>
      <c r="Z601" s="206">
        <f t="shared" si="39"/>
        <v>89.406955718994141</v>
      </c>
      <c r="AA601" s="48"/>
    </row>
    <row r="602" spans="23:27">
      <c r="W602" s="48">
        <f t="shared" si="36"/>
        <v>0</v>
      </c>
      <c r="X602" s="206">
        <f t="shared" si="37"/>
        <v>105.73929214477539</v>
      </c>
      <c r="Y602" s="206">
        <f t="shared" si="38"/>
        <v>0</v>
      </c>
      <c r="Z602" s="206">
        <f t="shared" si="39"/>
        <v>89.406955718994141</v>
      </c>
      <c r="AA602" s="48"/>
    </row>
    <row r="603" spans="23:27">
      <c r="W603" s="48">
        <f t="shared" si="36"/>
        <v>0</v>
      </c>
      <c r="X603" s="206">
        <f t="shared" si="37"/>
        <v>105.73929214477539</v>
      </c>
      <c r="Y603" s="206">
        <f t="shared" si="38"/>
        <v>0</v>
      </c>
      <c r="Z603" s="206">
        <f t="shared" si="39"/>
        <v>89.406955718994141</v>
      </c>
      <c r="AA603" s="48"/>
    </row>
    <row r="604" spans="23:27">
      <c r="W604" s="48">
        <f t="shared" si="36"/>
        <v>0</v>
      </c>
      <c r="X604" s="206">
        <f t="shared" si="37"/>
        <v>105.73929214477539</v>
      </c>
      <c r="Y604" s="206">
        <f t="shared" si="38"/>
        <v>0</v>
      </c>
      <c r="Z604" s="206">
        <f t="shared" si="39"/>
        <v>89.406955718994141</v>
      </c>
      <c r="AA604" s="48"/>
    </row>
    <row r="605" spans="23:27">
      <c r="W605" s="48">
        <f t="shared" si="36"/>
        <v>0</v>
      </c>
      <c r="X605" s="206">
        <f t="shared" si="37"/>
        <v>105.73929214477539</v>
      </c>
      <c r="Y605" s="206">
        <f t="shared" si="38"/>
        <v>0</v>
      </c>
      <c r="Z605" s="206">
        <f t="shared" si="39"/>
        <v>89.406955718994141</v>
      </c>
      <c r="AA605" s="48"/>
    </row>
    <row r="606" spans="23:27">
      <c r="W606" s="48">
        <f t="shared" si="36"/>
        <v>0</v>
      </c>
      <c r="X606" s="206">
        <f t="shared" si="37"/>
        <v>105.73929214477539</v>
      </c>
      <c r="Y606" s="206">
        <f t="shared" si="38"/>
        <v>0</v>
      </c>
      <c r="Z606" s="206">
        <f t="shared" si="39"/>
        <v>89.406955718994141</v>
      </c>
      <c r="AA606" s="48"/>
    </row>
    <row r="607" spans="23:27">
      <c r="W607" s="48">
        <f t="shared" si="36"/>
        <v>0</v>
      </c>
      <c r="X607" s="206">
        <f t="shared" si="37"/>
        <v>105.73929214477539</v>
      </c>
      <c r="Y607" s="206">
        <f t="shared" si="38"/>
        <v>0</v>
      </c>
      <c r="Z607" s="206">
        <f t="shared" si="39"/>
        <v>89.406955718994141</v>
      </c>
      <c r="AA607" s="48"/>
    </row>
    <row r="608" spans="23:27">
      <c r="W608" s="48">
        <f t="shared" si="36"/>
        <v>0</v>
      </c>
      <c r="X608" s="206">
        <f t="shared" si="37"/>
        <v>105.73929214477539</v>
      </c>
      <c r="Y608" s="206">
        <f t="shared" si="38"/>
        <v>0</v>
      </c>
      <c r="Z608" s="206">
        <f t="shared" si="39"/>
        <v>89.406955718994141</v>
      </c>
      <c r="AA608" s="48"/>
    </row>
    <row r="609" spans="23:27">
      <c r="W609" s="48">
        <f t="shared" si="36"/>
        <v>0</v>
      </c>
      <c r="X609" s="206">
        <f t="shared" si="37"/>
        <v>105.73929214477539</v>
      </c>
      <c r="Y609" s="206">
        <f t="shared" si="38"/>
        <v>0</v>
      </c>
      <c r="Z609" s="206">
        <f t="shared" si="39"/>
        <v>89.406955718994141</v>
      </c>
      <c r="AA609" s="48"/>
    </row>
    <row r="610" spans="23:27">
      <c r="W610" s="48">
        <f t="shared" si="36"/>
        <v>0</v>
      </c>
      <c r="X610" s="206">
        <f t="shared" si="37"/>
        <v>105.73929214477539</v>
      </c>
      <c r="Y610" s="206">
        <f t="shared" si="38"/>
        <v>0</v>
      </c>
      <c r="Z610" s="206">
        <f t="shared" si="39"/>
        <v>89.406955718994141</v>
      </c>
      <c r="AA610" s="48"/>
    </row>
    <row r="611" spans="23:27">
      <c r="W611" s="48">
        <f t="shared" si="36"/>
        <v>0</v>
      </c>
      <c r="X611" s="206">
        <f t="shared" si="37"/>
        <v>105.73929214477539</v>
      </c>
      <c r="Y611" s="206">
        <f t="shared" si="38"/>
        <v>0</v>
      </c>
      <c r="Z611" s="206">
        <f t="shared" si="39"/>
        <v>89.406955718994141</v>
      </c>
      <c r="AA611" s="48"/>
    </row>
    <row r="612" spans="23:27">
      <c r="W612" s="48">
        <f t="shared" si="36"/>
        <v>0</v>
      </c>
      <c r="X612" s="206">
        <f t="shared" si="37"/>
        <v>105.73929214477539</v>
      </c>
      <c r="Y612" s="206">
        <f t="shared" si="38"/>
        <v>0</v>
      </c>
      <c r="Z612" s="206">
        <f t="shared" si="39"/>
        <v>89.406955718994141</v>
      </c>
      <c r="AA612" s="48"/>
    </row>
    <row r="613" spans="23:27">
      <c r="W613" s="48">
        <f t="shared" si="36"/>
        <v>0</v>
      </c>
      <c r="X613" s="206">
        <f t="shared" si="37"/>
        <v>105.73929214477539</v>
      </c>
      <c r="Y613" s="206">
        <f t="shared" si="38"/>
        <v>0</v>
      </c>
      <c r="Z613" s="206">
        <f t="shared" si="39"/>
        <v>89.406955718994141</v>
      </c>
      <c r="AA613" s="48"/>
    </row>
    <row r="614" spans="23:27">
      <c r="W614" s="48">
        <f t="shared" si="36"/>
        <v>0</v>
      </c>
      <c r="X614" s="206">
        <f t="shared" si="37"/>
        <v>105.73929214477539</v>
      </c>
      <c r="Y614" s="206">
        <f t="shared" si="38"/>
        <v>0</v>
      </c>
      <c r="Z614" s="206">
        <f t="shared" si="39"/>
        <v>89.406955718994141</v>
      </c>
      <c r="AA614" s="48"/>
    </row>
    <row r="615" spans="23:27">
      <c r="W615" s="48"/>
      <c r="X615" s="206"/>
      <c r="Y615" s="206"/>
      <c r="Z615" s="206"/>
      <c r="AA615" s="48"/>
    </row>
    <row r="616" spans="23:27">
      <c r="W616" s="48"/>
      <c r="X616" s="206"/>
      <c r="Y616" s="206"/>
      <c r="Z616" s="206"/>
      <c r="AA616" s="48"/>
    </row>
    <row r="617" spans="23:27">
      <c r="W617" s="48"/>
      <c r="X617" s="206"/>
      <c r="Y617" s="206"/>
      <c r="Z617" s="206"/>
      <c r="AA617" s="48"/>
    </row>
    <row r="618" spans="23:27">
      <c r="W618" s="48"/>
      <c r="X618" s="206"/>
      <c r="Y618" s="206"/>
      <c r="Z618" s="206"/>
      <c r="AA618" s="48"/>
    </row>
    <row r="619" spans="23:27">
      <c r="W619" s="48"/>
      <c r="X619" s="206"/>
      <c r="Y619" s="206"/>
      <c r="Z619" s="206"/>
      <c r="AA619" s="48"/>
    </row>
    <row r="620" spans="23:27">
      <c r="W620" s="48"/>
      <c r="X620" s="206"/>
      <c r="Y620" s="206"/>
      <c r="Z620" s="206"/>
      <c r="AA620" s="48"/>
    </row>
    <row r="621" spans="23:27">
      <c r="W621" s="48"/>
      <c r="X621" s="206"/>
      <c r="Y621" s="206"/>
      <c r="Z621" s="206"/>
      <c r="AA621" s="48"/>
    </row>
    <row r="622" spans="23:27">
      <c r="W622" s="48"/>
      <c r="X622" s="206"/>
      <c r="Y622" s="206"/>
      <c r="Z622" s="206"/>
      <c r="AA622" s="48"/>
    </row>
    <row r="623" spans="23:27">
      <c r="W623" s="48"/>
      <c r="X623" s="206"/>
      <c r="Y623" s="206"/>
      <c r="Z623" s="206"/>
      <c r="AA623" s="48"/>
    </row>
    <row r="624" spans="23:27">
      <c r="W624" s="48"/>
      <c r="X624" s="206"/>
      <c r="Y624" s="206"/>
      <c r="Z624" s="206"/>
      <c r="AA624" s="48"/>
    </row>
    <row r="625" spans="23:27">
      <c r="W625" s="48"/>
      <c r="X625" s="206"/>
      <c r="Y625" s="206"/>
      <c r="Z625" s="206"/>
      <c r="AA625" s="48"/>
    </row>
    <row r="626" spans="23:27">
      <c r="W626" s="48"/>
      <c r="X626" s="206"/>
      <c r="Y626" s="206"/>
      <c r="Z626" s="206"/>
      <c r="AA626" s="48"/>
    </row>
    <row r="627" spans="23:27">
      <c r="W627" s="48"/>
      <c r="X627" s="206"/>
      <c r="Y627" s="206"/>
      <c r="Z627" s="206"/>
      <c r="AA627" s="48"/>
    </row>
    <row r="628" spans="23:27">
      <c r="W628" s="48"/>
      <c r="X628" s="206"/>
      <c r="Y628" s="206"/>
      <c r="Z628" s="206"/>
      <c r="AA628" s="48"/>
    </row>
    <row r="629" spans="23:27">
      <c r="W629" s="48"/>
      <c r="X629" s="206"/>
      <c r="Y629" s="206"/>
      <c r="Z629" s="206"/>
      <c r="AA629" s="48"/>
    </row>
    <row r="630" spans="23:27">
      <c r="W630" s="48"/>
      <c r="X630" s="206"/>
      <c r="Y630" s="206"/>
      <c r="Z630" s="206"/>
      <c r="AA630" s="48"/>
    </row>
    <row r="631" spans="23:27">
      <c r="W631" s="48"/>
      <c r="X631" s="206"/>
      <c r="Y631" s="206"/>
      <c r="Z631" s="206"/>
      <c r="AA631" s="48"/>
    </row>
    <row r="632" spans="23:27">
      <c r="W632" s="48"/>
      <c r="X632" s="206"/>
      <c r="Y632" s="206"/>
      <c r="Z632" s="206"/>
      <c r="AA632" s="48"/>
    </row>
    <row r="633" spans="23:27">
      <c r="W633" s="48"/>
      <c r="X633" s="206"/>
      <c r="Y633" s="206"/>
      <c r="Z633" s="206"/>
      <c r="AA633" s="48"/>
    </row>
    <row r="634" spans="23:27">
      <c r="W634" s="48"/>
      <c r="X634" s="206"/>
      <c r="Y634" s="206"/>
      <c r="Z634" s="206"/>
      <c r="AA634" s="48"/>
    </row>
    <row r="635" spans="23:27">
      <c r="W635" s="48"/>
      <c r="X635" s="206"/>
      <c r="Y635" s="206"/>
      <c r="Z635" s="206"/>
      <c r="AA635" s="48"/>
    </row>
    <row r="636" spans="23:27">
      <c r="W636" s="48"/>
      <c r="X636" s="206"/>
      <c r="Y636" s="206"/>
      <c r="Z636" s="206"/>
      <c r="AA636" s="48"/>
    </row>
    <row r="637" spans="23:27">
      <c r="W637" s="48"/>
      <c r="X637" s="206"/>
      <c r="Y637" s="206"/>
      <c r="Z637" s="206"/>
      <c r="AA637" s="48"/>
    </row>
    <row r="638" spans="23:27">
      <c r="W638" s="48"/>
      <c r="X638" s="206"/>
      <c r="Y638" s="206"/>
      <c r="Z638" s="206"/>
      <c r="AA638" s="48"/>
    </row>
    <row r="639" spans="23:27">
      <c r="W639" s="48"/>
      <c r="X639" s="206"/>
      <c r="Y639" s="206"/>
      <c r="Z639" s="206"/>
      <c r="AA639" s="48"/>
    </row>
    <row r="640" spans="23:27">
      <c r="W640" s="48"/>
      <c r="X640" s="206"/>
      <c r="Y640" s="206"/>
      <c r="Z640" s="206"/>
      <c r="AA640" s="48"/>
    </row>
    <row r="641" spans="23:27">
      <c r="W641" s="48"/>
      <c r="X641" s="206"/>
      <c r="Y641" s="206"/>
      <c r="Z641" s="206"/>
      <c r="AA641" s="48"/>
    </row>
    <row r="642" spans="23:27">
      <c r="W642" s="48"/>
      <c r="X642" s="206"/>
      <c r="Y642" s="206"/>
      <c r="Z642" s="206"/>
      <c r="AA642" s="48"/>
    </row>
    <row r="643" spans="23:27">
      <c r="W643" s="48"/>
      <c r="X643" s="206"/>
      <c r="Y643" s="206"/>
      <c r="Z643" s="206"/>
      <c r="AA643" s="48"/>
    </row>
    <row r="644" spans="23:27">
      <c r="W644" s="48"/>
      <c r="X644" s="206"/>
      <c r="Y644" s="206"/>
      <c r="Z644" s="206"/>
      <c r="AA644" s="48"/>
    </row>
    <row r="645" spans="23:27">
      <c r="W645" s="48"/>
      <c r="X645" s="206"/>
      <c r="Y645" s="206"/>
      <c r="Z645" s="206"/>
      <c r="AA645" s="48"/>
    </row>
    <row r="646" spans="23:27">
      <c r="W646" s="48"/>
      <c r="X646" s="206"/>
      <c r="Y646" s="206"/>
      <c r="Z646" s="206"/>
      <c r="AA646" s="48"/>
    </row>
    <row r="647" spans="23:27">
      <c r="W647" s="48"/>
      <c r="X647" s="206"/>
      <c r="Y647" s="206"/>
      <c r="Z647" s="206"/>
      <c r="AA647" s="48"/>
    </row>
    <row r="648" spans="23:27">
      <c r="W648" s="48"/>
      <c r="X648" s="206"/>
      <c r="Y648" s="206"/>
      <c r="Z648" s="206"/>
      <c r="AA648" s="48"/>
    </row>
    <row r="649" spans="23:27">
      <c r="W649" s="48"/>
      <c r="X649" s="206"/>
      <c r="Y649" s="206"/>
      <c r="Z649" s="206"/>
      <c r="AA649" s="48"/>
    </row>
    <row r="650" spans="23:27">
      <c r="W650" s="48"/>
      <c r="X650" s="206"/>
      <c r="Y650" s="206"/>
      <c r="Z650" s="206"/>
      <c r="AA650" s="48"/>
    </row>
    <row r="651" spans="23:27">
      <c r="W651" s="48"/>
      <c r="X651" s="206"/>
      <c r="Y651" s="206"/>
      <c r="Z651" s="206"/>
      <c r="AA651" s="48"/>
    </row>
    <row r="652" spans="23:27">
      <c r="W652" s="48"/>
      <c r="X652" s="206"/>
      <c r="Y652" s="206"/>
      <c r="Z652" s="206"/>
      <c r="AA652" s="48"/>
    </row>
    <row r="653" spans="23:27">
      <c r="W653" s="48"/>
      <c r="X653" s="206"/>
      <c r="Y653" s="206"/>
      <c r="Z653" s="206"/>
      <c r="AA653" s="48"/>
    </row>
    <row r="654" spans="23:27">
      <c r="W654" s="48"/>
      <c r="X654" s="206"/>
      <c r="Y654" s="206"/>
      <c r="Z654" s="206"/>
      <c r="AA654" s="48"/>
    </row>
    <row r="655" spans="23:27">
      <c r="W655" s="48"/>
      <c r="X655" s="206"/>
      <c r="Y655" s="206"/>
      <c r="Z655" s="206"/>
      <c r="AA655" s="48"/>
    </row>
    <row r="656" spans="23:27">
      <c r="W656" s="48"/>
      <c r="X656" s="206"/>
      <c r="Y656" s="206"/>
      <c r="Z656" s="206"/>
      <c r="AA656" s="48"/>
    </row>
    <row r="657" spans="23:27">
      <c r="W657" s="48"/>
      <c r="X657" s="206"/>
      <c r="Y657" s="206"/>
      <c r="Z657" s="206"/>
      <c r="AA657" s="48"/>
    </row>
    <row r="658" spans="23:27">
      <c r="W658" s="48"/>
      <c r="X658" s="206"/>
      <c r="Y658" s="206"/>
      <c r="Z658" s="206"/>
      <c r="AA658" s="48"/>
    </row>
    <row r="659" spans="23:27">
      <c r="W659" s="48"/>
      <c r="X659" s="206"/>
      <c r="Y659" s="206"/>
      <c r="Z659" s="206"/>
      <c r="AA659" s="48"/>
    </row>
    <row r="660" spans="23:27">
      <c r="W660" s="48"/>
      <c r="X660" s="206"/>
      <c r="Y660" s="206"/>
      <c r="Z660" s="206"/>
      <c r="AA660" s="48"/>
    </row>
    <row r="661" spans="23:27">
      <c r="W661" s="48"/>
      <c r="X661" s="206"/>
      <c r="Y661" s="206"/>
      <c r="Z661" s="206"/>
      <c r="AA661" s="48"/>
    </row>
    <row r="662" spans="23:27">
      <c r="W662" s="48"/>
      <c r="X662" s="206"/>
      <c r="Y662" s="206"/>
      <c r="Z662" s="206"/>
      <c r="AA662" s="48"/>
    </row>
    <row r="663" spans="23:27">
      <c r="W663" s="48"/>
      <c r="X663" s="206"/>
      <c r="Y663" s="206"/>
      <c r="Z663" s="206"/>
      <c r="AA663" s="48"/>
    </row>
    <row r="664" spans="23:27">
      <c r="W664" s="48"/>
      <c r="X664" s="206"/>
      <c r="Y664" s="206"/>
      <c r="Z664" s="206"/>
      <c r="AA664" s="48"/>
    </row>
    <row r="665" spans="23:27">
      <c r="W665" s="48"/>
      <c r="X665" s="206"/>
      <c r="Y665" s="206"/>
      <c r="Z665" s="206"/>
      <c r="AA665" s="48"/>
    </row>
    <row r="666" spans="23:27">
      <c r="W666" s="48"/>
      <c r="X666" s="206"/>
      <c r="Y666" s="206"/>
      <c r="Z666" s="206"/>
      <c r="AA666" s="48"/>
    </row>
    <row r="667" spans="23:27">
      <c r="W667" s="48"/>
      <c r="X667" s="206"/>
      <c r="Y667" s="206"/>
      <c r="Z667" s="206"/>
      <c r="AA667" s="48"/>
    </row>
    <row r="668" spans="23:27">
      <c r="W668" s="48"/>
      <c r="X668" s="206"/>
      <c r="Y668" s="206"/>
      <c r="Z668" s="206"/>
      <c r="AA668" s="48"/>
    </row>
    <row r="669" spans="23:27">
      <c r="W669" s="48"/>
      <c r="X669" s="206"/>
      <c r="Y669" s="206"/>
      <c r="Z669" s="206"/>
      <c r="AA669" s="48"/>
    </row>
    <row r="670" spans="23:27">
      <c r="W670" s="48"/>
      <c r="X670" s="206"/>
      <c r="Y670" s="206"/>
      <c r="Z670" s="206"/>
      <c r="AA670" s="48"/>
    </row>
    <row r="671" spans="23:27">
      <c r="W671" s="48"/>
      <c r="X671" s="206"/>
      <c r="Y671" s="206"/>
      <c r="Z671" s="206"/>
      <c r="AA671" s="48"/>
    </row>
    <row r="672" spans="23:27">
      <c r="W672" s="48"/>
      <c r="X672" s="206"/>
      <c r="Y672" s="206"/>
      <c r="Z672" s="206"/>
      <c r="AA672" s="48"/>
    </row>
    <row r="673" spans="23:27">
      <c r="W673" s="48"/>
      <c r="X673" s="206"/>
      <c r="Y673" s="206"/>
      <c r="Z673" s="206"/>
      <c r="AA673" s="48"/>
    </row>
    <row r="674" spans="23:27">
      <c r="W674" s="48"/>
      <c r="X674" s="206"/>
      <c r="Y674" s="206"/>
      <c r="Z674" s="206"/>
      <c r="AA674" s="48"/>
    </row>
    <row r="675" spans="23:27">
      <c r="W675" s="48"/>
      <c r="X675" s="206"/>
      <c r="Y675" s="206"/>
      <c r="Z675" s="206"/>
      <c r="AA675" s="48"/>
    </row>
    <row r="676" spans="23:27">
      <c r="W676" s="48"/>
      <c r="X676" s="206"/>
      <c r="Y676" s="206"/>
      <c r="Z676" s="206"/>
      <c r="AA676" s="48"/>
    </row>
    <row r="677" spans="23:27">
      <c r="W677" s="48"/>
      <c r="X677" s="206"/>
      <c r="Y677" s="206"/>
      <c r="Z677" s="206"/>
      <c r="AA677" s="48"/>
    </row>
    <row r="678" spans="23:27">
      <c r="W678" s="48"/>
      <c r="X678" s="206"/>
      <c r="Y678" s="206"/>
      <c r="Z678" s="206"/>
      <c r="AA678" s="48"/>
    </row>
    <row r="679" spans="23:27">
      <c r="W679" s="48"/>
      <c r="X679" s="206"/>
      <c r="Y679" s="206"/>
      <c r="Z679" s="206"/>
      <c r="AA679" s="48"/>
    </row>
    <row r="680" spans="23:27">
      <c r="W680" s="48"/>
      <c r="X680" s="206"/>
      <c r="Y680" s="206"/>
      <c r="Z680" s="206"/>
      <c r="AA680" s="48"/>
    </row>
    <row r="681" spans="23:27">
      <c r="W681" s="48"/>
      <c r="X681" s="206"/>
      <c r="Y681" s="206"/>
      <c r="Z681" s="206"/>
      <c r="AA681" s="48"/>
    </row>
    <row r="682" spans="23:27">
      <c r="W682" s="48"/>
      <c r="X682" s="206"/>
      <c r="Y682" s="206"/>
      <c r="Z682" s="206"/>
      <c r="AA682" s="48"/>
    </row>
    <row r="683" spans="23:27">
      <c r="W683" s="48"/>
      <c r="X683" s="206"/>
      <c r="Y683" s="206"/>
      <c r="Z683" s="206"/>
      <c r="AA683" s="48"/>
    </row>
    <row r="684" spans="23:27">
      <c r="W684" s="48"/>
      <c r="X684" s="206"/>
      <c r="Y684" s="206"/>
      <c r="Z684" s="206"/>
      <c r="AA684" s="48"/>
    </row>
    <row r="685" spans="23:27">
      <c r="W685" s="48"/>
      <c r="X685" s="206"/>
      <c r="Y685" s="206"/>
      <c r="Z685" s="206"/>
      <c r="AA685" s="48"/>
    </row>
    <row r="686" spans="23:27">
      <c r="W686" s="48"/>
      <c r="X686" s="206"/>
      <c r="Y686" s="206"/>
      <c r="Z686" s="206"/>
      <c r="AA686" s="48"/>
    </row>
    <row r="687" spans="23:27">
      <c r="W687" s="48"/>
      <c r="X687" s="206"/>
      <c r="Y687" s="206"/>
      <c r="Z687" s="206"/>
      <c r="AA687" s="48"/>
    </row>
    <row r="688" spans="23:27">
      <c r="W688" s="48"/>
      <c r="X688" s="206"/>
      <c r="Y688" s="206"/>
      <c r="Z688" s="206"/>
      <c r="AA688" s="48"/>
    </row>
    <row r="689" spans="23:27">
      <c r="W689" s="48"/>
      <c r="X689" s="206"/>
      <c r="Y689" s="206"/>
      <c r="Z689" s="206"/>
      <c r="AA689" s="48"/>
    </row>
    <row r="690" spans="23:27">
      <c r="W690" s="48"/>
      <c r="X690" s="206"/>
      <c r="Y690" s="206"/>
      <c r="Z690" s="206"/>
      <c r="AA690" s="48"/>
    </row>
    <row r="691" spans="23:27">
      <c r="W691" s="48"/>
      <c r="X691" s="206"/>
      <c r="Y691" s="206"/>
      <c r="Z691" s="206"/>
      <c r="AA691" s="48"/>
    </row>
    <row r="692" spans="23:27">
      <c r="W692" s="48"/>
      <c r="X692" s="206"/>
      <c r="Y692" s="206"/>
      <c r="Z692" s="206"/>
      <c r="AA692" s="48"/>
    </row>
    <row r="693" spans="23:27">
      <c r="W693" s="48"/>
      <c r="X693" s="206"/>
      <c r="Y693" s="206"/>
      <c r="Z693" s="206"/>
      <c r="AA693" s="48"/>
    </row>
    <row r="694" spans="23:27">
      <c r="W694" s="48"/>
      <c r="X694" s="206"/>
      <c r="Y694" s="206"/>
      <c r="Z694" s="206"/>
      <c r="AA694" s="48"/>
    </row>
    <row r="695" spans="23:27">
      <c r="W695" s="48"/>
      <c r="X695" s="206"/>
      <c r="Y695" s="206"/>
      <c r="Z695" s="206"/>
      <c r="AA695" s="48"/>
    </row>
    <row r="696" spans="23:27">
      <c r="W696" s="48"/>
      <c r="X696" s="206"/>
      <c r="Y696" s="206"/>
      <c r="Z696" s="206"/>
      <c r="AA696" s="48"/>
    </row>
    <row r="697" spans="23:27">
      <c r="X697" s="43"/>
      <c r="Y697" s="43"/>
      <c r="Z697" s="43"/>
    </row>
    <row r="698" spans="23:27">
      <c r="X698" s="43"/>
      <c r="Y698" s="43"/>
      <c r="Z698" s="43"/>
    </row>
    <row r="699" spans="23:27">
      <c r="X699" s="43"/>
      <c r="Y699" s="43"/>
      <c r="Z699" s="43"/>
    </row>
    <row r="700" spans="23:27">
      <c r="X700" s="43"/>
      <c r="Y700" s="43"/>
      <c r="Z700" s="43"/>
    </row>
    <row r="701" spans="23:27">
      <c r="X701" s="43"/>
      <c r="Y701" s="43"/>
      <c r="Z701" s="43"/>
    </row>
    <row r="702" spans="23:27">
      <c r="X702" s="43"/>
      <c r="Y702" s="43"/>
      <c r="Z702" s="43"/>
    </row>
    <row r="703" spans="23:27">
      <c r="X703" s="43"/>
      <c r="Y703" s="43"/>
      <c r="Z703" s="43"/>
    </row>
    <row r="704" spans="23:27">
      <c r="X704" s="43"/>
      <c r="Y704" s="43"/>
      <c r="Z704" s="43"/>
    </row>
    <row r="705" spans="24:26">
      <c r="X705" s="43"/>
      <c r="Y705" s="43"/>
      <c r="Z705" s="43"/>
    </row>
    <row r="706" spans="24:26">
      <c r="X706" s="43"/>
      <c r="Y706" s="43"/>
      <c r="Z706" s="43"/>
    </row>
    <row r="707" spans="24:26">
      <c r="X707" s="43"/>
      <c r="Y707" s="43"/>
      <c r="Z707" s="43"/>
    </row>
    <row r="708" spans="24:26">
      <c r="X708" s="43"/>
      <c r="Y708" s="43"/>
      <c r="Z708" s="43"/>
    </row>
    <row r="709" spans="24:26">
      <c r="X709" s="43"/>
      <c r="Y709" s="43"/>
      <c r="Z709" s="43"/>
    </row>
    <row r="710" spans="24:26">
      <c r="X710" s="43"/>
      <c r="Y710" s="43"/>
      <c r="Z710" s="43"/>
    </row>
    <row r="711" spans="24:26">
      <c r="X711" s="43"/>
      <c r="Y711" s="43"/>
      <c r="Z711" s="43"/>
    </row>
    <row r="712" spans="24:26">
      <c r="X712" s="43"/>
      <c r="Y712" s="43"/>
      <c r="Z712" s="43"/>
    </row>
    <row r="713" spans="24:26">
      <c r="X713" s="43"/>
      <c r="Y713" s="43"/>
      <c r="Z713" s="43"/>
    </row>
    <row r="714" spans="24:26">
      <c r="X714" s="43"/>
      <c r="Y714" s="43"/>
      <c r="Z714" s="43"/>
    </row>
    <row r="715" spans="24:26">
      <c r="X715" s="43"/>
      <c r="Y715" s="43"/>
      <c r="Z715" s="43"/>
    </row>
    <row r="716" spans="24:26">
      <c r="X716" s="43"/>
      <c r="Y716" s="43"/>
      <c r="Z716" s="43"/>
    </row>
    <row r="717" spans="24:26">
      <c r="X717" s="43"/>
      <c r="Y717" s="43"/>
      <c r="Z717" s="43"/>
    </row>
    <row r="718" spans="24:26">
      <c r="X718" s="43"/>
      <c r="Y718" s="43"/>
      <c r="Z718" s="43"/>
    </row>
    <row r="719" spans="24:26">
      <c r="X719" s="43"/>
      <c r="Y719" s="43"/>
      <c r="Z719" s="43"/>
    </row>
    <row r="720" spans="24:26">
      <c r="X720" s="43"/>
      <c r="Y720" s="43"/>
      <c r="Z720" s="43"/>
    </row>
    <row r="721" spans="24:26">
      <c r="X721" s="43"/>
      <c r="Y721" s="43"/>
      <c r="Z721" s="43"/>
    </row>
    <row r="722" spans="24:26">
      <c r="X722" s="43"/>
      <c r="Y722" s="43"/>
      <c r="Z722" s="43"/>
    </row>
    <row r="723" spans="24:26">
      <c r="X723" s="43"/>
      <c r="Y723" s="43"/>
      <c r="Z723" s="43"/>
    </row>
    <row r="724" spans="24:26">
      <c r="X724" s="43"/>
      <c r="Y724" s="43"/>
      <c r="Z724" s="43"/>
    </row>
    <row r="725" spans="24:26">
      <c r="X725" s="43"/>
      <c r="Y725" s="43"/>
      <c r="Z725" s="43"/>
    </row>
    <row r="726" spans="24:26">
      <c r="X726" s="43"/>
      <c r="Y726" s="43"/>
      <c r="Z726" s="43"/>
    </row>
    <row r="727" spans="24:26">
      <c r="X727" s="43"/>
      <c r="Y727" s="43"/>
      <c r="Z727" s="43"/>
    </row>
    <row r="728" spans="24:26">
      <c r="X728" s="43"/>
      <c r="Y728" s="43"/>
      <c r="Z728" s="43"/>
    </row>
    <row r="729" spans="24:26">
      <c r="X729" s="43"/>
      <c r="Y729" s="43"/>
      <c r="Z729" s="43"/>
    </row>
    <row r="730" spans="24:26">
      <c r="X730" s="43"/>
      <c r="Y730" s="43"/>
      <c r="Z730" s="43"/>
    </row>
    <row r="731" spans="24:26">
      <c r="X731" s="43"/>
      <c r="Y731" s="43"/>
      <c r="Z731" s="43"/>
    </row>
    <row r="732" spans="24:26">
      <c r="X732" s="43"/>
      <c r="Y732" s="43"/>
      <c r="Z732" s="43"/>
    </row>
    <row r="733" spans="24:26">
      <c r="X733" s="43"/>
      <c r="Y733" s="43"/>
      <c r="Z733" s="43"/>
    </row>
    <row r="734" spans="24:26">
      <c r="X734" s="43"/>
      <c r="Y734" s="43"/>
      <c r="Z734" s="43"/>
    </row>
    <row r="735" spans="24:26">
      <c r="X735" s="43"/>
      <c r="Y735" s="43"/>
      <c r="Z735" s="43"/>
    </row>
    <row r="736" spans="24:26">
      <c r="X736" s="43"/>
      <c r="Y736" s="43"/>
      <c r="Z736" s="43"/>
    </row>
    <row r="737" spans="24:26">
      <c r="X737" s="43"/>
      <c r="Y737" s="43"/>
      <c r="Z737" s="43"/>
    </row>
    <row r="738" spans="24:26">
      <c r="X738" s="43"/>
      <c r="Y738" s="43"/>
      <c r="Z738" s="43"/>
    </row>
    <row r="739" spans="24:26">
      <c r="X739" s="43"/>
      <c r="Y739" s="43"/>
      <c r="Z739" s="43"/>
    </row>
    <row r="740" spans="24:26">
      <c r="X740" s="43"/>
      <c r="Y740" s="43"/>
      <c r="Z740" s="43"/>
    </row>
    <row r="741" spans="24:26">
      <c r="X741" s="43"/>
      <c r="Y741" s="43"/>
      <c r="Z741" s="43"/>
    </row>
    <row r="742" spans="24:26">
      <c r="X742" s="43"/>
      <c r="Y742" s="43"/>
      <c r="Z742" s="43"/>
    </row>
    <row r="743" spans="24:26">
      <c r="X743" s="43"/>
      <c r="Y743" s="43"/>
      <c r="Z743" s="43"/>
    </row>
    <row r="744" spans="24:26">
      <c r="X744" s="43"/>
      <c r="Y744" s="43"/>
      <c r="Z744" s="43"/>
    </row>
    <row r="745" spans="24:26">
      <c r="X745" s="43"/>
      <c r="Y745" s="43"/>
      <c r="Z745" s="43"/>
    </row>
    <row r="746" spans="24:26">
      <c r="X746" s="43"/>
      <c r="Y746" s="43"/>
      <c r="Z746" s="43"/>
    </row>
    <row r="747" spans="24:26">
      <c r="X747" s="43"/>
      <c r="Y747" s="43"/>
      <c r="Z747" s="43"/>
    </row>
    <row r="748" spans="24:26">
      <c r="X748" s="43"/>
      <c r="Y748" s="43"/>
      <c r="Z748" s="43"/>
    </row>
    <row r="749" spans="24:26">
      <c r="X749" s="43"/>
      <c r="Y749" s="43"/>
      <c r="Z749" s="43"/>
    </row>
    <row r="750" spans="24:26">
      <c r="X750" s="43"/>
      <c r="Y750" s="43"/>
      <c r="Z750" s="43"/>
    </row>
    <row r="751" spans="24:26">
      <c r="X751" s="43"/>
      <c r="Y751" s="43"/>
      <c r="Z751" s="43"/>
    </row>
    <row r="752" spans="24:26">
      <c r="X752" s="43"/>
      <c r="Y752" s="43"/>
      <c r="Z752" s="43"/>
    </row>
    <row r="753" spans="24:26">
      <c r="X753" s="43"/>
      <c r="Y753" s="43"/>
      <c r="Z753" s="43"/>
    </row>
    <row r="754" spans="24:26">
      <c r="X754" s="43"/>
      <c r="Y754" s="43"/>
      <c r="Z754" s="43"/>
    </row>
    <row r="755" spans="24:26">
      <c r="X755" s="43"/>
      <c r="Y755" s="43"/>
      <c r="Z755" s="43"/>
    </row>
    <row r="756" spans="24:26">
      <c r="X756" s="43"/>
      <c r="Y756" s="43"/>
      <c r="Z756" s="43"/>
    </row>
    <row r="757" spans="24:26">
      <c r="X757" s="43"/>
      <c r="Y757" s="43"/>
      <c r="Z757" s="43"/>
    </row>
    <row r="758" spans="24:26">
      <c r="X758" s="43"/>
      <c r="Y758" s="43"/>
      <c r="Z758" s="43"/>
    </row>
    <row r="759" spans="24:26">
      <c r="X759" s="43"/>
      <c r="Y759" s="43"/>
      <c r="Z759" s="43"/>
    </row>
    <row r="760" spans="24:26">
      <c r="X760" s="43"/>
      <c r="Y760" s="43"/>
      <c r="Z760" s="43"/>
    </row>
    <row r="761" spans="24:26">
      <c r="X761" s="43"/>
      <c r="Y761" s="43"/>
      <c r="Z761" s="43"/>
    </row>
    <row r="762" spans="24:26">
      <c r="X762" s="43"/>
      <c r="Y762" s="43"/>
      <c r="Z762" s="43"/>
    </row>
    <row r="763" spans="24:26">
      <c r="X763" s="43"/>
      <c r="Y763" s="43"/>
      <c r="Z763" s="43"/>
    </row>
    <row r="764" spans="24:26">
      <c r="X764" s="43"/>
      <c r="Y764" s="43"/>
      <c r="Z764" s="43"/>
    </row>
    <row r="765" spans="24:26">
      <c r="X765" s="43"/>
      <c r="Y765" s="43"/>
      <c r="Z765" s="43"/>
    </row>
    <row r="766" spans="24:26">
      <c r="X766" s="43"/>
      <c r="Y766" s="43"/>
      <c r="Z766" s="43"/>
    </row>
    <row r="767" spans="24:26">
      <c r="X767" s="43"/>
      <c r="Y767" s="43"/>
      <c r="Z767" s="43"/>
    </row>
    <row r="768" spans="24:26">
      <c r="X768" s="43"/>
      <c r="Y768" s="43"/>
      <c r="Z768" s="43"/>
    </row>
    <row r="769" spans="24:26">
      <c r="X769" s="43"/>
      <c r="Y769" s="43"/>
      <c r="Z769" s="43"/>
    </row>
    <row r="770" spans="24:26">
      <c r="X770" s="43"/>
      <c r="Y770" s="43"/>
      <c r="Z770" s="43"/>
    </row>
    <row r="771" spans="24:26">
      <c r="X771" s="43"/>
      <c r="Y771" s="43"/>
      <c r="Z771" s="43"/>
    </row>
    <row r="772" spans="24:26">
      <c r="X772" s="43"/>
      <c r="Y772" s="43"/>
      <c r="Z772" s="43"/>
    </row>
    <row r="773" spans="24:26">
      <c r="X773" s="43"/>
      <c r="Y773" s="43"/>
      <c r="Z773" s="43"/>
    </row>
    <row r="774" spans="24:26">
      <c r="X774" s="43"/>
      <c r="Y774" s="43"/>
      <c r="Z774" s="43"/>
    </row>
    <row r="775" spans="24:26">
      <c r="X775" s="43"/>
      <c r="Y775" s="43"/>
      <c r="Z775" s="43"/>
    </row>
    <row r="776" spans="24:26">
      <c r="X776" s="43"/>
      <c r="Y776" s="43"/>
      <c r="Z776" s="43"/>
    </row>
    <row r="777" spans="24:26">
      <c r="X777" s="43"/>
      <c r="Y777" s="43"/>
      <c r="Z777" s="43"/>
    </row>
    <row r="778" spans="24:26">
      <c r="X778" s="43"/>
      <c r="Y778" s="43"/>
      <c r="Z778" s="43"/>
    </row>
    <row r="779" spans="24:26">
      <c r="X779" s="43"/>
      <c r="Y779" s="43"/>
      <c r="Z779" s="43"/>
    </row>
    <row r="780" spans="24:26">
      <c r="X780" s="43"/>
      <c r="Y780" s="43"/>
      <c r="Z780" s="43"/>
    </row>
    <row r="781" spans="24:26">
      <c r="X781" s="43"/>
      <c r="Y781" s="43"/>
      <c r="Z781" s="43"/>
    </row>
    <row r="782" spans="24:26">
      <c r="X782" s="43"/>
      <c r="Y782" s="43"/>
      <c r="Z782" s="43"/>
    </row>
    <row r="783" spans="24:26">
      <c r="X783" s="43"/>
      <c r="Y783" s="43"/>
      <c r="Z783" s="43"/>
    </row>
    <row r="784" spans="24:26">
      <c r="X784" s="43"/>
      <c r="Y784" s="43"/>
      <c r="Z784" s="43"/>
    </row>
    <row r="785" spans="24:26">
      <c r="X785" s="43"/>
      <c r="Y785" s="43"/>
      <c r="Z785" s="43"/>
    </row>
    <row r="786" spans="24:26">
      <c r="X786" s="43"/>
      <c r="Y786" s="43"/>
      <c r="Z786" s="43"/>
    </row>
    <row r="787" spans="24:26">
      <c r="X787" s="43"/>
      <c r="Y787" s="43"/>
      <c r="Z787" s="43"/>
    </row>
    <row r="788" spans="24:26">
      <c r="X788" s="43"/>
      <c r="Y788" s="43"/>
      <c r="Z788" s="43"/>
    </row>
    <row r="789" spans="24:26">
      <c r="X789" s="43"/>
      <c r="Y789" s="43"/>
      <c r="Z789" s="43"/>
    </row>
    <row r="790" spans="24:26">
      <c r="X790" s="43"/>
      <c r="Y790" s="43"/>
      <c r="Z790" s="43"/>
    </row>
    <row r="791" spans="24:26">
      <c r="X791" s="43"/>
      <c r="Y791" s="43"/>
      <c r="Z791" s="43"/>
    </row>
    <row r="792" spans="24:26">
      <c r="X792" s="43"/>
      <c r="Y792" s="43"/>
      <c r="Z792" s="43"/>
    </row>
    <row r="793" spans="24:26">
      <c r="X793" s="43"/>
      <c r="Y793" s="43"/>
      <c r="Z793" s="43"/>
    </row>
    <row r="794" spans="24:26">
      <c r="X794" s="43"/>
      <c r="Y794" s="43"/>
      <c r="Z794" s="43"/>
    </row>
    <row r="795" spans="24:26">
      <c r="X795" s="43"/>
      <c r="Y795" s="43"/>
      <c r="Z795" s="43"/>
    </row>
    <row r="796" spans="24:26">
      <c r="X796" s="43"/>
      <c r="Y796" s="43"/>
      <c r="Z796" s="43"/>
    </row>
    <row r="797" spans="24:26">
      <c r="X797" s="43"/>
      <c r="Y797" s="43"/>
      <c r="Z797" s="43"/>
    </row>
    <row r="798" spans="24:26">
      <c r="X798" s="43"/>
      <c r="Y798" s="43"/>
      <c r="Z798" s="43"/>
    </row>
    <row r="799" spans="24:26">
      <c r="X799" s="43"/>
      <c r="Y799" s="43"/>
      <c r="Z799" s="43"/>
    </row>
    <row r="800" spans="24:26">
      <c r="X800" s="43"/>
      <c r="Y800" s="43"/>
      <c r="Z800" s="43"/>
    </row>
    <row r="801" spans="24:26">
      <c r="X801" s="43"/>
      <c r="Y801" s="43"/>
      <c r="Z801" s="43"/>
    </row>
    <row r="802" spans="24:26">
      <c r="X802" s="43"/>
      <c r="Y802" s="43"/>
      <c r="Z802" s="43"/>
    </row>
    <row r="803" spans="24:26">
      <c r="X803" s="43"/>
      <c r="Y803" s="43"/>
      <c r="Z803" s="43"/>
    </row>
    <row r="804" spans="24:26">
      <c r="X804" s="43"/>
      <c r="Y804" s="43"/>
      <c r="Z804" s="43"/>
    </row>
    <row r="805" spans="24:26">
      <c r="X805" s="43"/>
      <c r="Y805" s="43"/>
      <c r="Z805" s="43"/>
    </row>
    <row r="806" spans="24:26">
      <c r="X806" s="43"/>
      <c r="Y806" s="43"/>
      <c r="Z806" s="43"/>
    </row>
    <row r="807" spans="24:26">
      <c r="X807" s="43"/>
      <c r="Y807" s="43"/>
      <c r="Z807" s="43"/>
    </row>
    <row r="808" spans="24:26">
      <c r="X808" s="43"/>
      <c r="Y808" s="43"/>
      <c r="Z808" s="43"/>
    </row>
    <row r="809" spans="24:26">
      <c r="X809" s="43"/>
      <c r="Y809" s="43"/>
      <c r="Z809" s="43"/>
    </row>
    <row r="810" spans="24:26">
      <c r="X810" s="43"/>
      <c r="Y810" s="43"/>
      <c r="Z810" s="43"/>
    </row>
    <row r="811" spans="24:26">
      <c r="X811" s="43"/>
      <c r="Y811" s="43"/>
      <c r="Z811" s="43"/>
    </row>
    <row r="812" spans="24:26">
      <c r="X812" s="43"/>
      <c r="Y812" s="43"/>
      <c r="Z812" s="43"/>
    </row>
    <row r="813" spans="24:26">
      <c r="X813" s="43"/>
      <c r="Y813" s="43"/>
      <c r="Z813" s="43"/>
    </row>
    <row r="814" spans="24:26">
      <c r="X814" s="43"/>
      <c r="Y814" s="43"/>
      <c r="Z814" s="43"/>
    </row>
    <row r="815" spans="24:26">
      <c r="X815" s="43"/>
      <c r="Y815" s="43"/>
      <c r="Z815" s="43"/>
    </row>
    <row r="816" spans="24:26">
      <c r="X816" s="43"/>
      <c r="Y816" s="43"/>
      <c r="Z816" s="43"/>
    </row>
    <row r="817" spans="24:26">
      <c r="X817" s="43"/>
      <c r="Y817" s="43"/>
      <c r="Z817" s="43"/>
    </row>
    <row r="818" spans="24:26">
      <c r="X818" s="43"/>
      <c r="Y818" s="43"/>
      <c r="Z818" s="43"/>
    </row>
    <row r="819" spans="24:26">
      <c r="X819" s="43"/>
      <c r="Y819" s="43"/>
      <c r="Z819" s="43"/>
    </row>
    <row r="820" spans="24:26">
      <c r="X820" s="43"/>
      <c r="Y820" s="43"/>
      <c r="Z820" s="43"/>
    </row>
    <row r="821" spans="24:26">
      <c r="X821" s="43"/>
      <c r="Y821" s="43"/>
      <c r="Z821" s="43"/>
    </row>
    <row r="822" spans="24:26">
      <c r="X822" s="43"/>
      <c r="Y822" s="43"/>
      <c r="Z822" s="43"/>
    </row>
    <row r="823" spans="24:26">
      <c r="X823" s="43"/>
      <c r="Y823" s="43"/>
      <c r="Z823" s="43"/>
    </row>
    <row r="824" spans="24:26">
      <c r="X824" s="43"/>
      <c r="Y824" s="43"/>
      <c r="Z824" s="43"/>
    </row>
    <row r="825" spans="24:26">
      <c r="X825" s="43"/>
      <c r="Y825" s="43"/>
      <c r="Z825" s="43"/>
    </row>
    <row r="826" spans="24:26">
      <c r="X826" s="43"/>
      <c r="Y826" s="43"/>
      <c r="Z826" s="43"/>
    </row>
    <row r="827" spans="24:26">
      <c r="X827" s="43"/>
      <c r="Y827" s="43"/>
      <c r="Z827" s="43"/>
    </row>
    <row r="828" spans="24:26">
      <c r="X828" s="43"/>
      <c r="Y828" s="43"/>
      <c r="Z828" s="43"/>
    </row>
    <row r="829" spans="24:26">
      <c r="X829" s="43"/>
      <c r="Y829" s="43"/>
      <c r="Z829" s="43"/>
    </row>
    <row r="830" spans="24:26">
      <c r="X830" s="43"/>
      <c r="Y830" s="43"/>
      <c r="Z830" s="43"/>
    </row>
    <row r="831" spans="24:26">
      <c r="X831" s="43"/>
      <c r="Y831" s="43"/>
      <c r="Z831" s="43"/>
    </row>
    <row r="832" spans="24:26">
      <c r="X832" s="43"/>
      <c r="Y832" s="43"/>
      <c r="Z832" s="43"/>
    </row>
    <row r="833" spans="24:26">
      <c r="X833" s="43"/>
      <c r="Y833" s="43"/>
      <c r="Z833" s="43"/>
    </row>
    <row r="834" spans="24:26">
      <c r="X834" s="43"/>
      <c r="Y834" s="43"/>
      <c r="Z834" s="43"/>
    </row>
    <row r="835" spans="24:26">
      <c r="X835" s="43"/>
      <c r="Y835" s="43"/>
      <c r="Z835" s="43"/>
    </row>
    <row r="836" spans="24:26">
      <c r="X836" s="43"/>
      <c r="Y836" s="43"/>
      <c r="Z836" s="43"/>
    </row>
    <row r="837" spans="24:26">
      <c r="X837" s="43"/>
      <c r="Y837" s="43"/>
      <c r="Z837" s="43"/>
    </row>
    <row r="838" spans="24:26">
      <c r="X838" s="43"/>
      <c r="Y838" s="43"/>
      <c r="Z838" s="43"/>
    </row>
    <row r="839" spans="24:26">
      <c r="X839" s="43"/>
      <c r="Y839" s="43"/>
      <c r="Z839" s="43"/>
    </row>
    <row r="840" spans="24:26">
      <c r="X840" s="43"/>
      <c r="Y840" s="43"/>
      <c r="Z840" s="43"/>
    </row>
    <row r="841" spans="24:26">
      <c r="X841" s="43"/>
      <c r="Y841" s="43"/>
      <c r="Z841" s="43"/>
    </row>
    <row r="842" spans="24:26">
      <c r="X842" s="43"/>
      <c r="Y842" s="43"/>
      <c r="Z842" s="43"/>
    </row>
    <row r="843" spans="24:26">
      <c r="X843" s="43"/>
      <c r="Y843" s="43"/>
      <c r="Z843" s="43"/>
    </row>
    <row r="844" spans="24:26">
      <c r="X844" s="43"/>
      <c r="Y844" s="43"/>
      <c r="Z844" s="43"/>
    </row>
    <row r="845" spans="24:26">
      <c r="X845" s="43"/>
      <c r="Y845" s="43"/>
      <c r="Z845" s="43"/>
    </row>
    <row r="846" spans="24:26">
      <c r="X846" s="43"/>
      <c r="Y846" s="43"/>
      <c r="Z846" s="43"/>
    </row>
    <row r="847" spans="24:26">
      <c r="X847" s="43"/>
      <c r="Y847" s="43"/>
      <c r="Z847" s="43"/>
    </row>
    <row r="848" spans="24:26">
      <c r="X848" s="43"/>
      <c r="Y848" s="43"/>
      <c r="Z848" s="43"/>
    </row>
    <row r="849" spans="24:26">
      <c r="X849" s="43"/>
      <c r="Y849" s="43"/>
      <c r="Z849" s="43"/>
    </row>
    <row r="850" spans="24:26">
      <c r="X850" s="43"/>
      <c r="Y850" s="43"/>
      <c r="Z850" s="43"/>
    </row>
    <row r="851" spans="24:26">
      <c r="X851" s="43"/>
      <c r="Y851" s="43"/>
      <c r="Z851" s="43"/>
    </row>
    <row r="852" spans="24:26">
      <c r="X852" s="43"/>
      <c r="Y852" s="43"/>
      <c r="Z852" s="43"/>
    </row>
    <row r="853" spans="24:26">
      <c r="X853" s="43"/>
      <c r="Y853" s="43"/>
      <c r="Z853" s="43"/>
    </row>
    <row r="854" spans="24:26">
      <c r="X854" s="43"/>
      <c r="Y854" s="43"/>
      <c r="Z854" s="43"/>
    </row>
    <row r="855" spans="24:26">
      <c r="X855" s="43"/>
      <c r="Y855" s="43"/>
      <c r="Z855" s="43"/>
    </row>
    <row r="856" spans="24:26">
      <c r="X856" s="43"/>
      <c r="Y856" s="43"/>
      <c r="Z856" s="43"/>
    </row>
    <row r="857" spans="24:26">
      <c r="X857" s="43"/>
      <c r="Y857" s="43"/>
      <c r="Z857" s="43"/>
    </row>
    <row r="858" spans="24:26">
      <c r="X858" s="43"/>
      <c r="Y858" s="43"/>
      <c r="Z858" s="43"/>
    </row>
    <row r="859" spans="24:26">
      <c r="X859" s="43"/>
      <c r="Y859" s="43"/>
      <c r="Z859" s="43"/>
    </row>
    <row r="860" spans="24:26">
      <c r="X860" s="43"/>
      <c r="Y860" s="43"/>
      <c r="Z860" s="43"/>
    </row>
    <row r="861" spans="24:26">
      <c r="X861" s="43"/>
      <c r="Y861" s="43"/>
      <c r="Z861" s="43"/>
    </row>
    <row r="862" spans="24:26">
      <c r="X862" s="43"/>
      <c r="Y862" s="43"/>
      <c r="Z862" s="43"/>
    </row>
    <row r="863" spans="24:26">
      <c r="X863" s="43"/>
      <c r="Y863" s="43"/>
      <c r="Z863" s="43"/>
    </row>
    <row r="864" spans="24:26">
      <c r="X864" s="43"/>
      <c r="Y864" s="43"/>
      <c r="Z864" s="43"/>
    </row>
    <row r="865" spans="24:26">
      <c r="X865" s="43"/>
      <c r="Y865" s="43"/>
      <c r="Z865" s="43"/>
    </row>
    <row r="866" spans="24:26">
      <c r="X866" s="43"/>
      <c r="Y866" s="43"/>
      <c r="Z866" s="43"/>
    </row>
    <row r="867" spans="24:26">
      <c r="X867" s="43"/>
      <c r="Y867" s="43"/>
      <c r="Z867" s="43"/>
    </row>
    <row r="868" spans="24:26">
      <c r="X868" s="43"/>
      <c r="Y868" s="43"/>
      <c r="Z868" s="43"/>
    </row>
    <row r="869" spans="24:26">
      <c r="X869" s="43"/>
      <c r="Y869" s="43"/>
      <c r="Z869" s="43"/>
    </row>
    <row r="870" spans="24:26">
      <c r="X870" s="43"/>
      <c r="Y870" s="43"/>
      <c r="Z870" s="43"/>
    </row>
    <row r="871" spans="24:26">
      <c r="X871" s="43"/>
      <c r="Y871" s="43"/>
      <c r="Z871" s="43"/>
    </row>
    <row r="872" spans="24:26">
      <c r="X872" s="43"/>
      <c r="Y872" s="43"/>
      <c r="Z872" s="43"/>
    </row>
    <row r="873" spans="24:26">
      <c r="X873" s="43"/>
      <c r="Y873" s="43"/>
      <c r="Z873" s="43"/>
    </row>
    <row r="874" spans="24:26">
      <c r="X874" s="43"/>
      <c r="Y874" s="43"/>
      <c r="Z874" s="43"/>
    </row>
    <row r="875" spans="24:26">
      <c r="X875" s="43"/>
      <c r="Y875" s="43"/>
      <c r="Z875" s="43"/>
    </row>
    <row r="876" spans="24:26">
      <c r="X876" s="43"/>
      <c r="Y876" s="43"/>
      <c r="Z876" s="43"/>
    </row>
    <row r="877" spans="24:26">
      <c r="X877" s="43"/>
      <c r="Y877" s="43"/>
      <c r="Z877" s="43"/>
    </row>
    <row r="878" spans="24:26">
      <c r="X878" s="43"/>
      <c r="Y878" s="43"/>
      <c r="Z878" s="43"/>
    </row>
    <row r="879" spans="24:26">
      <c r="X879" s="43"/>
      <c r="Y879" s="43"/>
      <c r="Z879" s="43"/>
    </row>
    <row r="880" spans="24:26">
      <c r="X880" s="43"/>
      <c r="Y880" s="43"/>
      <c r="Z880" s="43"/>
    </row>
    <row r="881" spans="24:26">
      <c r="X881" s="43"/>
      <c r="Y881" s="43"/>
      <c r="Z881" s="43"/>
    </row>
    <row r="882" spans="24:26">
      <c r="X882" s="43"/>
      <c r="Y882" s="43"/>
      <c r="Z882" s="43"/>
    </row>
    <row r="883" spans="24:26">
      <c r="X883" s="43"/>
      <c r="Y883" s="43"/>
      <c r="Z883" s="43"/>
    </row>
    <row r="884" spans="24:26">
      <c r="X884" s="43"/>
      <c r="Y884" s="43"/>
      <c r="Z884" s="43"/>
    </row>
    <row r="885" spans="24:26">
      <c r="X885" s="43"/>
      <c r="Y885" s="43"/>
      <c r="Z885" s="43"/>
    </row>
    <row r="886" spans="24:26">
      <c r="X886" s="43"/>
      <c r="Y886" s="43"/>
      <c r="Z886" s="43"/>
    </row>
    <row r="887" spans="24:26">
      <c r="X887" s="43"/>
      <c r="Y887" s="43"/>
      <c r="Z887" s="43"/>
    </row>
    <row r="888" spans="24:26">
      <c r="X888" s="43"/>
      <c r="Y888" s="43"/>
      <c r="Z888" s="43"/>
    </row>
    <row r="889" spans="24:26">
      <c r="X889" s="43"/>
      <c r="Y889" s="43"/>
      <c r="Z889" s="43"/>
    </row>
    <row r="890" spans="24:26">
      <c r="X890" s="43"/>
      <c r="Y890" s="43"/>
      <c r="Z890" s="43"/>
    </row>
    <row r="891" spans="24:26">
      <c r="X891" s="43"/>
      <c r="Y891" s="43"/>
      <c r="Z891" s="43"/>
    </row>
    <row r="892" spans="24:26">
      <c r="X892" s="43"/>
      <c r="Y892" s="43"/>
      <c r="Z892" s="43"/>
    </row>
    <row r="893" spans="24:26">
      <c r="X893" s="43"/>
      <c r="Y893" s="43"/>
      <c r="Z893" s="43"/>
    </row>
    <row r="894" spans="24:26">
      <c r="X894" s="43"/>
      <c r="Y894" s="43"/>
      <c r="Z894" s="43"/>
    </row>
    <row r="895" spans="24:26">
      <c r="X895" s="43"/>
      <c r="Y895" s="43"/>
      <c r="Z895" s="43"/>
    </row>
    <row r="896" spans="24:26">
      <c r="X896" s="43"/>
      <c r="Y896" s="43"/>
      <c r="Z896" s="43"/>
    </row>
    <row r="897" spans="24:26">
      <c r="X897" s="43"/>
      <c r="Y897" s="43"/>
      <c r="Z897" s="43"/>
    </row>
    <row r="898" spans="24:26">
      <c r="X898" s="43"/>
      <c r="Y898" s="43"/>
      <c r="Z898" s="43"/>
    </row>
    <row r="899" spans="24:26">
      <c r="X899" s="43"/>
      <c r="Y899" s="43"/>
      <c r="Z899" s="43"/>
    </row>
    <row r="900" spans="24:26">
      <c r="X900" s="43"/>
      <c r="Y900" s="43"/>
      <c r="Z900" s="43"/>
    </row>
    <row r="901" spans="24:26">
      <c r="X901" s="43"/>
      <c r="Y901" s="43"/>
      <c r="Z901" s="43"/>
    </row>
    <row r="902" spans="24:26">
      <c r="X902" s="43"/>
      <c r="Y902" s="43"/>
      <c r="Z902" s="43"/>
    </row>
    <row r="903" spans="24:26">
      <c r="X903" s="43"/>
      <c r="Y903" s="43"/>
      <c r="Z903" s="43"/>
    </row>
    <row r="904" spans="24:26">
      <c r="X904" s="43"/>
      <c r="Y904" s="43"/>
      <c r="Z904" s="43"/>
    </row>
    <row r="905" spans="24:26">
      <c r="X905" s="43"/>
      <c r="Y905" s="43"/>
      <c r="Z905" s="43"/>
    </row>
    <row r="906" spans="24:26">
      <c r="X906" s="43"/>
      <c r="Y906" s="43"/>
      <c r="Z906" s="43"/>
    </row>
    <row r="907" spans="24:26">
      <c r="X907" s="43"/>
      <c r="Y907" s="43"/>
      <c r="Z907" s="43"/>
    </row>
    <row r="908" spans="24:26">
      <c r="X908" s="43"/>
      <c r="Y908" s="43"/>
      <c r="Z908" s="43"/>
    </row>
    <row r="909" spans="24:26">
      <c r="X909" s="43"/>
      <c r="Y909" s="43"/>
      <c r="Z909" s="43"/>
    </row>
    <row r="910" spans="24:26">
      <c r="X910" s="43"/>
      <c r="Y910" s="43"/>
      <c r="Z910" s="43"/>
    </row>
    <row r="911" spans="24:26">
      <c r="X911" s="43"/>
      <c r="Y911" s="43"/>
      <c r="Z911" s="43"/>
    </row>
    <row r="912" spans="24:26">
      <c r="X912" s="43"/>
      <c r="Y912" s="43"/>
      <c r="Z912" s="43"/>
    </row>
    <row r="913" spans="24:26">
      <c r="X913" s="43"/>
      <c r="Y913" s="43"/>
      <c r="Z913" s="43"/>
    </row>
    <row r="914" spans="24:26">
      <c r="X914" s="43"/>
      <c r="Y914" s="43"/>
      <c r="Z914" s="43"/>
    </row>
    <row r="915" spans="24:26">
      <c r="X915" s="43"/>
      <c r="Y915" s="43"/>
      <c r="Z915" s="43"/>
    </row>
    <row r="916" spans="24:26">
      <c r="X916" s="43"/>
      <c r="Y916" s="43"/>
      <c r="Z916" s="43"/>
    </row>
    <row r="917" spans="24:26">
      <c r="X917" s="43"/>
      <c r="Y917" s="43"/>
      <c r="Z917" s="43"/>
    </row>
    <row r="918" spans="24:26">
      <c r="X918" s="43"/>
      <c r="Y918" s="43"/>
      <c r="Z918" s="43"/>
    </row>
    <row r="919" spans="24:26">
      <c r="X919" s="43"/>
      <c r="Y919" s="43"/>
      <c r="Z919" s="43"/>
    </row>
    <row r="920" spans="24:26">
      <c r="X920" s="43"/>
      <c r="Y920" s="43"/>
      <c r="Z920" s="43"/>
    </row>
    <row r="921" spans="24:26">
      <c r="X921" s="43"/>
      <c r="Y921" s="43"/>
      <c r="Z921" s="43"/>
    </row>
    <row r="922" spans="24:26">
      <c r="X922" s="43"/>
      <c r="Y922" s="43"/>
      <c r="Z922" s="43"/>
    </row>
    <row r="923" spans="24:26">
      <c r="X923" s="43"/>
      <c r="Y923" s="43"/>
      <c r="Z923" s="43"/>
    </row>
    <row r="924" spans="24:26">
      <c r="X924" s="43"/>
      <c r="Y924" s="43"/>
      <c r="Z924" s="43"/>
    </row>
    <row r="925" spans="24:26">
      <c r="X925" s="43"/>
      <c r="Y925" s="43"/>
      <c r="Z925" s="43"/>
    </row>
    <row r="926" spans="24:26">
      <c r="X926" s="43"/>
      <c r="Y926" s="43"/>
      <c r="Z926" s="43"/>
    </row>
    <row r="927" spans="24:26">
      <c r="X927" s="43"/>
      <c r="Y927" s="43"/>
      <c r="Z927" s="43"/>
    </row>
    <row r="928" spans="24:26">
      <c r="X928" s="43"/>
      <c r="Y928" s="43"/>
      <c r="Z928" s="43"/>
    </row>
    <row r="929" spans="24:26">
      <c r="X929" s="43"/>
      <c r="Y929" s="43"/>
      <c r="Z929" s="43"/>
    </row>
    <row r="930" spans="24:26">
      <c r="X930" s="43"/>
      <c r="Y930" s="43"/>
      <c r="Z930" s="43"/>
    </row>
    <row r="931" spans="24:26">
      <c r="X931" s="43"/>
      <c r="Y931" s="43"/>
      <c r="Z931" s="43"/>
    </row>
    <row r="932" spans="24:26">
      <c r="X932" s="43"/>
      <c r="Y932" s="43"/>
      <c r="Z932" s="43"/>
    </row>
    <row r="933" spans="24:26">
      <c r="X933" s="43"/>
      <c r="Y933" s="43"/>
      <c r="Z933" s="43"/>
    </row>
    <row r="934" spans="24:26">
      <c r="X934" s="43"/>
      <c r="Y934" s="43"/>
      <c r="Z934" s="43"/>
    </row>
    <row r="935" spans="24:26">
      <c r="X935" s="43"/>
      <c r="Y935" s="43"/>
      <c r="Z935" s="43"/>
    </row>
    <row r="936" spans="24:26">
      <c r="X936" s="43"/>
      <c r="Y936" s="43"/>
      <c r="Z936" s="43"/>
    </row>
    <row r="937" spans="24:26">
      <c r="X937" s="43"/>
      <c r="Y937" s="43"/>
      <c r="Z937" s="43"/>
    </row>
    <row r="938" spans="24:26">
      <c r="X938" s="43"/>
      <c r="Y938" s="43"/>
      <c r="Z938" s="43"/>
    </row>
    <row r="939" spans="24:26">
      <c r="X939" s="43"/>
      <c r="Y939" s="43"/>
      <c r="Z939" s="43"/>
    </row>
    <row r="940" spans="24:26">
      <c r="X940" s="43"/>
      <c r="Y940" s="43"/>
      <c r="Z940" s="43"/>
    </row>
    <row r="941" spans="24:26">
      <c r="X941" s="43"/>
      <c r="Y941" s="43"/>
      <c r="Z941" s="43"/>
    </row>
    <row r="942" spans="24:26">
      <c r="X942" s="43"/>
      <c r="Y942" s="43"/>
      <c r="Z942" s="43"/>
    </row>
    <row r="943" spans="24:26">
      <c r="X943" s="43"/>
      <c r="Y943" s="43"/>
      <c r="Z943" s="43"/>
    </row>
    <row r="944" spans="24:26">
      <c r="X944" s="43"/>
      <c r="Y944" s="43"/>
      <c r="Z944" s="43"/>
    </row>
    <row r="945" spans="24:26">
      <c r="X945" s="43"/>
      <c r="Y945" s="43"/>
      <c r="Z945" s="43"/>
    </row>
    <row r="946" spans="24:26">
      <c r="X946" s="43"/>
      <c r="Y946" s="43"/>
      <c r="Z946" s="43"/>
    </row>
    <row r="947" spans="24:26">
      <c r="X947" s="43"/>
      <c r="Y947" s="43"/>
      <c r="Z947" s="43"/>
    </row>
    <row r="948" spans="24:26">
      <c r="X948" s="43"/>
      <c r="Y948" s="43"/>
      <c r="Z948" s="43"/>
    </row>
    <row r="949" spans="24:26">
      <c r="X949" s="43"/>
      <c r="Y949" s="43"/>
      <c r="Z949" s="43"/>
    </row>
    <row r="950" spans="24:26">
      <c r="X950" s="43"/>
      <c r="Y950" s="43"/>
      <c r="Z950" s="43"/>
    </row>
    <row r="951" spans="24:26">
      <c r="X951" s="43"/>
      <c r="Y951" s="43"/>
      <c r="Z951" s="43"/>
    </row>
    <row r="952" spans="24:26">
      <c r="X952" s="43"/>
      <c r="Y952" s="43"/>
      <c r="Z952" s="43"/>
    </row>
    <row r="953" spans="24:26">
      <c r="X953" s="43"/>
      <c r="Y953" s="43"/>
      <c r="Z953" s="43"/>
    </row>
    <row r="954" spans="24:26">
      <c r="X954" s="43"/>
      <c r="Y954" s="43"/>
      <c r="Z954" s="43"/>
    </row>
    <row r="955" spans="24:26">
      <c r="X955" s="43"/>
      <c r="Y955" s="43"/>
      <c r="Z955" s="43"/>
    </row>
    <row r="956" spans="24:26">
      <c r="X956" s="43"/>
      <c r="Y956" s="43"/>
      <c r="Z956" s="43"/>
    </row>
    <row r="957" spans="24:26">
      <c r="X957" s="43"/>
      <c r="Y957" s="43"/>
      <c r="Z957" s="43"/>
    </row>
    <row r="958" spans="24:26">
      <c r="X958" s="43"/>
      <c r="Y958" s="43"/>
      <c r="Z958" s="43"/>
    </row>
    <row r="959" spans="24:26">
      <c r="X959" s="43"/>
      <c r="Y959" s="43"/>
      <c r="Z959" s="43"/>
    </row>
    <row r="960" spans="24:26">
      <c r="X960" s="43"/>
      <c r="Y960" s="43"/>
      <c r="Z960" s="43"/>
    </row>
    <row r="961" spans="24:26">
      <c r="X961" s="43"/>
      <c r="Y961" s="43"/>
      <c r="Z961" s="43"/>
    </row>
    <row r="962" spans="24:26">
      <c r="X962" s="43"/>
      <c r="Y962" s="43"/>
      <c r="Z962" s="43"/>
    </row>
    <row r="963" spans="24:26">
      <c r="X963" s="43"/>
      <c r="Y963" s="43"/>
      <c r="Z963" s="43"/>
    </row>
    <row r="964" spans="24:26">
      <c r="X964" s="43"/>
      <c r="Y964" s="43"/>
      <c r="Z964" s="43"/>
    </row>
    <row r="965" spans="24:26">
      <c r="X965" s="43"/>
      <c r="Y965" s="43"/>
      <c r="Z965" s="43"/>
    </row>
    <row r="966" spans="24:26">
      <c r="X966" s="43"/>
      <c r="Y966" s="43"/>
      <c r="Z966" s="43"/>
    </row>
    <row r="967" spans="24:26">
      <c r="X967" s="43"/>
      <c r="Y967" s="43"/>
      <c r="Z967" s="43"/>
    </row>
    <row r="968" spans="24:26">
      <c r="X968" s="43"/>
      <c r="Y968" s="43"/>
      <c r="Z968" s="43"/>
    </row>
    <row r="969" spans="24:26">
      <c r="X969" s="43"/>
      <c r="Y969" s="43"/>
      <c r="Z969" s="43"/>
    </row>
    <row r="970" spans="24:26">
      <c r="X970" s="43"/>
      <c r="Y970" s="43"/>
      <c r="Z970" s="43"/>
    </row>
    <row r="971" spans="24:26">
      <c r="X971" s="43"/>
      <c r="Y971" s="43"/>
      <c r="Z971" s="43"/>
    </row>
    <row r="972" spans="24:26">
      <c r="X972" s="43"/>
      <c r="Y972" s="43"/>
      <c r="Z972" s="43"/>
    </row>
    <row r="973" spans="24:26">
      <c r="X973" s="43"/>
      <c r="Y973" s="43"/>
      <c r="Z973" s="43"/>
    </row>
    <row r="974" spans="24:26">
      <c r="X974" s="43"/>
      <c r="Y974" s="43"/>
      <c r="Z974" s="43"/>
    </row>
    <row r="975" spans="24:26">
      <c r="X975" s="43"/>
      <c r="Y975" s="43"/>
      <c r="Z975" s="43"/>
    </row>
    <row r="976" spans="24:26">
      <c r="X976" s="43"/>
      <c r="Y976" s="43"/>
      <c r="Z976" s="43"/>
    </row>
    <row r="977" spans="24:26">
      <c r="X977" s="43"/>
      <c r="Y977" s="43"/>
      <c r="Z977" s="43"/>
    </row>
    <row r="978" spans="24:26">
      <c r="X978" s="43"/>
      <c r="Y978" s="43"/>
      <c r="Z978" s="43"/>
    </row>
    <row r="979" spans="24:26">
      <c r="X979" s="43"/>
      <c r="Y979" s="43"/>
      <c r="Z979" s="43"/>
    </row>
    <row r="980" spans="24:26">
      <c r="X980" s="43"/>
      <c r="Y980" s="43"/>
      <c r="Z980" s="43"/>
    </row>
    <row r="981" spans="24:26">
      <c r="X981" s="43"/>
      <c r="Y981" s="43"/>
      <c r="Z981" s="43"/>
    </row>
    <row r="982" spans="24:26">
      <c r="X982" s="43"/>
      <c r="Y982" s="43"/>
      <c r="Z982" s="43"/>
    </row>
    <row r="983" spans="24:26">
      <c r="X983" s="43"/>
      <c r="Y983" s="43"/>
      <c r="Z983" s="43"/>
    </row>
    <row r="984" spans="24:26">
      <c r="X984" s="43"/>
      <c r="Y984" s="43"/>
      <c r="Z984" s="43"/>
    </row>
    <row r="985" spans="24:26">
      <c r="X985" s="43"/>
      <c r="Y985" s="43"/>
      <c r="Z985" s="43"/>
    </row>
    <row r="986" spans="24:26">
      <c r="X986" s="43"/>
      <c r="Y986" s="43"/>
      <c r="Z986" s="43"/>
    </row>
    <row r="987" spans="24:26">
      <c r="X987" s="43"/>
      <c r="Y987" s="43"/>
      <c r="Z987" s="43"/>
    </row>
    <row r="988" spans="24:26">
      <c r="X988" s="43"/>
      <c r="Y988" s="43"/>
      <c r="Z988" s="43"/>
    </row>
    <row r="989" spans="24:26">
      <c r="X989" s="43"/>
      <c r="Y989" s="43"/>
      <c r="Z989" s="43"/>
    </row>
    <row r="990" spans="24:26">
      <c r="X990" s="43"/>
      <c r="Y990" s="43"/>
      <c r="Z990" s="43"/>
    </row>
    <row r="991" spans="24:26">
      <c r="X991" s="43"/>
      <c r="Y991" s="43"/>
      <c r="Z991" s="43"/>
    </row>
    <row r="992" spans="24:26">
      <c r="X992" s="43"/>
      <c r="Y992" s="43"/>
      <c r="Z992" s="43"/>
    </row>
    <row r="993" spans="24:26">
      <c r="X993" s="43"/>
      <c r="Y993" s="43"/>
      <c r="Z993" s="43"/>
    </row>
    <row r="994" spans="24:26">
      <c r="X994" s="43"/>
      <c r="Y994" s="43"/>
      <c r="Z994" s="43"/>
    </row>
    <row r="995" spans="24:26">
      <c r="X995" s="43"/>
      <c r="Y995" s="43"/>
      <c r="Z995" s="43"/>
    </row>
    <row r="996" spans="24:26">
      <c r="X996" s="43"/>
      <c r="Y996" s="43"/>
      <c r="Z996" s="43"/>
    </row>
    <row r="997" spans="24:26">
      <c r="X997" s="43"/>
      <c r="Y997" s="43"/>
      <c r="Z997" s="43"/>
    </row>
    <row r="998" spans="24:26">
      <c r="X998" s="43"/>
      <c r="Y998" s="43"/>
      <c r="Z998" s="43"/>
    </row>
    <row r="999" spans="24:26">
      <c r="X999" s="43"/>
      <c r="Y999" s="43"/>
      <c r="Z999" s="43"/>
    </row>
    <row r="1000" spans="24:26">
      <c r="X1000" s="43"/>
      <c r="Y1000" s="43"/>
      <c r="Z1000" s="43"/>
    </row>
    <row r="1001" spans="24:26">
      <c r="X1001" s="43"/>
      <c r="Y1001" s="43"/>
      <c r="Z1001" s="43"/>
    </row>
    <row r="1002" spans="24:26">
      <c r="X1002" s="43"/>
      <c r="Y1002" s="43"/>
      <c r="Z1002" s="43"/>
    </row>
    <row r="1003" spans="24:26">
      <c r="X1003" s="43"/>
      <c r="Y1003" s="43"/>
      <c r="Z1003" s="43"/>
    </row>
    <row r="1004" spans="24:26">
      <c r="X1004" s="43"/>
      <c r="Y1004" s="43"/>
      <c r="Z1004" s="43"/>
    </row>
    <row r="1005" spans="24:26">
      <c r="X1005" s="43"/>
      <c r="Y1005" s="43"/>
      <c r="Z1005" s="43"/>
    </row>
    <row r="1006" spans="24:26">
      <c r="X1006" s="43"/>
      <c r="Y1006" s="43"/>
      <c r="Z1006" s="43"/>
    </row>
    <row r="1007" spans="24:26">
      <c r="X1007" s="43"/>
      <c r="Y1007" s="43"/>
      <c r="Z1007" s="43"/>
    </row>
    <row r="1008" spans="24:26">
      <c r="X1008" s="43"/>
      <c r="Y1008" s="43"/>
      <c r="Z1008" s="43"/>
    </row>
    <row r="1009" spans="24:26">
      <c r="X1009" s="43"/>
      <c r="Y1009" s="43"/>
      <c r="Z1009" s="43"/>
    </row>
    <row r="1010" spans="24:26">
      <c r="X1010" s="43"/>
      <c r="Y1010" s="43"/>
      <c r="Z1010" s="43"/>
    </row>
    <row r="1011" spans="24:26">
      <c r="X1011" s="43"/>
      <c r="Y1011" s="43"/>
      <c r="Z1011" s="43"/>
    </row>
    <row r="1012" spans="24:26">
      <c r="X1012" s="43"/>
      <c r="Y1012" s="43"/>
      <c r="Z1012" s="43"/>
    </row>
    <row r="1013" spans="24:26">
      <c r="X1013" s="43"/>
      <c r="Y1013" s="43"/>
      <c r="Z1013" s="43"/>
    </row>
    <row r="1014" spans="24:26">
      <c r="X1014" s="43"/>
      <c r="Y1014" s="43"/>
      <c r="Z1014" s="43"/>
    </row>
    <row r="1015" spans="24:26">
      <c r="X1015" s="43"/>
      <c r="Y1015" s="43"/>
      <c r="Z1015" s="43"/>
    </row>
    <row r="1016" spans="24:26">
      <c r="X1016" s="43"/>
      <c r="Y1016" s="43"/>
      <c r="Z1016" s="43"/>
    </row>
    <row r="1017" spans="24:26">
      <c r="X1017" s="43"/>
      <c r="Y1017" s="43"/>
      <c r="Z1017" s="43"/>
    </row>
    <row r="1018" spans="24:26">
      <c r="X1018" s="43"/>
      <c r="Y1018" s="43"/>
      <c r="Z1018" s="43"/>
    </row>
    <row r="1019" spans="24:26">
      <c r="X1019" s="43"/>
      <c r="Y1019" s="43"/>
      <c r="Z1019" s="43"/>
    </row>
    <row r="1020" spans="24:26">
      <c r="X1020" s="43"/>
      <c r="Y1020" s="43"/>
      <c r="Z1020" s="43"/>
    </row>
    <row r="1021" spans="24:26">
      <c r="X1021" s="43"/>
      <c r="Y1021" s="43"/>
      <c r="Z1021" s="43"/>
    </row>
    <row r="1022" spans="24:26">
      <c r="X1022" s="43"/>
      <c r="Y1022" s="43"/>
      <c r="Z1022" s="43"/>
    </row>
    <row r="1023" spans="24:26">
      <c r="X1023" s="43"/>
      <c r="Y1023" s="43"/>
      <c r="Z1023" s="43"/>
    </row>
    <row r="1024" spans="24:26">
      <c r="X1024" s="43"/>
      <c r="Y1024" s="43"/>
      <c r="Z1024" s="43"/>
    </row>
    <row r="1025" spans="24:26">
      <c r="X1025" s="43"/>
      <c r="Y1025" s="43"/>
      <c r="Z1025" s="43"/>
    </row>
    <row r="1026" spans="24:26">
      <c r="X1026" s="43"/>
      <c r="Y1026" s="43"/>
      <c r="Z1026" s="43"/>
    </row>
    <row r="1027" spans="24:26">
      <c r="X1027" s="43"/>
      <c r="Y1027" s="43"/>
      <c r="Z1027" s="43"/>
    </row>
    <row r="1028" spans="24:26">
      <c r="X1028" s="43"/>
      <c r="Y1028" s="43"/>
      <c r="Z1028" s="43"/>
    </row>
    <row r="1029" spans="24:26">
      <c r="X1029" s="43"/>
      <c r="Y1029" s="43"/>
      <c r="Z1029" s="43"/>
    </row>
    <row r="1030" spans="24:26">
      <c r="X1030" s="43"/>
      <c r="Y1030" s="43"/>
      <c r="Z1030" s="43"/>
    </row>
    <row r="1031" spans="24:26">
      <c r="X1031" s="43"/>
      <c r="Y1031" s="43"/>
      <c r="Z1031" s="43"/>
    </row>
    <row r="1032" spans="24:26">
      <c r="X1032" s="43"/>
      <c r="Y1032" s="43"/>
      <c r="Z1032" s="43"/>
    </row>
    <row r="1033" spans="24:26">
      <c r="X1033" s="43"/>
      <c r="Y1033" s="43"/>
      <c r="Z1033" s="43"/>
    </row>
    <row r="1034" spans="24:26">
      <c r="X1034" s="43"/>
      <c r="Y1034" s="43"/>
      <c r="Z1034" s="43"/>
    </row>
    <row r="1035" spans="24:26">
      <c r="X1035" s="43"/>
      <c r="Y1035" s="43"/>
      <c r="Z1035" s="43"/>
    </row>
    <row r="1036" spans="24:26">
      <c r="X1036" s="43"/>
      <c r="Y1036" s="43"/>
      <c r="Z1036" s="43"/>
    </row>
    <row r="1037" spans="24:26">
      <c r="X1037" s="43"/>
      <c r="Y1037" s="43"/>
      <c r="Z1037" s="43"/>
    </row>
    <row r="1038" spans="24:26">
      <c r="X1038" s="43"/>
      <c r="Y1038" s="43"/>
      <c r="Z1038" s="43"/>
    </row>
    <row r="1039" spans="24:26">
      <c r="X1039" s="43"/>
      <c r="Y1039" s="43"/>
      <c r="Z1039" s="43"/>
    </row>
    <row r="1040" spans="24:26">
      <c r="X1040" s="43"/>
      <c r="Y1040" s="43"/>
      <c r="Z1040" s="43"/>
    </row>
    <row r="1041" spans="24:26">
      <c r="X1041" s="43"/>
      <c r="Y1041" s="43"/>
      <c r="Z1041" s="43"/>
    </row>
    <row r="1042" spans="24:26">
      <c r="X1042" s="43"/>
      <c r="Y1042" s="43"/>
      <c r="Z1042" s="43"/>
    </row>
    <row r="1043" spans="24:26">
      <c r="X1043" s="43"/>
      <c r="Y1043" s="43"/>
      <c r="Z1043" s="43"/>
    </row>
    <row r="1044" spans="24:26">
      <c r="X1044" s="43"/>
      <c r="Y1044" s="43"/>
      <c r="Z1044" s="43"/>
    </row>
    <row r="1045" spans="24:26">
      <c r="X1045" s="43"/>
      <c r="Y1045" s="43"/>
      <c r="Z1045" s="43"/>
    </row>
    <row r="1046" spans="24:26">
      <c r="X1046" s="43"/>
      <c r="Y1046" s="43"/>
      <c r="Z1046" s="43"/>
    </row>
    <row r="1047" spans="24:26">
      <c r="X1047" s="43"/>
      <c r="Y1047" s="43"/>
      <c r="Z1047" s="43"/>
    </row>
    <row r="1048" spans="24:26">
      <c r="X1048" s="43"/>
      <c r="Y1048" s="43"/>
      <c r="Z1048" s="43"/>
    </row>
    <row r="1049" spans="24:26">
      <c r="X1049" s="43"/>
      <c r="Y1049" s="43"/>
      <c r="Z1049" s="43"/>
    </row>
    <row r="1050" spans="24:26">
      <c r="X1050" s="43"/>
      <c r="Y1050" s="43"/>
      <c r="Z1050" s="43"/>
    </row>
    <row r="1051" spans="24:26">
      <c r="X1051" s="43"/>
      <c r="Y1051" s="43"/>
      <c r="Z1051" s="43"/>
    </row>
    <row r="1052" spans="24:26">
      <c r="X1052" s="43"/>
      <c r="Y1052" s="43"/>
      <c r="Z1052" s="43"/>
    </row>
    <row r="1053" spans="24:26">
      <c r="X1053" s="43"/>
      <c r="Y1053" s="43"/>
      <c r="Z1053" s="43"/>
    </row>
    <row r="1054" spans="24:26">
      <c r="X1054" s="43"/>
      <c r="Y1054" s="43"/>
      <c r="Z1054" s="43"/>
    </row>
    <row r="1055" spans="24:26">
      <c r="X1055" s="43"/>
      <c r="Y1055" s="43"/>
      <c r="Z1055" s="43"/>
    </row>
    <row r="1056" spans="24:26">
      <c r="X1056" s="43"/>
      <c r="Y1056" s="43"/>
      <c r="Z1056" s="43"/>
    </row>
    <row r="1057" spans="24:26">
      <c r="X1057" s="43"/>
      <c r="Y1057" s="43"/>
      <c r="Z1057" s="43"/>
    </row>
    <row r="1058" spans="24:26">
      <c r="X1058" s="43"/>
      <c r="Y1058" s="43"/>
      <c r="Z1058" s="43"/>
    </row>
    <row r="1059" spans="24:26">
      <c r="X1059" s="43"/>
      <c r="Y1059" s="43"/>
      <c r="Z1059" s="43"/>
    </row>
    <row r="1060" spans="24:26">
      <c r="X1060" s="43"/>
      <c r="Y1060" s="43"/>
      <c r="Z1060" s="43"/>
    </row>
    <row r="1061" spans="24:26">
      <c r="X1061" s="43"/>
      <c r="Y1061" s="43"/>
      <c r="Z1061" s="43"/>
    </row>
    <row r="1062" spans="24:26">
      <c r="X1062" s="43"/>
      <c r="Y1062" s="43"/>
      <c r="Z1062" s="43"/>
    </row>
    <row r="1063" spans="24:26">
      <c r="X1063" s="43"/>
      <c r="Y1063" s="43"/>
      <c r="Z1063" s="43"/>
    </row>
    <row r="1064" spans="24:26">
      <c r="X1064" s="43"/>
      <c r="Y1064" s="43"/>
      <c r="Z1064" s="43"/>
    </row>
    <row r="1065" spans="24:26">
      <c r="X1065" s="43"/>
      <c r="Y1065" s="43"/>
      <c r="Z1065" s="43"/>
    </row>
    <row r="1066" spans="24:26">
      <c r="X1066" s="43"/>
      <c r="Y1066" s="43"/>
      <c r="Z1066" s="43"/>
    </row>
    <row r="1067" spans="24:26">
      <c r="X1067" s="43"/>
      <c r="Y1067" s="43"/>
      <c r="Z1067" s="43"/>
    </row>
    <row r="1068" spans="24:26">
      <c r="X1068" s="43"/>
      <c r="Y1068" s="43"/>
      <c r="Z1068" s="43"/>
    </row>
    <row r="1069" spans="24:26">
      <c r="X1069" s="43"/>
      <c r="Y1069" s="43"/>
      <c r="Z1069" s="43"/>
    </row>
    <row r="1070" spans="24:26">
      <c r="X1070" s="43"/>
      <c r="Y1070" s="43"/>
      <c r="Z1070" s="43"/>
    </row>
    <row r="1071" spans="24:26">
      <c r="X1071" s="43"/>
      <c r="Y1071" s="43"/>
      <c r="Z1071" s="43"/>
    </row>
    <row r="1072" spans="24:26">
      <c r="X1072" s="43"/>
      <c r="Y1072" s="43"/>
      <c r="Z1072" s="43"/>
    </row>
    <row r="1073" spans="24:26">
      <c r="X1073" s="43"/>
      <c r="Y1073" s="43"/>
      <c r="Z1073" s="43"/>
    </row>
    <row r="1074" spans="24:26">
      <c r="X1074" s="43"/>
      <c r="Y1074" s="43"/>
      <c r="Z1074" s="43"/>
    </row>
    <row r="1075" spans="24:26">
      <c r="X1075" s="43"/>
      <c r="Y1075" s="43"/>
      <c r="Z1075" s="43"/>
    </row>
    <row r="1076" spans="24:26">
      <c r="X1076" s="43"/>
      <c r="Y1076" s="43"/>
      <c r="Z1076" s="43"/>
    </row>
    <row r="1077" spans="24:26">
      <c r="X1077" s="43"/>
      <c r="Y1077" s="43"/>
      <c r="Z1077" s="43"/>
    </row>
    <row r="1078" spans="24:26">
      <c r="X1078" s="43"/>
      <c r="Y1078" s="43"/>
      <c r="Z1078" s="43"/>
    </row>
    <row r="1079" spans="24:26">
      <c r="X1079" s="43"/>
      <c r="Y1079" s="43"/>
      <c r="Z1079" s="43"/>
    </row>
    <row r="1080" spans="24:26">
      <c r="X1080" s="43"/>
      <c r="Y1080" s="43"/>
      <c r="Z1080" s="43"/>
    </row>
    <row r="1081" spans="24:26">
      <c r="X1081" s="43"/>
      <c r="Y1081" s="43"/>
      <c r="Z1081" s="43"/>
    </row>
    <row r="1082" spans="24:26">
      <c r="X1082" s="43"/>
      <c r="Y1082" s="43"/>
      <c r="Z1082" s="43"/>
    </row>
    <row r="1083" spans="24:26">
      <c r="X1083" s="43"/>
      <c r="Y1083" s="43"/>
      <c r="Z1083" s="43"/>
    </row>
    <row r="1084" spans="24:26">
      <c r="X1084" s="43"/>
      <c r="Y1084" s="43"/>
      <c r="Z1084" s="43"/>
    </row>
    <row r="1085" spans="24:26">
      <c r="X1085" s="43"/>
      <c r="Y1085" s="43"/>
      <c r="Z1085" s="43"/>
    </row>
    <row r="1086" spans="24:26">
      <c r="X1086" s="43"/>
      <c r="Y1086" s="43"/>
      <c r="Z1086" s="43"/>
    </row>
    <row r="1087" spans="24:26">
      <c r="X1087" s="43"/>
      <c r="Y1087" s="43"/>
      <c r="Z1087" s="43"/>
    </row>
    <row r="1088" spans="24:26">
      <c r="X1088" s="43"/>
      <c r="Y1088" s="43"/>
      <c r="Z1088" s="43"/>
    </row>
    <row r="1089" spans="24:26">
      <c r="X1089" s="43"/>
      <c r="Y1089" s="43"/>
      <c r="Z1089" s="43"/>
    </row>
    <row r="1090" spans="24:26">
      <c r="X1090" s="43"/>
      <c r="Y1090" s="43"/>
      <c r="Z1090" s="43"/>
    </row>
    <row r="1091" spans="24:26">
      <c r="X1091" s="43"/>
      <c r="Y1091" s="43"/>
      <c r="Z1091" s="43"/>
    </row>
    <row r="1092" spans="24:26">
      <c r="X1092" s="43"/>
      <c r="Y1092" s="43"/>
      <c r="Z1092" s="43"/>
    </row>
    <row r="1093" spans="24:26">
      <c r="X1093" s="43"/>
      <c r="Y1093" s="43"/>
      <c r="Z1093" s="43"/>
    </row>
    <row r="1094" spans="24:26">
      <c r="X1094" s="43"/>
      <c r="Y1094" s="43"/>
      <c r="Z1094" s="43"/>
    </row>
    <row r="1095" spans="24:26">
      <c r="X1095" s="43"/>
      <c r="Y1095" s="43"/>
      <c r="Z1095" s="43"/>
    </row>
    <row r="1096" spans="24:26">
      <c r="X1096" s="43"/>
      <c r="Y1096" s="43"/>
      <c r="Z1096" s="43"/>
    </row>
    <row r="1097" spans="24:26">
      <c r="X1097" s="43"/>
      <c r="Y1097" s="43"/>
      <c r="Z1097" s="43"/>
    </row>
    <row r="1098" spans="24:26">
      <c r="X1098" s="43"/>
      <c r="Y1098" s="43"/>
      <c r="Z1098" s="43"/>
    </row>
    <row r="1099" spans="24:26">
      <c r="X1099" s="43"/>
      <c r="Y1099" s="43"/>
      <c r="Z1099" s="43"/>
    </row>
    <row r="1100" spans="24:26">
      <c r="X1100" s="43"/>
      <c r="Y1100" s="43"/>
      <c r="Z1100" s="43"/>
    </row>
    <row r="1101" spans="24:26">
      <c r="X1101" s="43"/>
      <c r="Y1101" s="43"/>
      <c r="Z1101" s="43"/>
    </row>
    <row r="1102" spans="24:26">
      <c r="X1102" s="43"/>
      <c r="Y1102" s="43"/>
      <c r="Z1102" s="43"/>
    </row>
    <row r="1103" spans="24:26">
      <c r="X1103" s="43"/>
      <c r="Y1103" s="43"/>
      <c r="Z1103" s="43"/>
    </row>
    <row r="1104" spans="24:26">
      <c r="X1104" s="43"/>
      <c r="Y1104" s="43"/>
      <c r="Z1104" s="43"/>
    </row>
    <row r="1105" spans="24:26">
      <c r="X1105" s="43"/>
      <c r="Y1105" s="43"/>
      <c r="Z1105" s="43"/>
    </row>
    <row r="1106" spans="24:26">
      <c r="X1106" s="43"/>
      <c r="Y1106" s="43"/>
      <c r="Z1106" s="43"/>
    </row>
    <row r="1107" spans="24:26">
      <c r="X1107" s="43"/>
      <c r="Y1107" s="43"/>
      <c r="Z1107" s="43"/>
    </row>
    <row r="1108" spans="24:26">
      <c r="X1108" s="43"/>
      <c r="Y1108" s="43"/>
      <c r="Z1108" s="43"/>
    </row>
    <row r="1109" spans="24:26">
      <c r="X1109" s="43"/>
      <c r="Y1109" s="43"/>
      <c r="Z1109" s="43"/>
    </row>
    <row r="1110" spans="24:26">
      <c r="X1110" s="43"/>
      <c r="Y1110" s="43"/>
      <c r="Z1110" s="43"/>
    </row>
    <row r="1111" spans="24:26">
      <c r="X1111" s="43"/>
      <c r="Y1111" s="43"/>
      <c r="Z1111" s="43"/>
    </row>
    <row r="1112" spans="24:26">
      <c r="X1112" s="43"/>
      <c r="Y1112" s="43"/>
      <c r="Z1112" s="43"/>
    </row>
    <row r="1113" spans="24:26">
      <c r="X1113" s="43"/>
      <c r="Y1113" s="43"/>
      <c r="Z1113" s="43"/>
    </row>
    <row r="1114" spans="24:26">
      <c r="X1114" s="43"/>
      <c r="Y1114" s="43"/>
      <c r="Z1114" s="43"/>
    </row>
    <row r="1115" spans="24:26">
      <c r="X1115" s="43"/>
      <c r="Y1115" s="43"/>
      <c r="Z1115" s="43"/>
    </row>
    <row r="1116" spans="24:26">
      <c r="X1116" s="43"/>
      <c r="Y1116" s="43"/>
      <c r="Z1116" s="43"/>
    </row>
    <row r="1117" spans="24:26">
      <c r="X1117" s="43"/>
      <c r="Y1117" s="43"/>
      <c r="Z1117" s="43"/>
    </row>
    <row r="1118" spans="24:26">
      <c r="X1118" s="43"/>
      <c r="Y1118" s="43"/>
      <c r="Z1118" s="43"/>
    </row>
    <row r="1119" spans="24:26">
      <c r="X1119" s="43"/>
      <c r="Y1119" s="43"/>
      <c r="Z1119" s="43"/>
    </row>
    <row r="1120" spans="24:26">
      <c r="X1120" s="43"/>
      <c r="Y1120" s="43"/>
      <c r="Z1120" s="43"/>
    </row>
    <row r="1121" spans="24:26">
      <c r="X1121" s="43"/>
      <c r="Y1121" s="43"/>
      <c r="Z1121" s="43"/>
    </row>
    <row r="1122" spans="24:26">
      <c r="X1122" s="43"/>
      <c r="Y1122" s="43"/>
      <c r="Z1122" s="43"/>
    </row>
    <row r="1123" spans="24:26">
      <c r="X1123" s="43"/>
      <c r="Y1123" s="43"/>
      <c r="Z1123" s="43"/>
    </row>
    <row r="1124" spans="24:26">
      <c r="X1124" s="43"/>
      <c r="Y1124" s="43"/>
      <c r="Z1124" s="43"/>
    </row>
    <row r="1125" spans="24:26">
      <c r="X1125" s="43"/>
      <c r="Y1125" s="43"/>
      <c r="Z1125" s="43"/>
    </row>
    <row r="1126" spans="24:26">
      <c r="X1126" s="43"/>
      <c r="Y1126" s="43"/>
      <c r="Z1126" s="43"/>
    </row>
    <row r="1127" spans="24:26">
      <c r="X1127" s="43"/>
      <c r="Y1127" s="43"/>
      <c r="Z1127" s="43"/>
    </row>
    <row r="1128" spans="24:26">
      <c r="X1128" s="43"/>
      <c r="Y1128" s="43"/>
      <c r="Z1128" s="43"/>
    </row>
    <row r="1129" spans="24:26">
      <c r="X1129" s="43"/>
      <c r="Y1129" s="43"/>
      <c r="Z1129" s="43"/>
    </row>
    <row r="1130" spans="24:26">
      <c r="X1130" s="43"/>
      <c r="Y1130" s="43"/>
      <c r="Z1130" s="43"/>
    </row>
    <row r="1131" spans="24:26">
      <c r="X1131" s="43"/>
      <c r="Y1131" s="43"/>
      <c r="Z1131" s="43"/>
    </row>
    <row r="1132" spans="24:26">
      <c r="X1132" s="43"/>
      <c r="Y1132" s="43"/>
      <c r="Z1132" s="43"/>
    </row>
    <row r="1133" spans="24:26">
      <c r="X1133" s="43"/>
      <c r="Y1133" s="43"/>
      <c r="Z1133" s="43"/>
    </row>
    <row r="1134" spans="24:26">
      <c r="X1134" s="43"/>
      <c r="Y1134" s="43"/>
      <c r="Z1134" s="43"/>
    </row>
    <row r="1135" spans="24:26">
      <c r="X1135" s="43"/>
      <c r="Y1135" s="43"/>
      <c r="Z1135" s="43"/>
    </row>
  </sheetData>
  <mergeCells count="31">
    <mergeCell ref="B2:D3"/>
    <mergeCell ref="B5:D5"/>
    <mergeCell ref="B6:D6"/>
    <mergeCell ref="E5:H5"/>
    <mergeCell ref="E6:H6"/>
    <mergeCell ref="E2:S2"/>
    <mergeCell ref="E3:S3"/>
    <mergeCell ref="B7:D7"/>
    <mergeCell ref="B11:C11"/>
    <mergeCell ref="E11:S11"/>
    <mergeCell ref="B12:B13"/>
    <mergeCell ref="E13:L18"/>
    <mergeCell ref="N13:S13"/>
    <mergeCell ref="N14:O14"/>
    <mergeCell ref="P14:Q14"/>
    <mergeCell ref="R14:S14"/>
    <mergeCell ref="E7:H7"/>
    <mergeCell ref="E8:H8"/>
    <mergeCell ref="E9:H9"/>
    <mergeCell ref="B8:D8"/>
    <mergeCell ref="B9:D9"/>
    <mergeCell ref="G30:H30"/>
    <mergeCell ref="G23:H23"/>
    <mergeCell ref="G24:H24"/>
    <mergeCell ref="G26:H26"/>
    <mergeCell ref="G20:J21"/>
    <mergeCell ref="G22:H22"/>
    <mergeCell ref="G25:H25"/>
    <mergeCell ref="G27:H27"/>
    <mergeCell ref="G28:H28"/>
    <mergeCell ref="G29:H29"/>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AD614"/>
  <sheetViews>
    <sheetView showGridLines="0" zoomScale="75" zoomScaleNormal="75" workbookViewId="0">
      <selection activeCell="E2" sqref="E2:S2"/>
    </sheetView>
  </sheetViews>
  <sheetFormatPr baseColWidth="10" defaultRowHeight="12.5"/>
  <cols>
    <col min="1" max="1" width="2.54296875" customWidth="1"/>
    <col min="2" max="2" width="16.1796875" customWidth="1"/>
    <col min="3" max="3" width="15.81640625" customWidth="1"/>
    <col min="4" max="4" width="10" customWidth="1"/>
    <col min="5" max="5" width="4.81640625" customWidth="1"/>
    <col min="6" max="6" width="3" customWidth="1"/>
    <col min="7" max="7" width="18.1796875" customWidth="1"/>
    <col min="8" max="8" width="13.1796875" customWidth="1"/>
    <col min="9" max="9" width="13.81640625" customWidth="1"/>
    <col min="10" max="10" width="9.1796875" customWidth="1"/>
    <col min="11" max="11" width="4.1796875" customWidth="1"/>
    <col min="12" max="12" width="9.1796875" customWidth="1"/>
    <col min="13" max="13" width="3" customWidth="1"/>
    <col min="14" max="14" width="8.81640625" customWidth="1"/>
    <col min="15" max="15" width="14.81640625" customWidth="1"/>
    <col min="16" max="16" width="8.81640625" customWidth="1"/>
    <col min="17" max="17" width="14.1796875" customWidth="1"/>
    <col min="18" max="18" width="8" customWidth="1"/>
    <col min="19" max="19" width="14.453125" customWidth="1"/>
    <col min="24" max="28" width="11.453125" style="48" customWidth="1"/>
  </cols>
  <sheetData>
    <row r="1" spans="1:30">
      <c r="A1" s="41"/>
      <c r="B1" s="41"/>
      <c r="C1" s="41"/>
      <c r="D1" s="429"/>
      <c r="E1" s="429"/>
      <c r="F1" s="429"/>
      <c r="G1" s="429"/>
      <c r="H1" s="429"/>
      <c r="I1" s="429"/>
      <c r="J1" s="429"/>
      <c r="K1" s="429"/>
      <c r="L1" s="429"/>
      <c r="M1" s="41"/>
      <c r="N1" s="41"/>
      <c r="O1" s="41"/>
      <c r="P1" s="41"/>
      <c r="Q1" s="41"/>
      <c r="R1" s="41"/>
      <c r="S1" s="41"/>
    </row>
    <row r="2" spans="1:30" ht="18" customHeight="1">
      <c r="A2" s="41"/>
      <c r="B2" s="588" t="s">
        <v>178</v>
      </c>
      <c r="C2" s="588"/>
      <c r="D2" s="588"/>
      <c r="E2" s="590" t="str">
        <f>UPPER(REPORTS!$AB$2)</f>
        <v>ALTERED FLOW</v>
      </c>
      <c r="F2" s="590"/>
      <c r="G2" s="590"/>
      <c r="H2" s="590"/>
      <c r="I2" s="590"/>
      <c r="J2" s="590"/>
      <c r="K2" s="590"/>
      <c r="L2" s="590"/>
      <c r="M2" s="590"/>
      <c r="N2" s="590"/>
      <c r="O2" s="590"/>
      <c r="P2" s="590"/>
      <c r="Q2" s="590"/>
      <c r="R2" s="590"/>
      <c r="S2" s="590"/>
      <c r="T2" s="42"/>
      <c r="U2" s="42"/>
      <c r="V2" s="42"/>
    </row>
    <row r="3" spans="1:30" ht="18">
      <c r="A3" s="41"/>
      <c r="B3" s="588"/>
      <c r="C3" s="588"/>
      <c r="D3" s="588"/>
      <c r="E3" s="591" t="s">
        <v>154</v>
      </c>
      <c r="F3" s="591"/>
      <c r="G3" s="591"/>
      <c r="H3" s="591"/>
      <c r="I3" s="591"/>
      <c r="J3" s="591"/>
      <c r="K3" s="591"/>
      <c r="L3" s="591"/>
      <c r="M3" s="591"/>
      <c r="N3" s="591"/>
      <c r="O3" s="591"/>
      <c r="P3" s="591"/>
      <c r="Q3" s="591"/>
      <c r="R3" s="591"/>
      <c r="S3" s="591"/>
      <c r="T3" s="42"/>
      <c r="U3" s="42"/>
      <c r="V3" s="42"/>
    </row>
    <row r="5" spans="1:30" ht="15.75" customHeight="1">
      <c r="B5" s="556" t="s">
        <v>1</v>
      </c>
      <c r="C5" s="556"/>
      <c r="D5" s="556"/>
      <c r="E5" s="589" t="str">
        <f>REPORTS!E7</f>
        <v>Natural Flow (Nat_F)</v>
      </c>
      <c r="F5" s="589"/>
      <c r="G5" s="589"/>
      <c r="H5" s="589"/>
    </row>
    <row r="6" spans="1:30" ht="15.75" customHeight="1">
      <c r="B6" s="556" t="s">
        <v>2</v>
      </c>
      <c r="C6" s="556"/>
      <c r="D6" s="556"/>
      <c r="E6" s="589" t="str">
        <f>REPORTS!E8</f>
        <v>Altered Flow (Alt_F)</v>
      </c>
      <c r="F6" s="589"/>
      <c r="G6" s="589"/>
      <c r="H6" s="589"/>
      <c r="U6" s="48" t="str">
        <f>CONCATENATE("ANNUAL CONTRIBUTIONS IN ",UPPER(REPORTS!$AB$2)," (hm³)")</f>
        <v>ANNUAL CONTRIBUTIONS IN ALTERED FLOW (hm³)</v>
      </c>
      <c r="V6" s="294"/>
      <c r="W6" s="294"/>
      <c r="X6" s="294"/>
      <c r="Y6" s="294"/>
      <c r="Z6" s="294"/>
      <c r="AA6" s="294"/>
    </row>
    <row r="7" spans="1:30" ht="15" customHeight="1">
      <c r="B7" s="556" t="s">
        <v>3</v>
      </c>
      <c r="C7" s="556"/>
      <c r="D7" s="556"/>
      <c r="E7" s="587" t="s">
        <v>4</v>
      </c>
      <c r="F7" s="587"/>
      <c r="G7" s="587"/>
      <c r="H7" s="587"/>
      <c r="V7" s="294"/>
      <c r="W7" s="294"/>
      <c r="X7" s="294"/>
      <c r="Y7" s="294"/>
      <c r="Z7" s="294"/>
      <c r="AA7" s="294"/>
    </row>
    <row r="8" spans="1:30" ht="14">
      <c r="B8" s="593"/>
      <c r="C8" s="593"/>
      <c r="D8" s="593"/>
      <c r="E8" s="557"/>
      <c r="F8" s="557"/>
      <c r="G8" s="557"/>
      <c r="H8" s="557"/>
      <c r="I8" s="95"/>
      <c r="J8" s="95"/>
      <c r="K8" s="95"/>
      <c r="L8" s="95"/>
    </row>
    <row r="9" spans="1:30" ht="14">
      <c r="B9" s="593"/>
      <c r="C9" s="593"/>
      <c r="D9" s="593"/>
      <c r="E9" s="557"/>
      <c r="F9" s="557"/>
      <c r="G9" s="557"/>
      <c r="H9" s="557"/>
      <c r="I9" s="95"/>
      <c r="J9" s="95"/>
      <c r="K9" s="95"/>
      <c r="L9" s="95"/>
    </row>
    <row r="10" spans="1:30">
      <c r="V10" s="294"/>
      <c r="W10" s="294"/>
      <c r="X10" s="294"/>
      <c r="Y10" s="294"/>
      <c r="Z10" s="294"/>
      <c r="AA10" s="294"/>
    </row>
    <row r="11" spans="1:30" ht="18">
      <c r="B11" s="578" t="s">
        <v>155</v>
      </c>
      <c r="C11" s="578"/>
      <c r="E11" s="592" t="s">
        <v>156</v>
      </c>
      <c r="F11" s="592"/>
      <c r="G11" s="592"/>
      <c r="H11" s="592"/>
      <c r="I11" s="592"/>
      <c r="J11" s="592"/>
      <c r="K11" s="592"/>
      <c r="L11" s="592"/>
      <c r="M11" s="592"/>
      <c r="N11" s="592"/>
      <c r="O11" s="592"/>
      <c r="P11" s="592"/>
      <c r="Q11" s="592"/>
      <c r="R11" s="592"/>
      <c r="S11" s="592"/>
      <c r="V11" s="294"/>
      <c r="W11" s="294"/>
      <c r="X11" s="294"/>
      <c r="Y11" s="294"/>
      <c r="Z11" s="294"/>
      <c r="AA11" s="294"/>
    </row>
    <row r="12" spans="1:30" ht="16.5" customHeight="1">
      <c r="B12" s="580" t="s">
        <v>32</v>
      </c>
      <c r="C12" s="245" t="s">
        <v>157</v>
      </c>
      <c r="V12" s="294"/>
      <c r="W12" s="294"/>
      <c r="AC12" s="48"/>
      <c r="AD12" s="48"/>
    </row>
    <row r="13" spans="1:30" ht="16.5" customHeight="1">
      <c r="B13" s="581"/>
      <c r="C13" s="246" t="s">
        <v>158</v>
      </c>
      <c r="E13" s="582" t="s">
        <v>159</v>
      </c>
      <c r="F13" s="582"/>
      <c r="G13" s="582"/>
      <c r="H13" s="582"/>
      <c r="I13" s="582"/>
      <c r="J13" s="582"/>
      <c r="K13" s="582"/>
      <c r="L13" s="582"/>
      <c r="N13" s="583" t="s">
        <v>160</v>
      </c>
      <c r="O13" s="584"/>
      <c r="P13" s="584"/>
      <c r="Q13" s="584"/>
      <c r="R13" s="584"/>
      <c r="S13" s="585"/>
      <c r="V13" s="294"/>
      <c r="W13" s="294"/>
      <c r="Y13" s="48" t="s">
        <v>161</v>
      </c>
      <c r="Z13" s="48" t="str">
        <f>UPPER(REPORTS!$AA$2)</f>
        <v>ALT_F</v>
      </c>
      <c r="AA13" s="48" t="str">
        <f>CONCATENATE("WET THRESHOLD ", REPORTS!$AA$2)</f>
        <v>WET THRESHOLD Alt_F</v>
      </c>
      <c r="AB13" s="48" t="str">
        <f>CONCATENATE("DRY THRESHOLD ", REPORTS!$AA$2)</f>
        <v>DRY THRESHOLD Alt_F</v>
      </c>
      <c r="AC13" s="48"/>
      <c r="AD13" s="48"/>
    </row>
    <row r="14" spans="1:30" ht="16.5" customHeight="1">
      <c r="B14" s="525" t="s">
        <v>129</v>
      </c>
      <c r="C14" s="525">
        <v>63.072635650634766</v>
      </c>
      <c r="E14" s="582"/>
      <c r="F14" s="582"/>
      <c r="G14" s="582"/>
      <c r="H14" s="582"/>
      <c r="I14" s="582"/>
      <c r="J14" s="582"/>
      <c r="K14" s="582"/>
      <c r="L14" s="582"/>
      <c r="N14" s="586" t="s">
        <v>162</v>
      </c>
      <c r="O14" s="586"/>
      <c r="P14" s="586" t="s">
        <v>163</v>
      </c>
      <c r="Q14" s="586"/>
      <c r="R14" s="586" t="s">
        <v>164</v>
      </c>
      <c r="S14" s="586"/>
      <c r="V14" s="294"/>
      <c r="W14" s="294"/>
      <c r="Y14" s="207" t="str">
        <f>B14</f>
        <v>2080-81</v>
      </c>
      <c r="Z14" s="207">
        <f>C14</f>
        <v>63.072635650634766</v>
      </c>
      <c r="AA14" s="207">
        <f>I$26</f>
        <v>61.18043327331543</v>
      </c>
      <c r="AB14" s="207">
        <f>I$23</f>
        <v>47.812652587890625</v>
      </c>
      <c r="AC14" s="48"/>
      <c r="AD14" s="48"/>
    </row>
    <row r="15" spans="1:30" ht="16.5" customHeight="1">
      <c r="B15" s="525" t="s">
        <v>130</v>
      </c>
      <c r="C15" s="525">
        <v>49.108882904052734</v>
      </c>
      <c r="E15" s="582"/>
      <c r="F15" s="582"/>
      <c r="G15" s="582"/>
      <c r="H15" s="582"/>
      <c r="I15" s="582"/>
      <c r="J15" s="582"/>
      <c r="K15" s="582"/>
      <c r="L15" s="582"/>
      <c r="N15" s="248" t="s">
        <v>32</v>
      </c>
      <c r="O15" s="44" t="s">
        <v>165</v>
      </c>
      <c r="P15" s="45" t="s">
        <v>32</v>
      </c>
      <c r="Q15" s="44" t="s">
        <v>165</v>
      </c>
      <c r="R15" s="45" t="s">
        <v>32</v>
      </c>
      <c r="S15" s="248" t="s">
        <v>165</v>
      </c>
      <c r="V15" s="294"/>
      <c r="W15" s="294"/>
      <c r="Y15" s="207" t="str">
        <f t="shared" ref="Y15:Z78" si="0">B15</f>
        <v>2081-82</v>
      </c>
      <c r="Z15" s="207">
        <f t="shared" si="0"/>
        <v>49.108882904052734</v>
      </c>
      <c r="AA15" s="207">
        <f t="shared" ref="AA15:AA78" si="1">I$26</f>
        <v>61.18043327331543</v>
      </c>
      <c r="AB15" s="207">
        <f t="shared" ref="AB15:AB78" si="2">I$23</f>
        <v>47.812652587890625</v>
      </c>
      <c r="AC15" s="48"/>
      <c r="AD15" s="48"/>
    </row>
    <row r="16" spans="1:30">
      <c r="B16" s="525" t="s">
        <v>131</v>
      </c>
      <c r="C16" s="525">
        <v>53.830959320068359</v>
      </c>
      <c r="E16" s="582"/>
      <c r="F16" s="582"/>
      <c r="G16" s="582"/>
      <c r="H16" s="582"/>
      <c r="I16" s="582"/>
      <c r="J16" s="582"/>
      <c r="K16" s="582"/>
      <c r="L16" s="582"/>
      <c r="N16" s="525" t="s">
        <v>129</v>
      </c>
      <c r="O16" s="525">
        <v>63.072635650634766</v>
      </c>
      <c r="P16" s="525" t="s">
        <v>130</v>
      </c>
      <c r="Q16" s="525">
        <v>49.108882904052734</v>
      </c>
      <c r="R16" s="525" t="s">
        <v>138</v>
      </c>
      <c r="S16" s="525">
        <v>41.257530212402344</v>
      </c>
      <c r="V16" s="294"/>
      <c r="W16" s="294"/>
      <c r="Y16" s="207" t="str">
        <f t="shared" si="0"/>
        <v>2082-83</v>
      </c>
      <c r="Z16" s="207">
        <f t="shared" si="0"/>
        <v>53.830959320068359</v>
      </c>
      <c r="AA16" s="207">
        <f t="shared" si="1"/>
        <v>61.18043327331543</v>
      </c>
      <c r="AB16" s="207">
        <f t="shared" si="2"/>
        <v>47.812652587890625</v>
      </c>
      <c r="AC16" s="48"/>
      <c r="AD16" s="48"/>
    </row>
    <row r="17" spans="2:30" ht="14.25" customHeight="1">
      <c r="B17" s="525" t="s">
        <v>132</v>
      </c>
      <c r="C17" s="525">
        <v>70.150871276855469</v>
      </c>
      <c r="E17" s="582"/>
      <c r="F17" s="582"/>
      <c r="G17" s="582"/>
      <c r="H17" s="582"/>
      <c r="I17" s="582"/>
      <c r="J17" s="582"/>
      <c r="K17" s="582"/>
      <c r="L17" s="582"/>
      <c r="N17" s="525" t="s">
        <v>132</v>
      </c>
      <c r="O17" s="525">
        <v>70.150871276855469</v>
      </c>
      <c r="P17" s="525" t="s">
        <v>131</v>
      </c>
      <c r="Q17" s="525">
        <v>53.830959320068359</v>
      </c>
      <c r="R17" s="525" t="s">
        <v>140</v>
      </c>
      <c r="S17" s="525">
        <v>46.516422271728516</v>
      </c>
      <c r="V17" s="294"/>
      <c r="W17" s="294"/>
      <c r="Y17" s="207" t="str">
        <f t="shared" si="0"/>
        <v>2083-84</v>
      </c>
      <c r="Z17" s="207">
        <f t="shared" si="0"/>
        <v>70.150871276855469</v>
      </c>
      <c r="AA17" s="207">
        <f t="shared" si="1"/>
        <v>61.18043327331543</v>
      </c>
      <c r="AB17" s="207">
        <f t="shared" si="2"/>
        <v>47.812652587890625</v>
      </c>
      <c r="AC17" s="48"/>
      <c r="AD17" s="48"/>
    </row>
    <row r="18" spans="2:30">
      <c r="B18" s="525" t="s">
        <v>133</v>
      </c>
      <c r="C18" s="525">
        <v>70.7994384765625</v>
      </c>
      <c r="E18" s="582"/>
      <c r="F18" s="582"/>
      <c r="G18" s="582"/>
      <c r="H18" s="582"/>
      <c r="I18" s="582"/>
      <c r="J18" s="582"/>
      <c r="K18" s="582"/>
      <c r="L18" s="582"/>
      <c r="N18" s="525" t="s">
        <v>133</v>
      </c>
      <c r="O18" s="525">
        <v>70.7994384765625</v>
      </c>
      <c r="P18" s="525" t="s">
        <v>134</v>
      </c>
      <c r="Q18" s="525">
        <v>50.573440551757813</v>
      </c>
      <c r="R18" s="525" t="s">
        <v>141</v>
      </c>
      <c r="S18" s="525">
        <v>46.315048217773438</v>
      </c>
      <c r="V18" s="294"/>
      <c r="W18" s="294"/>
      <c r="Y18" s="207" t="str">
        <f t="shared" si="0"/>
        <v>2084-85</v>
      </c>
      <c r="Z18" s="207">
        <f t="shared" si="0"/>
        <v>70.7994384765625</v>
      </c>
      <c r="AA18" s="207">
        <f t="shared" si="1"/>
        <v>61.18043327331543</v>
      </c>
      <c r="AB18" s="207">
        <f t="shared" si="2"/>
        <v>47.812652587890625</v>
      </c>
      <c r="AC18" s="48"/>
      <c r="AD18" s="48"/>
    </row>
    <row r="19" spans="2:30">
      <c r="B19" s="525" t="s">
        <v>134</v>
      </c>
      <c r="C19" s="525">
        <v>50.573440551757813</v>
      </c>
      <c r="N19" s="525" t="s">
        <v>136</v>
      </c>
      <c r="O19" s="525">
        <v>66.402969360351563</v>
      </c>
      <c r="P19" s="525" t="s">
        <v>135</v>
      </c>
      <c r="Q19" s="525">
        <v>59.040454864501953</v>
      </c>
      <c r="R19" s="525" t="s">
        <v>144</v>
      </c>
      <c r="S19" s="525">
        <v>45.861164093017578</v>
      </c>
      <c r="V19" s="294"/>
      <c r="W19" s="294"/>
      <c r="Y19" s="207" t="str">
        <f t="shared" si="0"/>
        <v>2085-86</v>
      </c>
      <c r="Z19" s="207">
        <f t="shared" si="0"/>
        <v>50.573440551757813</v>
      </c>
      <c r="AA19" s="207">
        <f t="shared" si="1"/>
        <v>61.18043327331543</v>
      </c>
      <c r="AB19" s="207">
        <f t="shared" si="2"/>
        <v>47.812652587890625</v>
      </c>
      <c r="AC19" s="48"/>
      <c r="AD19" s="48"/>
    </row>
    <row r="20" spans="2:30">
      <c r="B20" s="525" t="s">
        <v>135</v>
      </c>
      <c r="C20" s="525">
        <v>59.040454864501953</v>
      </c>
      <c r="G20" s="572" t="s">
        <v>166</v>
      </c>
      <c r="H20" s="573"/>
      <c r="I20" s="573"/>
      <c r="J20" s="573"/>
      <c r="N20" s="525" t="s">
        <v>139</v>
      </c>
      <c r="O20" s="525">
        <v>62.096706390380859</v>
      </c>
      <c r="P20" s="525" t="s">
        <v>137</v>
      </c>
      <c r="Q20" s="525">
        <v>53.614456176757813</v>
      </c>
      <c r="R20" s="525" t="s">
        <v>149</v>
      </c>
      <c r="S20" s="525">
        <v>37.575660705566406</v>
      </c>
      <c r="V20" s="294"/>
      <c r="W20" s="294"/>
      <c r="Y20" s="207" t="str">
        <f t="shared" si="0"/>
        <v>2086-87</v>
      </c>
      <c r="Z20" s="207">
        <f t="shared" si="0"/>
        <v>59.040454864501953</v>
      </c>
      <c r="AA20" s="207">
        <f t="shared" si="1"/>
        <v>61.18043327331543</v>
      </c>
      <c r="AB20" s="207">
        <f t="shared" si="2"/>
        <v>47.812652587890625</v>
      </c>
      <c r="AC20" s="48"/>
      <c r="AD20" s="48"/>
    </row>
    <row r="21" spans="2:30">
      <c r="B21" s="525" t="s">
        <v>136</v>
      </c>
      <c r="C21" s="525">
        <v>66.402969360351563</v>
      </c>
      <c r="G21" s="574"/>
      <c r="H21" s="574"/>
      <c r="I21" s="574"/>
      <c r="J21" s="574"/>
      <c r="P21" s="525" t="s">
        <v>142</v>
      </c>
      <c r="Q21" s="525">
        <v>52.887718200683594</v>
      </c>
      <c r="V21" s="294"/>
      <c r="W21" s="294"/>
      <c r="Y21" s="207" t="str">
        <f t="shared" si="0"/>
        <v>2087-88</v>
      </c>
      <c r="Z21" s="207">
        <f t="shared" si="0"/>
        <v>66.402969360351563</v>
      </c>
      <c r="AA21" s="207">
        <f t="shared" si="1"/>
        <v>61.18043327331543</v>
      </c>
      <c r="AB21" s="207">
        <f t="shared" si="2"/>
        <v>47.812652587890625</v>
      </c>
      <c r="AC21" s="48"/>
      <c r="AD21" s="48"/>
    </row>
    <row r="22" spans="2:30" ht="14.5">
      <c r="B22" s="525" t="s">
        <v>137</v>
      </c>
      <c r="C22" s="525">
        <v>53.614456176757813</v>
      </c>
      <c r="G22" s="575" t="s">
        <v>167</v>
      </c>
      <c r="H22" s="575"/>
      <c r="I22" s="46">
        <f>MIN(C14:C614)</f>
        <v>37.575660705566406</v>
      </c>
      <c r="J22" s="338" t="s">
        <v>168</v>
      </c>
      <c r="P22" s="525" t="s">
        <v>143</v>
      </c>
      <c r="Q22" s="525">
        <v>50.793693542480469</v>
      </c>
      <c r="V22" s="294"/>
      <c r="W22" s="294"/>
      <c r="Y22" s="207" t="str">
        <f t="shared" si="0"/>
        <v>2088-89</v>
      </c>
      <c r="Z22" s="207">
        <f t="shared" si="0"/>
        <v>53.614456176757813</v>
      </c>
      <c r="AA22" s="207">
        <f t="shared" si="1"/>
        <v>61.18043327331543</v>
      </c>
      <c r="AB22" s="207">
        <f t="shared" si="2"/>
        <v>47.812652587890625</v>
      </c>
      <c r="AC22" s="48"/>
      <c r="AD22" s="48"/>
    </row>
    <row r="23" spans="2:30" ht="14.5">
      <c r="B23" s="525" t="s">
        <v>138</v>
      </c>
      <c r="C23" s="525">
        <v>41.257530212402344</v>
      </c>
      <c r="G23" s="570" t="s">
        <v>169</v>
      </c>
      <c r="H23" s="570"/>
      <c r="I23" s="47">
        <f>_xlfn.PERCENTILE.EXC(C14:C614,0.25)</f>
        <v>47.812652587890625</v>
      </c>
      <c r="J23" s="338" t="s">
        <v>168</v>
      </c>
      <c r="P23" s="525" t="s">
        <v>145</v>
      </c>
      <c r="Q23" s="525">
        <v>55.026752471923828</v>
      </c>
      <c r="V23" s="294"/>
      <c r="W23" s="294"/>
      <c r="Y23" s="207" t="str">
        <f t="shared" si="0"/>
        <v>2089-90</v>
      </c>
      <c r="Z23" s="207">
        <f t="shared" si="0"/>
        <v>41.257530212402344</v>
      </c>
      <c r="AA23" s="207">
        <f t="shared" si="1"/>
        <v>61.18043327331543</v>
      </c>
      <c r="AB23" s="207">
        <f t="shared" si="2"/>
        <v>47.812652587890625</v>
      </c>
      <c r="AC23" s="48"/>
      <c r="AD23" s="48"/>
    </row>
    <row r="24" spans="2:30" ht="14.5">
      <c r="B24" s="525" t="s">
        <v>139</v>
      </c>
      <c r="C24" s="525">
        <v>62.096706390380859</v>
      </c>
      <c r="G24" s="571" t="s">
        <v>170</v>
      </c>
      <c r="H24" s="571"/>
      <c r="I24" s="46">
        <f>_xlfn.PERCENTILE.EXC(C14:C614,0.5)</f>
        <v>53.614456176757813</v>
      </c>
      <c r="J24" s="338" t="s">
        <v>171</v>
      </c>
      <c r="P24" s="525" t="s">
        <v>146</v>
      </c>
      <c r="Q24" s="525">
        <v>59.50457763671875</v>
      </c>
      <c r="V24" s="294"/>
      <c r="W24" s="294"/>
      <c r="Y24" s="207" t="str">
        <f t="shared" si="0"/>
        <v>2090-91</v>
      </c>
      <c r="Z24" s="207">
        <f t="shared" si="0"/>
        <v>62.096706390380859</v>
      </c>
      <c r="AA24" s="207">
        <f t="shared" si="1"/>
        <v>61.18043327331543</v>
      </c>
      <c r="AB24" s="207">
        <f t="shared" si="2"/>
        <v>47.812652587890625</v>
      </c>
      <c r="AC24" s="48"/>
      <c r="AD24" s="48"/>
    </row>
    <row r="25" spans="2:30" ht="14.5">
      <c r="B25" s="525" t="s">
        <v>140</v>
      </c>
      <c r="C25" s="525">
        <v>46.516422271728516</v>
      </c>
      <c r="G25" s="571" t="s">
        <v>172</v>
      </c>
      <c r="H25" s="571"/>
      <c r="I25" s="46">
        <f>AVERAGE(C14:C614)</f>
        <v>54.491478692917596</v>
      </c>
      <c r="J25" s="338" t="s">
        <v>171</v>
      </c>
      <c r="P25" s="525" t="s">
        <v>147</v>
      </c>
      <c r="Q25" s="525">
        <v>60.26416015625</v>
      </c>
      <c r="V25" s="294"/>
      <c r="W25" s="294"/>
      <c r="Y25" s="207" t="str">
        <f t="shared" si="0"/>
        <v>2091-92</v>
      </c>
      <c r="Z25" s="207">
        <f t="shared" si="0"/>
        <v>46.516422271728516</v>
      </c>
      <c r="AA25" s="207">
        <f t="shared" si="1"/>
        <v>61.18043327331543</v>
      </c>
      <c r="AB25" s="207">
        <f t="shared" si="2"/>
        <v>47.812652587890625</v>
      </c>
      <c r="AC25" s="48"/>
      <c r="AD25" s="48"/>
    </row>
    <row r="26" spans="2:30" ht="14.5">
      <c r="B26" s="525" t="s">
        <v>141</v>
      </c>
      <c r="C26" s="525">
        <v>46.315048217773438</v>
      </c>
      <c r="G26" s="571" t="s">
        <v>173</v>
      </c>
      <c r="H26" s="571"/>
      <c r="I26" s="47">
        <f>_xlfn.PERCENTILE.EXC(C14:C614,0.75)</f>
        <v>61.18043327331543</v>
      </c>
      <c r="J26" s="338" t="s">
        <v>171</v>
      </c>
      <c r="L26" s="48" t="str">
        <f>REPORTS!$AA$1</f>
        <v>Nat_F</v>
      </c>
      <c r="P26" s="525" t="s">
        <v>148</v>
      </c>
      <c r="Q26" s="525">
        <v>49.627510070800781</v>
      </c>
      <c r="V26" s="294"/>
      <c r="W26" s="294"/>
      <c r="Y26" s="207" t="str">
        <f t="shared" si="0"/>
        <v>2092-93</v>
      </c>
      <c r="Z26" s="207">
        <f t="shared" si="0"/>
        <v>46.315048217773438</v>
      </c>
      <c r="AA26" s="207">
        <f t="shared" si="1"/>
        <v>61.18043327331543</v>
      </c>
      <c r="AB26" s="207">
        <f t="shared" si="2"/>
        <v>47.812652587890625</v>
      </c>
      <c r="AC26" s="48"/>
      <c r="AD26" s="48"/>
    </row>
    <row r="27" spans="2:30" ht="14.5">
      <c r="B27" s="525" t="s">
        <v>142</v>
      </c>
      <c r="C27" s="525">
        <v>52.887718200683594</v>
      </c>
      <c r="G27" s="571" t="s">
        <v>174</v>
      </c>
      <c r="H27" s="571"/>
      <c r="I27" s="46">
        <f>MAX(C14:C614)</f>
        <v>70.7994384765625</v>
      </c>
      <c r="J27" s="338" t="s">
        <v>171</v>
      </c>
      <c r="L27" s="48" t="str">
        <f>REPORTS!$AA$2</f>
        <v>Alt_F</v>
      </c>
      <c r="V27" s="294"/>
      <c r="W27" s="294"/>
      <c r="Y27" s="207" t="str">
        <f t="shared" si="0"/>
        <v>2093-94</v>
      </c>
      <c r="Z27" s="207">
        <f t="shared" si="0"/>
        <v>52.887718200683594</v>
      </c>
      <c r="AA27" s="207">
        <f t="shared" si="1"/>
        <v>61.18043327331543</v>
      </c>
      <c r="AB27" s="207">
        <f t="shared" si="2"/>
        <v>47.812652587890625</v>
      </c>
      <c r="AC27" s="48"/>
      <c r="AD27" s="48"/>
    </row>
    <row r="28" spans="2:30" ht="14.5">
      <c r="B28" s="525" t="s">
        <v>143</v>
      </c>
      <c r="C28" s="525">
        <v>50.793693542480469</v>
      </c>
      <c r="G28" s="576" t="s">
        <v>175</v>
      </c>
      <c r="H28" s="576"/>
      <c r="I28" s="46">
        <f>I26-I23</f>
        <v>13.367780685424805</v>
      </c>
      <c r="J28" s="338" t="s">
        <v>171</v>
      </c>
      <c r="V28" s="294"/>
      <c r="W28" s="294"/>
      <c r="Y28" s="207" t="str">
        <f t="shared" si="0"/>
        <v>2094-95</v>
      </c>
      <c r="Z28" s="207">
        <f t="shared" si="0"/>
        <v>50.793693542480469</v>
      </c>
      <c r="AA28" s="207">
        <f t="shared" si="1"/>
        <v>61.18043327331543</v>
      </c>
      <c r="AB28" s="207">
        <f t="shared" si="2"/>
        <v>47.812652587890625</v>
      </c>
      <c r="AC28" s="48"/>
      <c r="AD28" s="48"/>
    </row>
    <row r="29" spans="2:30" ht="14.5">
      <c r="B29" s="525" t="s">
        <v>144</v>
      </c>
      <c r="C29" s="525">
        <v>45.861164093017578</v>
      </c>
      <c r="G29" s="577" t="s">
        <v>176</v>
      </c>
      <c r="H29" s="577"/>
      <c r="I29" s="46">
        <f>_xlfn.STDEV.S(C14:C614)</f>
        <v>8.9878056969909874</v>
      </c>
      <c r="J29" s="109"/>
      <c r="V29" s="294"/>
      <c r="W29" s="294"/>
      <c r="Y29" s="207" t="str">
        <f t="shared" si="0"/>
        <v>2095-96</v>
      </c>
      <c r="Z29" s="207">
        <f t="shared" si="0"/>
        <v>45.861164093017578</v>
      </c>
      <c r="AA29" s="207">
        <f t="shared" si="1"/>
        <v>61.18043327331543</v>
      </c>
      <c r="AB29" s="207">
        <f t="shared" si="2"/>
        <v>47.812652587890625</v>
      </c>
      <c r="AC29" s="48"/>
      <c r="AD29" s="48"/>
    </row>
    <row r="30" spans="2:30" ht="14.5">
      <c r="B30" s="525" t="s">
        <v>145</v>
      </c>
      <c r="C30" s="525">
        <v>55.026752471923828</v>
      </c>
      <c r="G30" s="569" t="s">
        <v>177</v>
      </c>
      <c r="H30" s="569"/>
      <c r="I30" s="49">
        <f>SKEW(C14:C614)</f>
        <v>0.16059518965393266</v>
      </c>
      <c r="J30" s="247"/>
      <c r="V30" s="294"/>
      <c r="W30" s="294"/>
      <c r="Y30" s="207" t="str">
        <f t="shared" si="0"/>
        <v>2096-97</v>
      </c>
      <c r="Z30" s="207">
        <f t="shared" si="0"/>
        <v>55.026752471923828</v>
      </c>
      <c r="AA30" s="207">
        <f t="shared" si="1"/>
        <v>61.18043327331543</v>
      </c>
      <c r="AB30" s="207">
        <f t="shared" si="2"/>
        <v>47.812652587890625</v>
      </c>
      <c r="AC30" s="48"/>
      <c r="AD30" s="48"/>
    </row>
    <row r="31" spans="2:30">
      <c r="B31" s="525" t="s">
        <v>146</v>
      </c>
      <c r="C31" s="525">
        <v>59.50457763671875</v>
      </c>
      <c r="V31" s="294"/>
      <c r="W31" s="294"/>
      <c r="Y31" s="207" t="str">
        <f t="shared" si="0"/>
        <v>2097-98</v>
      </c>
      <c r="Z31" s="207">
        <f t="shared" si="0"/>
        <v>59.50457763671875</v>
      </c>
      <c r="AA31" s="207">
        <f t="shared" si="1"/>
        <v>61.18043327331543</v>
      </c>
      <c r="AB31" s="207">
        <f t="shared" si="2"/>
        <v>47.812652587890625</v>
      </c>
      <c r="AC31" s="48"/>
      <c r="AD31" s="48"/>
    </row>
    <row r="32" spans="2:30">
      <c r="B32" s="525" t="s">
        <v>147</v>
      </c>
      <c r="C32" s="525">
        <v>60.26416015625</v>
      </c>
      <c r="V32" s="294"/>
      <c r="W32" s="294"/>
      <c r="Y32" s="207" t="str">
        <f t="shared" si="0"/>
        <v>2098-99</v>
      </c>
      <c r="Z32" s="207">
        <f t="shared" si="0"/>
        <v>60.26416015625</v>
      </c>
      <c r="AA32" s="207">
        <f t="shared" si="1"/>
        <v>61.18043327331543</v>
      </c>
      <c r="AB32" s="207">
        <f t="shared" si="2"/>
        <v>47.812652587890625</v>
      </c>
      <c r="AC32" s="48"/>
      <c r="AD32" s="48"/>
    </row>
    <row r="33" spans="2:30">
      <c r="B33" s="525" t="s">
        <v>148</v>
      </c>
      <c r="C33" s="525">
        <v>49.627510070800781</v>
      </c>
      <c r="G33" s="294" t="str">
        <f>UPPER(REPORTS!$AA$2)</f>
        <v>ALT_F</v>
      </c>
      <c r="V33" s="294"/>
      <c r="W33" s="294"/>
      <c r="Y33" s="207" t="str">
        <f t="shared" si="0"/>
        <v>2099-00</v>
      </c>
      <c r="Z33" s="207">
        <f t="shared" si="0"/>
        <v>49.627510070800781</v>
      </c>
      <c r="AA33" s="207">
        <f t="shared" si="1"/>
        <v>61.18043327331543</v>
      </c>
      <c r="AB33" s="207">
        <f t="shared" si="2"/>
        <v>47.812652587890625</v>
      </c>
      <c r="AC33" s="48"/>
      <c r="AD33" s="48"/>
    </row>
    <row r="34" spans="2:30">
      <c r="B34" s="525" t="s">
        <v>149</v>
      </c>
      <c r="C34" s="525">
        <v>37.575660705566406</v>
      </c>
      <c r="V34" s="294"/>
      <c r="W34" s="294"/>
      <c r="Y34" s="207" t="str">
        <f t="shared" si="0"/>
        <v>2100-01</v>
      </c>
      <c r="Z34" s="207">
        <f t="shared" si="0"/>
        <v>37.575660705566406</v>
      </c>
      <c r="AA34" s="207">
        <f t="shared" si="1"/>
        <v>61.18043327331543</v>
      </c>
      <c r="AB34" s="207">
        <f t="shared" si="2"/>
        <v>47.812652587890625</v>
      </c>
      <c r="AC34" s="48"/>
      <c r="AD34" s="48"/>
    </row>
    <row r="35" spans="2:30">
      <c r="C35" s="27"/>
      <c r="V35" s="294"/>
      <c r="W35" s="294"/>
      <c r="Y35" s="207">
        <f t="shared" si="0"/>
        <v>0</v>
      </c>
      <c r="Z35" s="207">
        <f t="shared" si="0"/>
        <v>0</v>
      </c>
      <c r="AA35" s="207">
        <f t="shared" si="1"/>
        <v>61.18043327331543</v>
      </c>
      <c r="AB35" s="207">
        <f t="shared" si="2"/>
        <v>47.812652587890625</v>
      </c>
      <c r="AC35" s="48"/>
      <c r="AD35" s="48"/>
    </row>
    <row r="36" spans="2:30">
      <c r="C36" s="27"/>
      <c r="V36" s="294"/>
      <c r="W36" s="294"/>
      <c r="Y36" s="207">
        <f t="shared" si="0"/>
        <v>0</v>
      </c>
      <c r="Z36" s="207">
        <f t="shared" si="0"/>
        <v>0</v>
      </c>
      <c r="AA36" s="207">
        <f t="shared" si="1"/>
        <v>61.18043327331543</v>
      </c>
      <c r="AB36" s="207">
        <f t="shared" si="2"/>
        <v>47.812652587890625</v>
      </c>
      <c r="AC36" s="48"/>
      <c r="AD36" s="48"/>
    </row>
    <row r="37" spans="2:30">
      <c r="C37" s="27"/>
      <c r="V37" s="294"/>
      <c r="W37" s="294"/>
      <c r="Y37" s="207">
        <f t="shared" si="0"/>
        <v>0</v>
      </c>
      <c r="Z37" s="207">
        <f t="shared" si="0"/>
        <v>0</v>
      </c>
      <c r="AA37" s="207">
        <f t="shared" si="1"/>
        <v>61.18043327331543</v>
      </c>
      <c r="AB37" s="207">
        <f t="shared" si="2"/>
        <v>47.812652587890625</v>
      </c>
      <c r="AC37" s="48"/>
      <c r="AD37" s="48"/>
    </row>
    <row r="38" spans="2:30">
      <c r="C38" s="27"/>
      <c r="V38" s="294"/>
      <c r="W38" s="294"/>
      <c r="Y38" s="207">
        <f t="shared" si="0"/>
        <v>0</v>
      </c>
      <c r="Z38" s="207">
        <f t="shared" si="0"/>
        <v>0</v>
      </c>
      <c r="AA38" s="207">
        <f t="shared" si="1"/>
        <v>61.18043327331543</v>
      </c>
      <c r="AB38" s="207">
        <f t="shared" si="2"/>
        <v>47.812652587890625</v>
      </c>
      <c r="AC38" s="48"/>
      <c r="AD38" s="48"/>
    </row>
    <row r="39" spans="2:30">
      <c r="C39" s="27"/>
      <c r="Y39" s="207">
        <f t="shared" si="0"/>
        <v>0</v>
      </c>
      <c r="Z39" s="207">
        <f t="shared" si="0"/>
        <v>0</v>
      </c>
      <c r="AA39" s="207">
        <f t="shared" si="1"/>
        <v>61.18043327331543</v>
      </c>
      <c r="AB39" s="207">
        <f t="shared" si="2"/>
        <v>47.812652587890625</v>
      </c>
      <c r="AC39" s="48"/>
      <c r="AD39" s="48"/>
    </row>
    <row r="40" spans="2:30">
      <c r="C40" s="27"/>
      <c r="Y40" s="207">
        <f t="shared" si="0"/>
        <v>0</v>
      </c>
      <c r="Z40" s="207">
        <f t="shared" si="0"/>
        <v>0</v>
      </c>
      <c r="AA40" s="207">
        <f t="shared" si="1"/>
        <v>61.18043327331543</v>
      </c>
      <c r="AB40" s="207">
        <f t="shared" si="2"/>
        <v>47.812652587890625</v>
      </c>
      <c r="AC40" s="48"/>
      <c r="AD40" s="48"/>
    </row>
    <row r="41" spans="2:30">
      <c r="C41" s="27"/>
      <c r="Y41" s="207">
        <f t="shared" si="0"/>
        <v>0</v>
      </c>
      <c r="Z41" s="207">
        <f t="shared" si="0"/>
        <v>0</v>
      </c>
      <c r="AA41" s="207">
        <f t="shared" si="1"/>
        <v>61.18043327331543</v>
      </c>
      <c r="AB41" s="207">
        <f t="shared" si="2"/>
        <v>47.812652587890625</v>
      </c>
      <c r="AC41" s="48"/>
      <c r="AD41" s="48"/>
    </row>
    <row r="42" spans="2:30">
      <c r="C42" s="27"/>
      <c r="Y42" s="207">
        <f t="shared" si="0"/>
        <v>0</v>
      </c>
      <c r="Z42" s="207">
        <f t="shared" si="0"/>
        <v>0</v>
      </c>
      <c r="AA42" s="207">
        <f t="shared" si="1"/>
        <v>61.18043327331543</v>
      </c>
      <c r="AB42" s="207">
        <f t="shared" si="2"/>
        <v>47.812652587890625</v>
      </c>
    </row>
    <row r="43" spans="2:30">
      <c r="C43" s="27"/>
      <c r="Y43" s="207">
        <f t="shared" si="0"/>
        <v>0</v>
      </c>
      <c r="Z43" s="207">
        <f t="shared" si="0"/>
        <v>0</v>
      </c>
      <c r="AA43" s="207">
        <f t="shared" si="1"/>
        <v>61.18043327331543</v>
      </c>
      <c r="AB43" s="207">
        <f t="shared" si="2"/>
        <v>47.812652587890625</v>
      </c>
    </row>
    <row r="44" spans="2:30">
      <c r="C44" s="27"/>
      <c r="Y44" s="207">
        <f t="shared" si="0"/>
        <v>0</v>
      </c>
      <c r="Z44" s="207">
        <f t="shared" si="0"/>
        <v>0</v>
      </c>
      <c r="AA44" s="207">
        <f t="shared" si="1"/>
        <v>61.18043327331543</v>
      </c>
      <c r="AB44" s="207">
        <f t="shared" si="2"/>
        <v>47.812652587890625</v>
      </c>
    </row>
    <row r="45" spans="2:30">
      <c r="C45" s="27"/>
      <c r="Y45" s="207">
        <f t="shared" si="0"/>
        <v>0</v>
      </c>
      <c r="Z45" s="207">
        <f t="shared" si="0"/>
        <v>0</v>
      </c>
      <c r="AA45" s="207">
        <f t="shared" si="1"/>
        <v>61.18043327331543</v>
      </c>
      <c r="AB45" s="207">
        <f t="shared" si="2"/>
        <v>47.812652587890625</v>
      </c>
    </row>
    <row r="46" spans="2:30">
      <c r="C46" s="27"/>
      <c r="Y46" s="207">
        <f t="shared" si="0"/>
        <v>0</v>
      </c>
      <c r="Z46" s="207">
        <f t="shared" si="0"/>
        <v>0</v>
      </c>
      <c r="AA46" s="207">
        <f t="shared" si="1"/>
        <v>61.18043327331543</v>
      </c>
      <c r="AB46" s="207">
        <f t="shared" si="2"/>
        <v>47.812652587890625</v>
      </c>
    </row>
    <row r="47" spans="2:30">
      <c r="C47" s="27"/>
      <c r="Y47" s="207">
        <f t="shared" si="0"/>
        <v>0</v>
      </c>
      <c r="Z47" s="207">
        <f t="shared" si="0"/>
        <v>0</v>
      </c>
      <c r="AA47" s="207">
        <f t="shared" si="1"/>
        <v>61.18043327331543</v>
      </c>
      <c r="AB47" s="207">
        <f t="shared" si="2"/>
        <v>47.812652587890625</v>
      </c>
    </row>
    <row r="48" spans="2:30">
      <c r="C48" s="27"/>
      <c r="Y48" s="207">
        <f t="shared" si="0"/>
        <v>0</v>
      </c>
      <c r="Z48" s="207">
        <f t="shared" si="0"/>
        <v>0</v>
      </c>
      <c r="AA48" s="207">
        <f t="shared" si="1"/>
        <v>61.18043327331543</v>
      </c>
      <c r="AB48" s="207">
        <f t="shared" si="2"/>
        <v>47.812652587890625</v>
      </c>
    </row>
    <row r="49" spans="3:28">
      <c r="C49" s="27"/>
      <c r="Y49" s="207">
        <f t="shared" si="0"/>
        <v>0</v>
      </c>
      <c r="Z49" s="207">
        <f t="shared" si="0"/>
        <v>0</v>
      </c>
      <c r="AA49" s="207">
        <f t="shared" si="1"/>
        <v>61.18043327331543</v>
      </c>
      <c r="AB49" s="207">
        <f t="shared" si="2"/>
        <v>47.812652587890625</v>
      </c>
    </row>
    <row r="50" spans="3:28">
      <c r="C50" s="27"/>
      <c r="Y50" s="207">
        <f t="shared" si="0"/>
        <v>0</v>
      </c>
      <c r="Z50" s="207">
        <f t="shared" si="0"/>
        <v>0</v>
      </c>
      <c r="AA50" s="207">
        <f t="shared" si="1"/>
        <v>61.18043327331543</v>
      </c>
      <c r="AB50" s="207">
        <f t="shared" si="2"/>
        <v>47.812652587890625</v>
      </c>
    </row>
    <row r="51" spans="3:28">
      <c r="C51" s="27"/>
      <c r="Y51" s="207">
        <f t="shared" si="0"/>
        <v>0</v>
      </c>
      <c r="Z51" s="207">
        <f t="shared" si="0"/>
        <v>0</v>
      </c>
      <c r="AA51" s="207">
        <f t="shared" si="1"/>
        <v>61.18043327331543</v>
      </c>
      <c r="AB51" s="207">
        <f t="shared" si="2"/>
        <v>47.812652587890625</v>
      </c>
    </row>
    <row r="52" spans="3:28">
      <c r="C52" s="27"/>
      <c r="Y52" s="207">
        <f t="shared" si="0"/>
        <v>0</v>
      </c>
      <c r="Z52" s="207">
        <f t="shared" si="0"/>
        <v>0</v>
      </c>
      <c r="AA52" s="207">
        <f t="shared" si="1"/>
        <v>61.18043327331543</v>
      </c>
      <c r="AB52" s="207">
        <f t="shared" si="2"/>
        <v>47.812652587890625</v>
      </c>
    </row>
    <row r="53" spans="3:28">
      <c r="C53" s="27"/>
      <c r="Y53" s="207">
        <f t="shared" si="0"/>
        <v>0</v>
      </c>
      <c r="Z53" s="207">
        <f t="shared" si="0"/>
        <v>0</v>
      </c>
      <c r="AA53" s="207">
        <f t="shared" si="1"/>
        <v>61.18043327331543</v>
      </c>
      <c r="AB53" s="207">
        <f t="shared" si="2"/>
        <v>47.812652587890625</v>
      </c>
    </row>
    <row r="54" spans="3:28">
      <c r="C54" s="27"/>
      <c r="Y54" s="207">
        <f t="shared" si="0"/>
        <v>0</v>
      </c>
      <c r="Z54" s="207">
        <f t="shared" si="0"/>
        <v>0</v>
      </c>
      <c r="AA54" s="207">
        <f t="shared" si="1"/>
        <v>61.18043327331543</v>
      </c>
      <c r="AB54" s="207">
        <f t="shared" si="2"/>
        <v>47.812652587890625</v>
      </c>
    </row>
    <row r="55" spans="3:28">
      <c r="C55" s="27"/>
      <c r="Y55" s="207">
        <f t="shared" si="0"/>
        <v>0</v>
      </c>
      <c r="Z55" s="207">
        <f t="shared" si="0"/>
        <v>0</v>
      </c>
      <c r="AA55" s="207">
        <f t="shared" si="1"/>
        <v>61.18043327331543</v>
      </c>
      <c r="AB55" s="207">
        <f t="shared" si="2"/>
        <v>47.812652587890625</v>
      </c>
    </row>
    <row r="56" spans="3:28">
      <c r="C56" s="27"/>
      <c r="Y56" s="207">
        <f t="shared" si="0"/>
        <v>0</v>
      </c>
      <c r="Z56" s="207">
        <f t="shared" si="0"/>
        <v>0</v>
      </c>
      <c r="AA56" s="207">
        <f t="shared" si="1"/>
        <v>61.18043327331543</v>
      </c>
      <c r="AB56" s="207">
        <f t="shared" si="2"/>
        <v>47.812652587890625</v>
      </c>
    </row>
    <row r="57" spans="3:28">
      <c r="C57" s="27"/>
      <c r="Y57" s="207">
        <f t="shared" si="0"/>
        <v>0</v>
      </c>
      <c r="Z57" s="207">
        <f t="shared" si="0"/>
        <v>0</v>
      </c>
      <c r="AA57" s="207">
        <f t="shared" si="1"/>
        <v>61.18043327331543</v>
      </c>
      <c r="AB57" s="207">
        <f t="shared" si="2"/>
        <v>47.812652587890625</v>
      </c>
    </row>
    <row r="58" spans="3:28">
      <c r="C58" s="27"/>
      <c r="Y58" s="207">
        <f t="shared" si="0"/>
        <v>0</v>
      </c>
      <c r="Z58" s="207">
        <f t="shared" si="0"/>
        <v>0</v>
      </c>
      <c r="AA58" s="207">
        <f t="shared" si="1"/>
        <v>61.18043327331543</v>
      </c>
      <c r="AB58" s="207">
        <f t="shared" si="2"/>
        <v>47.812652587890625</v>
      </c>
    </row>
    <row r="59" spans="3:28">
      <c r="C59" s="27"/>
      <c r="Y59" s="207">
        <f t="shared" si="0"/>
        <v>0</v>
      </c>
      <c r="Z59" s="207">
        <f t="shared" si="0"/>
        <v>0</v>
      </c>
      <c r="AA59" s="207">
        <f t="shared" si="1"/>
        <v>61.18043327331543</v>
      </c>
      <c r="AB59" s="207">
        <f t="shared" si="2"/>
        <v>47.812652587890625</v>
      </c>
    </row>
    <row r="60" spans="3:28">
      <c r="C60" s="27"/>
      <c r="Y60" s="207">
        <f t="shared" si="0"/>
        <v>0</v>
      </c>
      <c r="Z60" s="207">
        <f t="shared" si="0"/>
        <v>0</v>
      </c>
      <c r="AA60" s="207">
        <f t="shared" si="1"/>
        <v>61.18043327331543</v>
      </c>
      <c r="AB60" s="207">
        <f t="shared" si="2"/>
        <v>47.812652587890625</v>
      </c>
    </row>
    <row r="61" spans="3:28">
      <c r="C61" s="27"/>
      <c r="Y61" s="207">
        <f t="shared" si="0"/>
        <v>0</v>
      </c>
      <c r="Z61" s="207">
        <f t="shared" si="0"/>
        <v>0</v>
      </c>
      <c r="AA61" s="207">
        <f t="shared" si="1"/>
        <v>61.18043327331543</v>
      </c>
      <c r="AB61" s="207">
        <f t="shared" si="2"/>
        <v>47.812652587890625</v>
      </c>
    </row>
    <row r="62" spans="3:28">
      <c r="C62" s="27"/>
      <c r="Y62" s="207">
        <f t="shared" si="0"/>
        <v>0</v>
      </c>
      <c r="Z62" s="207">
        <f t="shared" si="0"/>
        <v>0</v>
      </c>
      <c r="AA62" s="207">
        <f t="shared" si="1"/>
        <v>61.18043327331543</v>
      </c>
      <c r="AB62" s="207">
        <f t="shared" si="2"/>
        <v>47.812652587890625</v>
      </c>
    </row>
    <row r="63" spans="3:28">
      <c r="C63" s="27"/>
      <c r="Y63" s="207">
        <f t="shared" si="0"/>
        <v>0</v>
      </c>
      <c r="Z63" s="207">
        <f t="shared" si="0"/>
        <v>0</v>
      </c>
      <c r="AA63" s="207">
        <f t="shared" si="1"/>
        <v>61.18043327331543</v>
      </c>
      <c r="AB63" s="207">
        <f t="shared" si="2"/>
        <v>47.812652587890625</v>
      </c>
    </row>
    <row r="64" spans="3:28">
      <c r="C64" s="27"/>
      <c r="Y64" s="207">
        <f t="shared" si="0"/>
        <v>0</v>
      </c>
      <c r="Z64" s="207">
        <f t="shared" si="0"/>
        <v>0</v>
      </c>
      <c r="AA64" s="207">
        <f t="shared" si="1"/>
        <v>61.18043327331543</v>
      </c>
      <c r="AB64" s="207">
        <f t="shared" si="2"/>
        <v>47.812652587890625</v>
      </c>
    </row>
    <row r="65" spans="3:28">
      <c r="C65" s="27"/>
      <c r="Y65" s="207">
        <f t="shared" si="0"/>
        <v>0</v>
      </c>
      <c r="Z65" s="207">
        <f t="shared" si="0"/>
        <v>0</v>
      </c>
      <c r="AA65" s="207">
        <f t="shared" si="1"/>
        <v>61.18043327331543</v>
      </c>
      <c r="AB65" s="207">
        <f t="shared" si="2"/>
        <v>47.812652587890625</v>
      </c>
    </row>
    <row r="66" spans="3:28">
      <c r="C66" s="27"/>
      <c r="Y66" s="207">
        <f t="shared" si="0"/>
        <v>0</v>
      </c>
      <c r="Z66" s="207">
        <f t="shared" si="0"/>
        <v>0</v>
      </c>
      <c r="AA66" s="207">
        <f t="shared" si="1"/>
        <v>61.18043327331543</v>
      </c>
      <c r="AB66" s="207">
        <f t="shared" si="2"/>
        <v>47.812652587890625</v>
      </c>
    </row>
    <row r="67" spans="3:28">
      <c r="C67" s="27"/>
      <c r="Y67" s="207">
        <f t="shared" si="0"/>
        <v>0</v>
      </c>
      <c r="Z67" s="207">
        <f t="shared" si="0"/>
        <v>0</v>
      </c>
      <c r="AA67" s="207">
        <f t="shared" si="1"/>
        <v>61.18043327331543</v>
      </c>
      <c r="AB67" s="207">
        <f t="shared" si="2"/>
        <v>47.812652587890625</v>
      </c>
    </row>
    <row r="68" spans="3:28">
      <c r="C68" s="27"/>
      <c r="Y68" s="207">
        <f t="shared" si="0"/>
        <v>0</v>
      </c>
      <c r="Z68" s="207">
        <f t="shared" si="0"/>
        <v>0</v>
      </c>
      <c r="AA68" s="207">
        <f t="shared" si="1"/>
        <v>61.18043327331543</v>
      </c>
      <c r="AB68" s="207">
        <f t="shared" si="2"/>
        <v>47.812652587890625</v>
      </c>
    </row>
    <row r="69" spans="3:28">
      <c r="C69" s="27"/>
      <c r="Y69" s="207">
        <f t="shared" si="0"/>
        <v>0</v>
      </c>
      <c r="Z69" s="207">
        <f t="shared" si="0"/>
        <v>0</v>
      </c>
      <c r="AA69" s="207">
        <f t="shared" si="1"/>
        <v>61.18043327331543</v>
      </c>
      <c r="AB69" s="207">
        <f t="shared" si="2"/>
        <v>47.812652587890625</v>
      </c>
    </row>
    <row r="70" spans="3:28">
      <c r="C70" s="27"/>
      <c r="Y70" s="207">
        <f t="shared" si="0"/>
        <v>0</v>
      </c>
      <c r="Z70" s="207">
        <f t="shared" si="0"/>
        <v>0</v>
      </c>
      <c r="AA70" s="207">
        <f t="shared" si="1"/>
        <v>61.18043327331543</v>
      </c>
      <c r="AB70" s="207">
        <f t="shared" si="2"/>
        <v>47.812652587890625</v>
      </c>
    </row>
    <row r="71" spans="3:28">
      <c r="C71" s="27"/>
      <c r="Y71" s="207">
        <f t="shared" si="0"/>
        <v>0</v>
      </c>
      <c r="Z71" s="207">
        <f t="shared" si="0"/>
        <v>0</v>
      </c>
      <c r="AA71" s="207">
        <f t="shared" si="1"/>
        <v>61.18043327331543</v>
      </c>
      <c r="AB71" s="207">
        <f t="shared" si="2"/>
        <v>47.812652587890625</v>
      </c>
    </row>
    <row r="72" spans="3:28">
      <c r="C72" s="27"/>
      <c r="Y72" s="207">
        <f t="shared" si="0"/>
        <v>0</v>
      </c>
      <c r="Z72" s="207">
        <f t="shared" si="0"/>
        <v>0</v>
      </c>
      <c r="AA72" s="207">
        <f t="shared" si="1"/>
        <v>61.18043327331543</v>
      </c>
      <c r="AB72" s="207">
        <f t="shared" si="2"/>
        <v>47.812652587890625</v>
      </c>
    </row>
    <row r="73" spans="3:28">
      <c r="C73" s="27"/>
      <c r="Y73" s="207">
        <f t="shared" si="0"/>
        <v>0</v>
      </c>
      <c r="Z73" s="207">
        <f t="shared" si="0"/>
        <v>0</v>
      </c>
      <c r="AA73" s="207">
        <f t="shared" si="1"/>
        <v>61.18043327331543</v>
      </c>
      <c r="AB73" s="207">
        <f t="shared" si="2"/>
        <v>47.812652587890625</v>
      </c>
    </row>
    <row r="74" spans="3:28">
      <c r="C74" s="27"/>
      <c r="Y74" s="207">
        <f t="shared" si="0"/>
        <v>0</v>
      </c>
      <c r="Z74" s="207">
        <f t="shared" si="0"/>
        <v>0</v>
      </c>
      <c r="AA74" s="207">
        <f t="shared" si="1"/>
        <v>61.18043327331543</v>
      </c>
      <c r="AB74" s="207">
        <f t="shared" si="2"/>
        <v>47.812652587890625</v>
      </c>
    </row>
    <row r="75" spans="3:28">
      <c r="C75" s="27"/>
      <c r="Y75" s="207">
        <f t="shared" si="0"/>
        <v>0</v>
      </c>
      <c r="Z75" s="207">
        <f t="shared" si="0"/>
        <v>0</v>
      </c>
      <c r="AA75" s="207">
        <f t="shared" si="1"/>
        <v>61.18043327331543</v>
      </c>
      <c r="AB75" s="207">
        <f t="shared" si="2"/>
        <v>47.812652587890625</v>
      </c>
    </row>
    <row r="76" spans="3:28">
      <c r="C76" s="27"/>
      <c r="Y76" s="207">
        <f t="shared" si="0"/>
        <v>0</v>
      </c>
      <c r="Z76" s="207">
        <f t="shared" si="0"/>
        <v>0</v>
      </c>
      <c r="AA76" s="207">
        <f t="shared" si="1"/>
        <v>61.18043327331543</v>
      </c>
      <c r="AB76" s="207">
        <f t="shared" si="2"/>
        <v>47.812652587890625</v>
      </c>
    </row>
    <row r="77" spans="3:28">
      <c r="C77" s="27"/>
      <c r="Y77" s="207">
        <f t="shared" si="0"/>
        <v>0</v>
      </c>
      <c r="Z77" s="207">
        <f t="shared" si="0"/>
        <v>0</v>
      </c>
      <c r="AA77" s="207">
        <f t="shared" si="1"/>
        <v>61.18043327331543</v>
      </c>
      <c r="AB77" s="207">
        <f t="shared" si="2"/>
        <v>47.812652587890625</v>
      </c>
    </row>
    <row r="78" spans="3:28">
      <c r="C78" s="27"/>
      <c r="Y78" s="207">
        <f t="shared" si="0"/>
        <v>0</v>
      </c>
      <c r="Z78" s="207">
        <f t="shared" si="0"/>
        <v>0</v>
      </c>
      <c r="AA78" s="207">
        <f t="shared" si="1"/>
        <v>61.18043327331543</v>
      </c>
      <c r="AB78" s="207">
        <f t="shared" si="2"/>
        <v>47.812652587890625</v>
      </c>
    </row>
    <row r="79" spans="3:28">
      <c r="C79" s="27"/>
      <c r="Y79" s="207">
        <f t="shared" ref="Y79:Z142" si="3">B79</f>
        <v>0</v>
      </c>
      <c r="Z79" s="207">
        <f t="shared" si="3"/>
        <v>0</v>
      </c>
      <c r="AA79" s="207">
        <f t="shared" ref="AA79:AA142" si="4">I$26</f>
        <v>61.18043327331543</v>
      </c>
      <c r="AB79" s="207">
        <f t="shared" ref="AB79:AB142" si="5">I$23</f>
        <v>47.812652587890625</v>
      </c>
    </row>
    <row r="80" spans="3:28">
      <c r="C80" s="27"/>
      <c r="Y80" s="207">
        <f t="shared" si="3"/>
        <v>0</v>
      </c>
      <c r="Z80" s="207">
        <f t="shared" si="3"/>
        <v>0</v>
      </c>
      <c r="AA80" s="207">
        <f t="shared" si="4"/>
        <v>61.18043327331543</v>
      </c>
      <c r="AB80" s="207">
        <f t="shared" si="5"/>
        <v>47.812652587890625</v>
      </c>
    </row>
    <row r="81" spans="3:28">
      <c r="C81" s="27"/>
      <c r="Y81" s="207">
        <f t="shared" si="3"/>
        <v>0</v>
      </c>
      <c r="Z81" s="207">
        <f t="shared" si="3"/>
        <v>0</v>
      </c>
      <c r="AA81" s="207">
        <f t="shared" si="4"/>
        <v>61.18043327331543</v>
      </c>
      <c r="AB81" s="207">
        <f t="shared" si="5"/>
        <v>47.812652587890625</v>
      </c>
    </row>
    <row r="82" spans="3:28">
      <c r="C82" s="27"/>
      <c r="Y82" s="207">
        <f t="shared" si="3"/>
        <v>0</v>
      </c>
      <c r="Z82" s="207">
        <f t="shared" si="3"/>
        <v>0</v>
      </c>
      <c r="AA82" s="207">
        <f t="shared" si="4"/>
        <v>61.18043327331543</v>
      </c>
      <c r="AB82" s="207">
        <f t="shared" si="5"/>
        <v>47.812652587890625</v>
      </c>
    </row>
    <row r="83" spans="3:28">
      <c r="C83" s="27"/>
      <c r="Y83" s="207">
        <f t="shared" si="3"/>
        <v>0</v>
      </c>
      <c r="Z83" s="207">
        <f t="shared" si="3"/>
        <v>0</v>
      </c>
      <c r="AA83" s="207">
        <f t="shared" si="4"/>
        <v>61.18043327331543</v>
      </c>
      <c r="AB83" s="207">
        <f t="shared" si="5"/>
        <v>47.812652587890625</v>
      </c>
    </row>
    <row r="84" spans="3:28">
      <c r="C84" s="27"/>
      <c r="Y84" s="207">
        <f t="shared" si="3"/>
        <v>0</v>
      </c>
      <c r="Z84" s="207">
        <f t="shared" si="3"/>
        <v>0</v>
      </c>
      <c r="AA84" s="207">
        <f t="shared" si="4"/>
        <v>61.18043327331543</v>
      </c>
      <c r="AB84" s="207">
        <f t="shared" si="5"/>
        <v>47.812652587890625</v>
      </c>
    </row>
    <row r="85" spans="3:28">
      <c r="C85" s="27"/>
      <c r="Y85" s="207">
        <f t="shared" si="3"/>
        <v>0</v>
      </c>
      <c r="Z85" s="207">
        <f t="shared" si="3"/>
        <v>0</v>
      </c>
      <c r="AA85" s="207">
        <f t="shared" si="4"/>
        <v>61.18043327331543</v>
      </c>
      <c r="AB85" s="207">
        <f t="shared" si="5"/>
        <v>47.812652587890625</v>
      </c>
    </row>
    <row r="86" spans="3:28">
      <c r="C86" s="27"/>
      <c r="Y86" s="207">
        <f t="shared" si="3"/>
        <v>0</v>
      </c>
      <c r="Z86" s="207">
        <f t="shared" si="3"/>
        <v>0</v>
      </c>
      <c r="AA86" s="207">
        <f t="shared" si="4"/>
        <v>61.18043327331543</v>
      </c>
      <c r="AB86" s="207">
        <f t="shared" si="5"/>
        <v>47.812652587890625</v>
      </c>
    </row>
    <row r="87" spans="3:28">
      <c r="C87" s="27"/>
      <c r="Y87" s="207">
        <f t="shared" si="3"/>
        <v>0</v>
      </c>
      <c r="Z87" s="207">
        <f t="shared" si="3"/>
        <v>0</v>
      </c>
      <c r="AA87" s="207">
        <f t="shared" si="4"/>
        <v>61.18043327331543</v>
      </c>
      <c r="AB87" s="207">
        <f t="shared" si="5"/>
        <v>47.812652587890625</v>
      </c>
    </row>
    <row r="88" spans="3:28">
      <c r="C88" s="27"/>
      <c r="Y88" s="207">
        <f t="shared" si="3"/>
        <v>0</v>
      </c>
      <c r="Z88" s="207">
        <f t="shared" si="3"/>
        <v>0</v>
      </c>
      <c r="AA88" s="207">
        <f t="shared" si="4"/>
        <v>61.18043327331543</v>
      </c>
      <c r="AB88" s="207">
        <f t="shared" si="5"/>
        <v>47.812652587890625</v>
      </c>
    </row>
    <row r="89" spans="3:28">
      <c r="C89" s="27"/>
      <c r="Y89" s="207">
        <f t="shared" si="3"/>
        <v>0</v>
      </c>
      <c r="Z89" s="207">
        <f t="shared" si="3"/>
        <v>0</v>
      </c>
      <c r="AA89" s="207">
        <f t="shared" si="4"/>
        <v>61.18043327331543</v>
      </c>
      <c r="AB89" s="207">
        <f t="shared" si="5"/>
        <v>47.812652587890625</v>
      </c>
    </row>
    <row r="90" spans="3:28">
      <c r="C90" s="27"/>
      <c r="Y90" s="207">
        <f t="shared" si="3"/>
        <v>0</v>
      </c>
      <c r="Z90" s="207">
        <f t="shared" si="3"/>
        <v>0</v>
      </c>
      <c r="AA90" s="207">
        <f t="shared" si="4"/>
        <v>61.18043327331543</v>
      </c>
      <c r="AB90" s="207">
        <f t="shared" si="5"/>
        <v>47.812652587890625</v>
      </c>
    </row>
    <row r="91" spans="3:28">
      <c r="C91" s="27"/>
      <c r="Y91" s="207">
        <f t="shared" si="3"/>
        <v>0</v>
      </c>
      <c r="Z91" s="207">
        <f t="shared" si="3"/>
        <v>0</v>
      </c>
      <c r="AA91" s="207">
        <f t="shared" si="4"/>
        <v>61.18043327331543</v>
      </c>
      <c r="AB91" s="207">
        <f t="shared" si="5"/>
        <v>47.812652587890625</v>
      </c>
    </row>
    <row r="92" spans="3:28">
      <c r="C92" s="27"/>
      <c r="Y92" s="207">
        <f t="shared" si="3"/>
        <v>0</v>
      </c>
      <c r="Z92" s="207">
        <f t="shared" si="3"/>
        <v>0</v>
      </c>
      <c r="AA92" s="207">
        <f t="shared" si="4"/>
        <v>61.18043327331543</v>
      </c>
      <c r="AB92" s="207">
        <f t="shared" si="5"/>
        <v>47.812652587890625</v>
      </c>
    </row>
    <row r="93" spans="3:28">
      <c r="C93" s="27"/>
      <c r="Y93" s="207">
        <f t="shared" si="3"/>
        <v>0</v>
      </c>
      <c r="Z93" s="207">
        <f t="shared" si="3"/>
        <v>0</v>
      </c>
      <c r="AA93" s="207">
        <f t="shared" si="4"/>
        <v>61.18043327331543</v>
      </c>
      <c r="AB93" s="207">
        <f t="shared" si="5"/>
        <v>47.812652587890625</v>
      </c>
    </row>
    <row r="94" spans="3:28">
      <c r="C94" s="27"/>
      <c r="Y94" s="207">
        <f t="shared" si="3"/>
        <v>0</v>
      </c>
      <c r="Z94" s="207">
        <f t="shared" si="3"/>
        <v>0</v>
      </c>
      <c r="AA94" s="207">
        <f t="shared" si="4"/>
        <v>61.18043327331543</v>
      </c>
      <c r="AB94" s="207">
        <f t="shared" si="5"/>
        <v>47.812652587890625</v>
      </c>
    </row>
    <row r="95" spans="3:28">
      <c r="C95" s="27"/>
      <c r="Y95" s="207">
        <f t="shared" si="3"/>
        <v>0</v>
      </c>
      <c r="Z95" s="207">
        <f t="shared" si="3"/>
        <v>0</v>
      </c>
      <c r="AA95" s="207">
        <f t="shared" si="4"/>
        <v>61.18043327331543</v>
      </c>
      <c r="AB95" s="207">
        <f t="shared" si="5"/>
        <v>47.812652587890625</v>
      </c>
    </row>
    <row r="96" spans="3:28">
      <c r="C96" s="27"/>
      <c r="Y96" s="207">
        <f t="shared" si="3"/>
        <v>0</v>
      </c>
      <c r="Z96" s="207">
        <f t="shared" si="3"/>
        <v>0</v>
      </c>
      <c r="AA96" s="207">
        <f t="shared" si="4"/>
        <v>61.18043327331543</v>
      </c>
      <c r="AB96" s="207">
        <f t="shared" si="5"/>
        <v>47.812652587890625</v>
      </c>
    </row>
    <row r="97" spans="3:28">
      <c r="C97" s="27"/>
      <c r="Y97" s="207">
        <f t="shared" si="3"/>
        <v>0</v>
      </c>
      <c r="Z97" s="207">
        <f t="shared" si="3"/>
        <v>0</v>
      </c>
      <c r="AA97" s="207">
        <f t="shared" si="4"/>
        <v>61.18043327331543</v>
      </c>
      <c r="AB97" s="207">
        <f t="shared" si="5"/>
        <v>47.812652587890625</v>
      </c>
    </row>
    <row r="98" spans="3:28">
      <c r="C98" s="27"/>
      <c r="Y98" s="207">
        <f t="shared" si="3"/>
        <v>0</v>
      </c>
      <c r="Z98" s="207">
        <f t="shared" si="3"/>
        <v>0</v>
      </c>
      <c r="AA98" s="207">
        <f t="shared" si="4"/>
        <v>61.18043327331543</v>
      </c>
      <c r="AB98" s="207">
        <f t="shared" si="5"/>
        <v>47.812652587890625</v>
      </c>
    </row>
    <row r="99" spans="3:28">
      <c r="C99" s="27"/>
      <c r="Y99" s="207">
        <f t="shared" si="3"/>
        <v>0</v>
      </c>
      <c r="Z99" s="207">
        <f t="shared" si="3"/>
        <v>0</v>
      </c>
      <c r="AA99" s="207">
        <f t="shared" si="4"/>
        <v>61.18043327331543</v>
      </c>
      <c r="AB99" s="207">
        <f t="shared" si="5"/>
        <v>47.812652587890625</v>
      </c>
    </row>
    <row r="100" spans="3:28">
      <c r="C100" s="27"/>
      <c r="Y100" s="207">
        <f t="shared" si="3"/>
        <v>0</v>
      </c>
      <c r="Z100" s="207">
        <f t="shared" si="3"/>
        <v>0</v>
      </c>
      <c r="AA100" s="207">
        <f t="shared" si="4"/>
        <v>61.18043327331543</v>
      </c>
      <c r="AB100" s="207">
        <f t="shared" si="5"/>
        <v>47.812652587890625</v>
      </c>
    </row>
    <row r="101" spans="3:28">
      <c r="C101" s="27"/>
      <c r="Y101" s="207">
        <f t="shared" si="3"/>
        <v>0</v>
      </c>
      <c r="Z101" s="207">
        <f t="shared" si="3"/>
        <v>0</v>
      </c>
      <c r="AA101" s="207">
        <f t="shared" si="4"/>
        <v>61.18043327331543</v>
      </c>
      <c r="AB101" s="207">
        <f t="shared" si="5"/>
        <v>47.812652587890625</v>
      </c>
    </row>
    <row r="102" spans="3:28">
      <c r="C102" s="27"/>
      <c r="Y102" s="207">
        <f t="shared" si="3"/>
        <v>0</v>
      </c>
      <c r="Z102" s="207">
        <f t="shared" si="3"/>
        <v>0</v>
      </c>
      <c r="AA102" s="207">
        <f t="shared" si="4"/>
        <v>61.18043327331543</v>
      </c>
      <c r="AB102" s="207">
        <f t="shared" si="5"/>
        <v>47.812652587890625</v>
      </c>
    </row>
    <row r="103" spans="3:28">
      <c r="C103" s="27"/>
      <c r="Y103" s="207">
        <f t="shared" si="3"/>
        <v>0</v>
      </c>
      <c r="Z103" s="207">
        <f t="shared" si="3"/>
        <v>0</v>
      </c>
      <c r="AA103" s="207">
        <f t="shared" si="4"/>
        <v>61.18043327331543</v>
      </c>
      <c r="AB103" s="207">
        <f t="shared" si="5"/>
        <v>47.812652587890625</v>
      </c>
    </row>
    <row r="104" spans="3:28">
      <c r="C104" s="27"/>
      <c r="Y104" s="207">
        <f t="shared" si="3"/>
        <v>0</v>
      </c>
      <c r="Z104" s="207">
        <f t="shared" si="3"/>
        <v>0</v>
      </c>
      <c r="AA104" s="207">
        <f t="shared" si="4"/>
        <v>61.18043327331543</v>
      </c>
      <c r="AB104" s="207">
        <f t="shared" si="5"/>
        <v>47.812652587890625</v>
      </c>
    </row>
    <row r="105" spans="3:28">
      <c r="C105" s="27"/>
      <c r="Y105" s="207">
        <f t="shared" si="3"/>
        <v>0</v>
      </c>
      <c r="Z105" s="207">
        <f t="shared" si="3"/>
        <v>0</v>
      </c>
      <c r="AA105" s="207">
        <f t="shared" si="4"/>
        <v>61.18043327331543</v>
      </c>
      <c r="AB105" s="207">
        <f t="shared" si="5"/>
        <v>47.812652587890625</v>
      </c>
    </row>
    <row r="106" spans="3:28">
      <c r="C106" s="27"/>
      <c r="Y106" s="207">
        <f t="shared" si="3"/>
        <v>0</v>
      </c>
      <c r="Z106" s="207">
        <f t="shared" si="3"/>
        <v>0</v>
      </c>
      <c r="AA106" s="207">
        <f t="shared" si="4"/>
        <v>61.18043327331543</v>
      </c>
      <c r="AB106" s="207">
        <f t="shared" si="5"/>
        <v>47.812652587890625</v>
      </c>
    </row>
    <row r="107" spans="3:28">
      <c r="C107" s="27"/>
      <c r="Y107" s="207">
        <f t="shared" si="3"/>
        <v>0</v>
      </c>
      <c r="Z107" s="207">
        <f t="shared" si="3"/>
        <v>0</v>
      </c>
      <c r="AA107" s="207">
        <f t="shared" si="4"/>
        <v>61.18043327331543</v>
      </c>
      <c r="AB107" s="207">
        <f t="shared" si="5"/>
        <v>47.812652587890625</v>
      </c>
    </row>
    <row r="108" spans="3:28">
      <c r="C108" s="27"/>
      <c r="Y108" s="207">
        <f t="shared" si="3"/>
        <v>0</v>
      </c>
      <c r="Z108" s="207">
        <f t="shared" si="3"/>
        <v>0</v>
      </c>
      <c r="AA108" s="207">
        <f t="shared" si="4"/>
        <v>61.18043327331543</v>
      </c>
      <c r="AB108" s="207">
        <f t="shared" si="5"/>
        <v>47.812652587890625</v>
      </c>
    </row>
    <row r="109" spans="3:28">
      <c r="C109" s="27"/>
      <c r="Y109" s="207">
        <f t="shared" si="3"/>
        <v>0</v>
      </c>
      <c r="Z109" s="207">
        <f t="shared" si="3"/>
        <v>0</v>
      </c>
      <c r="AA109" s="207">
        <f t="shared" si="4"/>
        <v>61.18043327331543</v>
      </c>
      <c r="AB109" s="207">
        <f t="shared" si="5"/>
        <v>47.812652587890625</v>
      </c>
    </row>
    <row r="110" spans="3:28">
      <c r="C110" s="27"/>
      <c r="Y110" s="207">
        <f t="shared" si="3"/>
        <v>0</v>
      </c>
      <c r="Z110" s="207">
        <f t="shared" si="3"/>
        <v>0</v>
      </c>
      <c r="AA110" s="207">
        <f t="shared" si="4"/>
        <v>61.18043327331543</v>
      </c>
      <c r="AB110" s="207">
        <f t="shared" si="5"/>
        <v>47.812652587890625</v>
      </c>
    </row>
    <row r="111" spans="3:28">
      <c r="C111" s="27"/>
      <c r="Y111" s="207">
        <f t="shared" si="3"/>
        <v>0</v>
      </c>
      <c r="Z111" s="207">
        <f t="shared" si="3"/>
        <v>0</v>
      </c>
      <c r="AA111" s="207">
        <f t="shared" si="4"/>
        <v>61.18043327331543</v>
      </c>
      <c r="AB111" s="207">
        <f t="shared" si="5"/>
        <v>47.812652587890625</v>
      </c>
    </row>
    <row r="112" spans="3:28">
      <c r="C112" s="27"/>
      <c r="Y112" s="207">
        <f t="shared" si="3"/>
        <v>0</v>
      </c>
      <c r="Z112" s="207">
        <f t="shared" si="3"/>
        <v>0</v>
      </c>
      <c r="AA112" s="207">
        <f t="shared" si="4"/>
        <v>61.18043327331543</v>
      </c>
      <c r="AB112" s="207">
        <f t="shared" si="5"/>
        <v>47.812652587890625</v>
      </c>
    </row>
    <row r="113" spans="3:28">
      <c r="C113" s="27"/>
      <c r="Y113" s="207">
        <f t="shared" si="3"/>
        <v>0</v>
      </c>
      <c r="Z113" s="207">
        <f t="shared" si="3"/>
        <v>0</v>
      </c>
      <c r="AA113" s="207">
        <f t="shared" si="4"/>
        <v>61.18043327331543</v>
      </c>
      <c r="AB113" s="207">
        <f t="shared" si="5"/>
        <v>47.812652587890625</v>
      </c>
    </row>
    <row r="114" spans="3:28">
      <c r="C114" s="27"/>
      <c r="Y114" s="207">
        <f t="shared" si="3"/>
        <v>0</v>
      </c>
      <c r="Z114" s="207">
        <f t="shared" si="3"/>
        <v>0</v>
      </c>
      <c r="AA114" s="207">
        <f t="shared" si="4"/>
        <v>61.18043327331543</v>
      </c>
      <c r="AB114" s="207">
        <f t="shared" si="5"/>
        <v>47.812652587890625</v>
      </c>
    </row>
    <row r="115" spans="3:28">
      <c r="C115" s="27"/>
      <c r="Y115" s="207">
        <f t="shared" si="3"/>
        <v>0</v>
      </c>
      <c r="Z115" s="207">
        <f t="shared" si="3"/>
        <v>0</v>
      </c>
      <c r="AA115" s="207">
        <f t="shared" si="4"/>
        <v>61.18043327331543</v>
      </c>
      <c r="AB115" s="207">
        <f t="shared" si="5"/>
        <v>47.812652587890625</v>
      </c>
    </row>
    <row r="116" spans="3:28">
      <c r="C116" s="27"/>
      <c r="Y116" s="207">
        <f t="shared" si="3"/>
        <v>0</v>
      </c>
      <c r="Z116" s="207">
        <f t="shared" si="3"/>
        <v>0</v>
      </c>
      <c r="AA116" s="207">
        <f t="shared" si="4"/>
        <v>61.18043327331543</v>
      </c>
      <c r="AB116" s="207">
        <f t="shared" si="5"/>
        <v>47.812652587890625</v>
      </c>
    </row>
    <row r="117" spans="3:28">
      <c r="C117" s="27"/>
      <c r="Y117" s="207">
        <f t="shared" si="3"/>
        <v>0</v>
      </c>
      <c r="Z117" s="207">
        <f t="shared" si="3"/>
        <v>0</v>
      </c>
      <c r="AA117" s="207">
        <f t="shared" si="4"/>
        <v>61.18043327331543</v>
      </c>
      <c r="AB117" s="207">
        <f t="shared" si="5"/>
        <v>47.812652587890625</v>
      </c>
    </row>
    <row r="118" spans="3:28">
      <c r="C118" s="27"/>
      <c r="Y118" s="207">
        <f t="shared" si="3"/>
        <v>0</v>
      </c>
      <c r="Z118" s="207">
        <f t="shared" si="3"/>
        <v>0</v>
      </c>
      <c r="AA118" s="207">
        <f t="shared" si="4"/>
        <v>61.18043327331543</v>
      </c>
      <c r="AB118" s="207">
        <f t="shared" si="5"/>
        <v>47.812652587890625</v>
      </c>
    </row>
    <row r="119" spans="3:28">
      <c r="C119" s="27"/>
      <c r="Y119" s="207">
        <f t="shared" si="3"/>
        <v>0</v>
      </c>
      <c r="Z119" s="207">
        <f t="shared" si="3"/>
        <v>0</v>
      </c>
      <c r="AA119" s="207">
        <f t="shared" si="4"/>
        <v>61.18043327331543</v>
      </c>
      <c r="AB119" s="207">
        <f t="shared" si="5"/>
        <v>47.812652587890625</v>
      </c>
    </row>
    <row r="120" spans="3:28">
      <c r="C120" s="27"/>
      <c r="Y120" s="207">
        <f t="shared" si="3"/>
        <v>0</v>
      </c>
      <c r="Z120" s="207">
        <f t="shared" si="3"/>
        <v>0</v>
      </c>
      <c r="AA120" s="207">
        <f t="shared" si="4"/>
        <v>61.18043327331543</v>
      </c>
      <c r="AB120" s="207">
        <f t="shared" si="5"/>
        <v>47.812652587890625</v>
      </c>
    </row>
    <row r="121" spans="3:28">
      <c r="C121" s="27"/>
      <c r="Y121" s="207">
        <f t="shared" si="3"/>
        <v>0</v>
      </c>
      <c r="Z121" s="207">
        <f t="shared" si="3"/>
        <v>0</v>
      </c>
      <c r="AA121" s="207">
        <f t="shared" si="4"/>
        <v>61.18043327331543</v>
      </c>
      <c r="AB121" s="207">
        <f t="shared" si="5"/>
        <v>47.812652587890625</v>
      </c>
    </row>
    <row r="122" spans="3:28">
      <c r="C122" s="27"/>
      <c r="Y122" s="207">
        <f t="shared" si="3"/>
        <v>0</v>
      </c>
      <c r="Z122" s="207">
        <f t="shared" si="3"/>
        <v>0</v>
      </c>
      <c r="AA122" s="207">
        <f t="shared" si="4"/>
        <v>61.18043327331543</v>
      </c>
      <c r="AB122" s="207">
        <f t="shared" si="5"/>
        <v>47.812652587890625</v>
      </c>
    </row>
    <row r="123" spans="3:28">
      <c r="C123" s="27"/>
      <c r="Y123" s="207">
        <f t="shared" si="3"/>
        <v>0</v>
      </c>
      <c r="Z123" s="207">
        <f t="shared" si="3"/>
        <v>0</v>
      </c>
      <c r="AA123" s="207">
        <f t="shared" si="4"/>
        <v>61.18043327331543</v>
      </c>
      <c r="AB123" s="207">
        <f t="shared" si="5"/>
        <v>47.812652587890625</v>
      </c>
    </row>
    <row r="124" spans="3:28">
      <c r="C124" s="27"/>
      <c r="Y124" s="207">
        <f t="shared" si="3"/>
        <v>0</v>
      </c>
      <c r="Z124" s="207">
        <f t="shared" si="3"/>
        <v>0</v>
      </c>
      <c r="AA124" s="207">
        <f t="shared" si="4"/>
        <v>61.18043327331543</v>
      </c>
      <c r="AB124" s="207">
        <f t="shared" si="5"/>
        <v>47.812652587890625</v>
      </c>
    </row>
    <row r="125" spans="3:28">
      <c r="C125" s="27"/>
      <c r="Y125" s="207">
        <f t="shared" si="3"/>
        <v>0</v>
      </c>
      <c r="Z125" s="207">
        <f t="shared" si="3"/>
        <v>0</v>
      </c>
      <c r="AA125" s="207">
        <f t="shared" si="4"/>
        <v>61.18043327331543</v>
      </c>
      <c r="AB125" s="207">
        <f t="shared" si="5"/>
        <v>47.812652587890625</v>
      </c>
    </row>
    <row r="126" spans="3:28">
      <c r="C126" s="27"/>
      <c r="Y126" s="207">
        <f t="shared" si="3"/>
        <v>0</v>
      </c>
      <c r="Z126" s="207">
        <f t="shared" si="3"/>
        <v>0</v>
      </c>
      <c r="AA126" s="207">
        <f t="shared" si="4"/>
        <v>61.18043327331543</v>
      </c>
      <c r="AB126" s="207">
        <f t="shared" si="5"/>
        <v>47.812652587890625</v>
      </c>
    </row>
    <row r="127" spans="3:28">
      <c r="C127" s="27"/>
      <c r="Y127" s="207">
        <f t="shared" si="3"/>
        <v>0</v>
      </c>
      <c r="Z127" s="207">
        <f t="shared" si="3"/>
        <v>0</v>
      </c>
      <c r="AA127" s="207">
        <f t="shared" si="4"/>
        <v>61.18043327331543</v>
      </c>
      <c r="AB127" s="207">
        <f t="shared" si="5"/>
        <v>47.812652587890625</v>
      </c>
    </row>
    <row r="128" spans="3:28">
      <c r="C128" s="27"/>
      <c r="Y128" s="207">
        <f t="shared" si="3"/>
        <v>0</v>
      </c>
      <c r="Z128" s="207">
        <f t="shared" si="3"/>
        <v>0</v>
      </c>
      <c r="AA128" s="207">
        <f t="shared" si="4"/>
        <v>61.18043327331543</v>
      </c>
      <c r="AB128" s="207">
        <f t="shared" si="5"/>
        <v>47.812652587890625</v>
      </c>
    </row>
    <row r="129" spans="3:28">
      <c r="C129" s="27"/>
      <c r="Y129" s="207">
        <f t="shared" si="3"/>
        <v>0</v>
      </c>
      <c r="Z129" s="207">
        <f t="shared" si="3"/>
        <v>0</v>
      </c>
      <c r="AA129" s="207">
        <f t="shared" si="4"/>
        <v>61.18043327331543</v>
      </c>
      <c r="AB129" s="207">
        <f t="shared" si="5"/>
        <v>47.812652587890625</v>
      </c>
    </row>
    <row r="130" spans="3:28">
      <c r="C130" s="27"/>
      <c r="Y130" s="207">
        <f t="shared" si="3"/>
        <v>0</v>
      </c>
      <c r="Z130" s="207">
        <f t="shared" si="3"/>
        <v>0</v>
      </c>
      <c r="AA130" s="207">
        <f t="shared" si="4"/>
        <v>61.18043327331543</v>
      </c>
      <c r="AB130" s="207">
        <f t="shared" si="5"/>
        <v>47.812652587890625</v>
      </c>
    </row>
    <row r="131" spans="3:28">
      <c r="C131" s="27"/>
      <c r="Y131" s="207">
        <f t="shared" si="3"/>
        <v>0</v>
      </c>
      <c r="Z131" s="207">
        <f t="shared" si="3"/>
        <v>0</v>
      </c>
      <c r="AA131" s="207">
        <f t="shared" si="4"/>
        <v>61.18043327331543</v>
      </c>
      <c r="AB131" s="207">
        <f t="shared" si="5"/>
        <v>47.812652587890625</v>
      </c>
    </row>
    <row r="132" spans="3:28">
      <c r="C132" s="27"/>
      <c r="Y132" s="207">
        <f t="shared" si="3"/>
        <v>0</v>
      </c>
      <c r="Z132" s="207">
        <f t="shared" si="3"/>
        <v>0</v>
      </c>
      <c r="AA132" s="207">
        <f t="shared" si="4"/>
        <v>61.18043327331543</v>
      </c>
      <c r="AB132" s="207">
        <f t="shared" si="5"/>
        <v>47.812652587890625</v>
      </c>
    </row>
    <row r="133" spans="3:28">
      <c r="C133" s="27"/>
      <c r="Y133" s="207">
        <f t="shared" si="3"/>
        <v>0</v>
      </c>
      <c r="Z133" s="207">
        <f t="shared" si="3"/>
        <v>0</v>
      </c>
      <c r="AA133" s="207">
        <f t="shared" si="4"/>
        <v>61.18043327331543</v>
      </c>
      <c r="AB133" s="207">
        <f t="shared" si="5"/>
        <v>47.812652587890625</v>
      </c>
    </row>
    <row r="134" spans="3:28">
      <c r="C134" s="27"/>
      <c r="Y134" s="207">
        <f t="shared" si="3"/>
        <v>0</v>
      </c>
      <c r="Z134" s="207">
        <f t="shared" si="3"/>
        <v>0</v>
      </c>
      <c r="AA134" s="207">
        <f t="shared" si="4"/>
        <v>61.18043327331543</v>
      </c>
      <c r="AB134" s="207">
        <f t="shared" si="5"/>
        <v>47.812652587890625</v>
      </c>
    </row>
    <row r="135" spans="3:28">
      <c r="C135" s="27"/>
      <c r="Y135" s="207">
        <f t="shared" si="3"/>
        <v>0</v>
      </c>
      <c r="Z135" s="207">
        <f t="shared" si="3"/>
        <v>0</v>
      </c>
      <c r="AA135" s="207">
        <f t="shared" si="4"/>
        <v>61.18043327331543</v>
      </c>
      <c r="AB135" s="207">
        <f t="shared" si="5"/>
        <v>47.812652587890625</v>
      </c>
    </row>
    <row r="136" spans="3:28">
      <c r="C136" s="27"/>
      <c r="Y136" s="207">
        <f t="shared" si="3"/>
        <v>0</v>
      </c>
      <c r="Z136" s="207">
        <f t="shared" si="3"/>
        <v>0</v>
      </c>
      <c r="AA136" s="207">
        <f t="shared" si="4"/>
        <v>61.18043327331543</v>
      </c>
      <c r="AB136" s="207">
        <f t="shared" si="5"/>
        <v>47.812652587890625</v>
      </c>
    </row>
    <row r="137" spans="3:28">
      <c r="C137" s="27"/>
      <c r="Y137" s="207">
        <f t="shared" si="3"/>
        <v>0</v>
      </c>
      <c r="Z137" s="207">
        <f t="shared" si="3"/>
        <v>0</v>
      </c>
      <c r="AA137" s="207">
        <f t="shared" si="4"/>
        <v>61.18043327331543</v>
      </c>
      <c r="AB137" s="207">
        <f t="shared" si="5"/>
        <v>47.812652587890625</v>
      </c>
    </row>
    <row r="138" spans="3:28">
      <c r="C138" s="27"/>
      <c r="Y138" s="207">
        <f t="shared" si="3"/>
        <v>0</v>
      </c>
      <c r="Z138" s="207">
        <f t="shared" si="3"/>
        <v>0</v>
      </c>
      <c r="AA138" s="207">
        <f t="shared" si="4"/>
        <v>61.18043327331543</v>
      </c>
      <c r="AB138" s="207">
        <f t="shared" si="5"/>
        <v>47.812652587890625</v>
      </c>
    </row>
    <row r="139" spans="3:28">
      <c r="C139" s="27"/>
      <c r="Y139" s="207">
        <f t="shared" si="3"/>
        <v>0</v>
      </c>
      <c r="Z139" s="207">
        <f t="shared" si="3"/>
        <v>0</v>
      </c>
      <c r="AA139" s="207">
        <f t="shared" si="4"/>
        <v>61.18043327331543</v>
      </c>
      <c r="AB139" s="207">
        <f t="shared" si="5"/>
        <v>47.812652587890625</v>
      </c>
    </row>
    <row r="140" spans="3:28">
      <c r="C140" s="27"/>
      <c r="Y140" s="207">
        <f t="shared" si="3"/>
        <v>0</v>
      </c>
      <c r="Z140" s="207">
        <f t="shared" si="3"/>
        <v>0</v>
      </c>
      <c r="AA140" s="207">
        <f t="shared" si="4"/>
        <v>61.18043327331543</v>
      </c>
      <c r="AB140" s="207">
        <f t="shared" si="5"/>
        <v>47.812652587890625</v>
      </c>
    </row>
    <row r="141" spans="3:28">
      <c r="C141" s="27"/>
      <c r="Y141" s="207">
        <f t="shared" si="3"/>
        <v>0</v>
      </c>
      <c r="Z141" s="207">
        <f t="shared" si="3"/>
        <v>0</v>
      </c>
      <c r="AA141" s="207">
        <f t="shared" si="4"/>
        <v>61.18043327331543</v>
      </c>
      <c r="AB141" s="207">
        <f t="shared" si="5"/>
        <v>47.812652587890625</v>
      </c>
    </row>
    <row r="142" spans="3:28">
      <c r="C142" s="27"/>
      <c r="Y142" s="207">
        <f t="shared" si="3"/>
        <v>0</v>
      </c>
      <c r="Z142" s="207">
        <f t="shared" si="3"/>
        <v>0</v>
      </c>
      <c r="AA142" s="207">
        <f t="shared" si="4"/>
        <v>61.18043327331543</v>
      </c>
      <c r="AB142" s="207">
        <f t="shared" si="5"/>
        <v>47.812652587890625</v>
      </c>
    </row>
    <row r="143" spans="3:28">
      <c r="C143" s="27"/>
      <c r="Y143" s="207">
        <f t="shared" ref="Y143:Z206" si="6">B143</f>
        <v>0</v>
      </c>
      <c r="Z143" s="207">
        <f t="shared" si="6"/>
        <v>0</v>
      </c>
      <c r="AA143" s="207">
        <f t="shared" ref="AA143:AA206" si="7">I$26</f>
        <v>61.18043327331543</v>
      </c>
      <c r="AB143" s="207">
        <f t="shared" ref="AB143:AB206" si="8">I$23</f>
        <v>47.812652587890625</v>
      </c>
    </row>
    <row r="144" spans="3:28">
      <c r="C144" s="27"/>
      <c r="Y144" s="207">
        <f t="shared" si="6"/>
        <v>0</v>
      </c>
      <c r="Z144" s="207">
        <f t="shared" si="6"/>
        <v>0</v>
      </c>
      <c r="AA144" s="207">
        <f t="shared" si="7"/>
        <v>61.18043327331543</v>
      </c>
      <c r="AB144" s="207">
        <f t="shared" si="8"/>
        <v>47.812652587890625</v>
      </c>
    </row>
    <row r="145" spans="3:28">
      <c r="C145" s="27"/>
      <c r="Y145" s="207">
        <f t="shared" si="6"/>
        <v>0</v>
      </c>
      <c r="Z145" s="207">
        <f t="shared" si="6"/>
        <v>0</v>
      </c>
      <c r="AA145" s="207">
        <f t="shared" si="7"/>
        <v>61.18043327331543</v>
      </c>
      <c r="AB145" s="207">
        <f t="shared" si="8"/>
        <v>47.812652587890625</v>
      </c>
    </row>
    <row r="146" spans="3:28">
      <c r="C146" s="27"/>
      <c r="Y146" s="207">
        <f t="shared" si="6"/>
        <v>0</v>
      </c>
      <c r="Z146" s="207">
        <f t="shared" si="6"/>
        <v>0</v>
      </c>
      <c r="AA146" s="207">
        <f t="shared" si="7"/>
        <v>61.18043327331543</v>
      </c>
      <c r="AB146" s="207">
        <f t="shared" si="8"/>
        <v>47.812652587890625</v>
      </c>
    </row>
    <row r="147" spans="3:28">
      <c r="C147" s="27"/>
      <c r="Y147" s="207">
        <f t="shared" si="6"/>
        <v>0</v>
      </c>
      <c r="Z147" s="207">
        <f t="shared" si="6"/>
        <v>0</v>
      </c>
      <c r="AA147" s="207">
        <f t="shared" si="7"/>
        <v>61.18043327331543</v>
      </c>
      <c r="AB147" s="207">
        <f t="shared" si="8"/>
        <v>47.812652587890625</v>
      </c>
    </row>
    <row r="148" spans="3:28">
      <c r="C148" s="27"/>
      <c r="Y148" s="207">
        <f t="shared" si="6"/>
        <v>0</v>
      </c>
      <c r="Z148" s="207">
        <f t="shared" si="6"/>
        <v>0</v>
      </c>
      <c r="AA148" s="207">
        <f t="shared" si="7"/>
        <v>61.18043327331543</v>
      </c>
      <c r="AB148" s="207">
        <f t="shared" si="8"/>
        <v>47.812652587890625</v>
      </c>
    </row>
    <row r="149" spans="3:28">
      <c r="C149" s="27"/>
      <c r="Y149" s="207">
        <f t="shared" si="6"/>
        <v>0</v>
      </c>
      <c r="Z149" s="207">
        <f t="shared" si="6"/>
        <v>0</v>
      </c>
      <c r="AA149" s="207">
        <f t="shared" si="7"/>
        <v>61.18043327331543</v>
      </c>
      <c r="AB149" s="207">
        <f t="shared" si="8"/>
        <v>47.812652587890625</v>
      </c>
    </row>
    <row r="150" spans="3:28">
      <c r="C150" s="27"/>
      <c r="Y150" s="207">
        <f t="shared" si="6"/>
        <v>0</v>
      </c>
      <c r="Z150" s="207">
        <f t="shared" si="6"/>
        <v>0</v>
      </c>
      <c r="AA150" s="207">
        <f t="shared" si="7"/>
        <v>61.18043327331543</v>
      </c>
      <c r="AB150" s="207">
        <f t="shared" si="8"/>
        <v>47.812652587890625</v>
      </c>
    </row>
    <row r="151" spans="3:28">
      <c r="C151" s="27"/>
      <c r="Y151" s="207">
        <f t="shared" si="6"/>
        <v>0</v>
      </c>
      <c r="Z151" s="207">
        <f t="shared" si="6"/>
        <v>0</v>
      </c>
      <c r="AA151" s="207">
        <f t="shared" si="7"/>
        <v>61.18043327331543</v>
      </c>
      <c r="AB151" s="207">
        <f t="shared" si="8"/>
        <v>47.812652587890625</v>
      </c>
    </row>
    <row r="152" spans="3:28">
      <c r="C152" s="27"/>
      <c r="Y152" s="207">
        <f t="shared" si="6"/>
        <v>0</v>
      </c>
      <c r="Z152" s="207">
        <f t="shared" si="6"/>
        <v>0</v>
      </c>
      <c r="AA152" s="207">
        <f t="shared" si="7"/>
        <v>61.18043327331543</v>
      </c>
      <c r="AB152" s="207">
        <f t="shared" si="8"/>
        <v>47.812652587890625</v>
      </c>
    </row>
    <row r="153" spans="3:28">
      <c r="C153" s="27"/>
      <c r="Y153" s="207">
        <f t="shared" si="6"/>
        <v>0</v>
      </c>
      <c r="Z153" s="207">
        <f t="shared" si="6"/>
        <v>0</v>
      </c>
      <c r="AA153" s="207">
        <f t="shared" si="7"/>
        <v>61.18043327331543</v>
      </c>
      <c r="AB153" s="207">
        <f t="shared" si="8"/>
        <v>47.812652587890625</v>
      </c>
    </row>
    <row r="154" spans="3:28">
      <c r="C154" s="27"/>
      <c r="Y154" s="207">
        <f t="shared" si="6"/>
        <v>0</v>
      </c>
      <c r="Z154" s="207">
        <f t="shared" si="6"/>
        <v>0</v>
      </c>
      <c r="AA154" s="207">
        <f t="shared" si="7"/>
        <v>61.18043327331543</v>
      </c>
      <c r="AB154" s="207">
        <f t="shared" si="8"/>
        <v>47.812652587890625</v>
      </c>
    </row>
    <row r="155" spans="3:28">
      <c r="C155" s="27"/>
      <c r="Y155" s="207">
        <f t="shared" si="6"/>
        <v>0</v>
      </c>
      <c r="Z155" s="207">
        <f t="shared" si="6"/>
        <v>0</v>
      </c>
      <c r="AA155" s="207">
        <f t="shared" si="7"/>
        <v>61.18043327331543</v>
      </c>
      <c r="AB155" s="207">
        <f t="shared" si="8"/>
        <v>47.812652587890625</v>
      </c>
    </row>
    <row r="156" spans="3:28">
      <c r="C156" s="27"/>
      <c r="Y156" s="207">
        <f t="shared" si="6"/>
        <v>0</v>
      </c>
      <c r="Z156" s="207">
        <f t="shared" si="6"/>
        <v>0</v>
      </c>
      <c r="AA156" s="207">
        <f t="shared" si="7"/>
        <v>61.18043327331543</v>
      </c>
      <c r="AB156" s="207">
        <f t="shared" si="8"/>
        <v>47.812652587890625</v>
      </c>
    </row>
    <row r="157" spans="3:28">
      <c r="C157" s="27"/>
      <c r="Y157" s="207">
        <f t="shared" si="6"/>
        <v>0</v>
      </c>
      <c r="Z157" s="207">
        <f t="shared" si="6"/>
        <v>0</v>
      </c>
      <c r="AA157" s="207">
        <f t="shared" si="7"/>
        <v>61.18043327331543</v>
      </c>
      <c r="AB157" s="207">
        <f t="shared" si="8"/>
        <v>47.812652587890625</v>
      </c>
    </row>
    <row r="158" spans="3:28">
      <c r="C158" s="27"/>
      <c r="Y158" s="207">
        <f t="shared" si="6"/>
        <v>0</v>
      </c>
      <c r="Z158" s="207">
        <f t="shared" si="6"/>
        <v>0</v>
      </c>
      <c r="AA158" s="207">
        <f t="shared" si="7"/>
        <v>61.18043327331543</v>
      </c>
      <c r="AB158" s="207">
        <f t="shared" si="8"/>
        <v>47.812652587890625</v>
      </c>
    </row>
    <row r="159" spans="3:28">
      <c r="C159" s="27"/>
      <c r="Y159" s="207">
        <f t="shared" si="6"/>
        <v>0</v>
      </c>
      <c r="Z159" s="207">
        <f t="shared" si="6"/>
        <v>0</v>
      </c>
      <c r="AA159" s="207">
        <f t="shared" si="7"/>
        <v>61.18043327331543</v>
      </c>
      <c r="AB159" s="207">
        <f t="shared" si="8"/>
        <v>47.812652587890625</v>
      </c>
    </row>
    <row r="160" spans="3:28">
      <c r="C160" s="27"/>
      <c r="Y160" s="207">
        <f t="shared" si="6"/>
        <v>0</v>
      </c>
      <c r="Z160" s="207">
        <f t="shared" si="6"/>
        <v>0</v>
      </c>
      <c r="AA160" s="207">
        <f t="shared" si="7"/>
        <v>61.18043327331543</v>
      </c>
      <c r="AB160" s="207">
        <f t="shared" si="8"/>
        <v>47.812652587890625</v>
      </c>
    </row>
    <row r="161" spans="3:28">
      <c r="C161" s="27"/>
      <c r="Y161" s="207">
        <f t="shared" si="6"/>
        <v>0</v>
      </c>
      <c r="Z161" s="207">
        <f t="shared" si="6"/>
        <v>0</v>
      </c>
      <c r="AA161" s="207">
        <f t="shared" si="7"/>
        <v>61.18043327331543</v>
      </c>
      <c r="AB161" s="207">
        <f t="shared" si="8"/>
        <v>47.812652587890625</v>
      </c>
    </row>
    <row r="162" spans="3:28">
      <c r="C162" s="27"/>
      <c r="Y162" s="207">
        <f t="shared" si="6"/>
        <v>0</v>
      </c>
      <c r="Z162" s="207">
        <f t="shared" si="6"/>
        <v>0</v>
      </c>
      <c r="AA162" s="207">
        <f t="shared" si="7"/>
        <v>61.18043327331543</v>
      </c>
      <c r="AB162" s="207">
        <f t="shared" si="8"/>
        <v>47.812652587890625</v>
      </c>
    </row>
    <row r="163" spans="3:28">
      <c r="C163" s="27"/>
      <c r="Y163" s="207">
        <f t="shared" si="6"/>
        <v>0</v>
      </c>
      <c r="Z163" s="207">
        <f t="shared" si="6"/>
        <v>0</v>
      </c>
      <c r="AA163" s="207">
        <f t="shared" si="7"/>
        <v>61.18043327331543</v>
      </c>
      <c r="AB163" s="207">
        <f t="shared" si="8"/>
        <v>47.812652587890625</v>
      </c>
    </row>
    <row r="164" spans="3:28">
      <c r="C164" s="27"/>
      <c r="Y164" s="207">
        <f t="shared" si="6"/>
        <v>0</v>
      </c>
      <c r="Z164" s="207">
        <f t="shared" si="6"/>
        <v>0</v>
      </c>
      <c r="AA164" s="207">
        <f t="shared" si="7"/>
        <v>61.18043327331543</v>
      </c>
      <c r="AB164" s="207">
        <f t="shared" si="8"/>
        <v>47.812652587890625</v>
      </c>
    </row>
    <row r="165" spans="3:28">
      <c r="C165" s="27"/>
      <c r="Y165" s="207">
        <f t="shared" si="6"/>
        <v>0</v>
      </c>
      <c r="Z165" s="207">
        <f t="shared" si="6"/>
        <v>0</v>
      </c>
      <c r="AA165" s="207">
        <f t="shared" si="7"/>
        <v>61.18043327331543</v>
      </c>
      <c r="AB165" s="207">
        <f t="shared" si="8"/>
        <v>47.812652587890625</v>
      </c>
    </row>
    <row r="166" spans="3:28">
      <c r="C166" s="27"/>
      <c r="Y166" s="207">
        <f t="shared" si="6"/>
        <v>0</v>
      </c>
      <c r="Z166" s="207">
        <f t="shared" si="6"/>
        <v>0</v>
      </c>
      <c r="AA166" s="207">
        <f t="shared" si="7"/>
        <v>61.18043327331543</v>
      </c>
      <c r="AB166" s="207">
        <f t="shared" si="8"/>
        <v>47.812652587890625</v>
      </c>
    </row>
    <row r="167" spans="3:28">
      <c r="C167" s="27"/>
      <c r="Y167" s="207">
        <f t="shared" si="6"/>
        <v>0</v>
      </c>
      <c r="Z167" s="207">
        <f t="shared" si="6"/>
        <v>0</v>
      </c>
      <c r="AA167" s="207">
        <f t="shared" si="7"/>
        <v>61.18043327331543</v>
      </c>
      <c r="AB167" s="207">
        <f t="shared" si="8"/>
        <v>47.812652587890625</v>
      </c>
    </row>
    <row r="168" spans="3:28">
      <c r="C168" s="27"/>
      <c r="Y168" s="207">
        <f t="shared" si="6"/>
        <v>0</v>
      </c>
      <c r="Z168" s="207">
        <f t="shared" si="6"/>
        <v>0</v>
      </c>
      <c r="AA168" s="207">
        <f t="shared" si="7"/>
        <v>61.18043327331543</v>
      </c>
      <c r="AB168" s="207">
        <f t="shared" si="8"/>
        <v>47.812652587890625</v>
      </c>
    </row>
    <row r="169" spans="3:28">
      <c r="C169" s="27"/>
      <c r="Y169" s="207">
        <f t="shared" si="6"/>
        <v>0</v>
      </c>
      <c r="Z169" s="207">
        <f t="shared" si="6"/>
        <v>0</v>
      </c>
      <c r="AA169" s="207">
        <f t="shared" si="7"/>
        <v>61.18043327331543</v>
      </c>
      <c r="AB169" s="207">
        <f t="shared" si="8"/>
        <v>47.812652587890625</v>
      </c>
    </row>
    <row r="170" spans="3:28">
      <c r="C170" s="27"/>
      <c r="Y170" s="207">
        <f t="shared" si="6"/>
        <v>0</v>
      </c>
      <c r="Z170" s="207">
        <f t="shared" si="6"/>
        <v>0</v>
      </c>
      <c r="AA170" s="207">
        <f t="shared" si="7"/>
        <v>61.18043327331543</v>
      </c>
      <c r="AB170" s="207">
        <f t="shared" si="8"/>
        <v>47.812652587890625</v>
      </c>
    </row>
    <row r="171" spans="3:28">
      <c r="C171" s="27"/>
      <c r="Y171" s="207">
        <f t="shared" si="6"/>
        <v>0</v>
      </c>
      <c r="Z171" s="207">
        <f t="shared" si="6"/>
        <v>0</v>
      </c>
      <c r="AA171" s="207">
        <f t="shared" si="7"/>
        <v>61.18043327331543</v>
      </c>
      <c r="AB171" s="207">
        <f t="shared" si="8"/>
        <v>47.812652587890625</v>
      </c>
    </row>
    <row r="172" spans="3:28">
      <c r="C172" s="27"/>
      <c r="Y172" s="207">
        <f t="shared" si="6"/>
        <v>0</v>
      </c>
      <c r="Z172" s="207">
        <f t="shared" si="6"/>
        <v>0</v>
      </c>
      <c r="AA172" s="207">
        <f t="shared" si="7"/>
        <v>61.18043327331543</v>
      </c>
      <c r="AB172" s="207">
        <f t="shared" si="8"/>
        <v>47.812652587890625</v>
      </c>
    </row>
    <row r="173" spans="3:28">
      <c r="C173" s="27"/>
      <c r="Y173" s="207">
        <f t="shared" si="6"/>
        <v>0</v>
      </c>
      <c r="Z173" s="207">
        <f t="shared" si="6"/>
        <v>0</v>
      </c>
      <c r="AA173" s="207">
        <f t="shared" si="7"/>
        <v>61.18043327331543</v>
      </c>
      <c r="AB173" s="207">
        <f t="shared" si="8"/>
        <v>47.812652587890625</v>
      </c>
    </row>
    <row r="174" spans="3:28">
      <c r="C174" s="27"/>
      <c r="Y174" s="207">
        <f t="shared" si="6"/>
        <v>0</v>
      </c>
      <c r="Z174" s="207">
        <f t="shared" si="6"/>
        <v>0</v>
      </c>
      <c r="AA174" s="207">
        <f t="shared" si="7"/>
        <v>61.18043327331543</v>
      </c>
      <c r="AB174" s="207">
        <f t="shared" si="8"/>
        <v>47.812652587890625</v>
      </c>
    </row>
    <row r="175" spans="3:28">
      <c r="C175" s="27"/>
      <c r="Y175" s="207">
        <f t="shared" si="6"/>
        <v>0</v>
      </c>
      <c r="Z175" s="207">
        <f t="shared" si="6"/>
        <v>0</v>
      </c>
      <c r="AA175" s="207">
        <f t="shared" si="7"/>
        <v>61.18043327331543</v>
      </c>
      <c r="AB175" s="207">
        <f t="shared" si="8"/>
        <v>47.812652587890625</v>
      </c>
    </row>
    <row r="176" spans="3:28">
      <c r="C176" s="27"/>
      <c r="Y176" s="207">
        <f t="shared" si="6"/>
        <v>0</v>
      </c>
      <c r="Z176" s="207">
        <f t="shared" si="6"/>
        <v>0</v>
      </c>
      <c r="AA176" s="207">
        <f t="shared" si="7"/>
        <v>61.18043327331543</v>
      </c>
      <c r="AB176" s="207">
        <f t="shared" si="8"/>
        <v>47.812652587890625</v>
      </c>
    </row>
    <row r="177" spans="3:28">
      <c r="C177" s="27"/>
      <c r="Y177" s="207">
        <f t="shared" si="6"/>
        <v>0</v>
      </c>
      <c r="Z177" s="207">
        <f t="shared" si="6"/>
        <v>0</v>
      </c>
      <c r="AA177" s="207">
        <f t="shared" si="7"/>
        <v>61.18043327331543</v>
      </c>
      <c r="AB177" s="207">
        <f t="shared" si="8"/>
        <v>47.812652587890625</v>
      </c>
    </row>
    <row r="178" spans="3:28">
      <c r="C178" s="27"/>
      <c r="Y178" s="207">
        <f t="shared" si="6"/>
        <v>0</v>
      </c>
      <c r="Z178" s="207">
        <f t="shared" si="6"/>
        <v>0</v>
      </c>
      <c r="AA178" s="207">
        <f t="shared" si="7"/>
        <v>61.18043327331543</v>
      </c>
      <c r="AB178" s="207">
        <f t="shared" si="8"/>
        <v>47.812652587890625</v>
      </c>
    </row>
    <row r="179" spans="3:28">
      <c r="C179" s="27"/>
      <c r="Y179" s="207">
        <f t="shared" si="6"/>
        <v>0</v>
      </c>
      <c r="Z179" s="207">
        <f t="shared" si="6"/>
        <v>0</v>
      </c>
      <c r="AA179" s="207">
        <f t="shared" si="7"/>
        <v>61.18043327331543</v>
      </c>
      <c r="AB179" s="207">
        <f t="shared" si="8"/>
        <v>47.812652587890625</v>
      </c>
    </row>
    <row r="180" spans="3:28">
      <c r="C180" s="27"/>
      <c r="Y180" s="207">
        <f t="shared" si="6"/>
        <v>0</v>
      </c>
      <c r="Z180" s="207">
        <f t="shared" si="6"/>
        <v>0</v>
      </c>
      <c r="AA180" s="207">
        <f t="shared" si="7"/>
        <v>61.18043327331543</v>
      </c>
      <c r="AB180" s="207">
        <f t="shared" si="8"/>
        <v>47.812652587890625</v>
      </c>
    </row>
    <row r="181" spans="3:28">
      <c r="C181" s="27"/>
      <c r="Y181" s="207">
        <f t="shared" si="6"/>
        <v>0</v>
      </c>
      <c r="Z181" s="207">
        <f t="shared" si="6"/>
        <v>0</v>
      </c>
      <c r="AA181" s="207">
        <f t="shared" si="7"/>
        <v>61.18043327331543</v>
      </c>
      <c r="AB181" s="207">
        <f t="shared" si="8"/>
        <v>47.812652587890625</v>
      </c>
    </row>
    <row r="182" spans="3:28">
      <c r="C182" s="27"/>
      <c r="Y182" s="207">
        <f t="shared" si="6"/>
        <v>0</v>
      </c>
      <c r="Z182" s="207">
        <f t="shared" si="6"/>
        <v>0</v>
      </c>
      <c r="AA182" s="207">
        <f t="shared" si="7"/>
        <v>61.18043327331543</v>
      </c>
      <c r="AB182" s="207">
        <f t="shared" si="8"/>
        <v>47.812652587890625</v>
      </c>
    </row>
    <row r="183" spans="3:28">
      <c r="C183" s="27"/>
      <c r="Y183" s="207">
        <f t="shared" si="6"/>
        <v>0</v>
      </c>
      <c r="Z183" s="207">
        <f t="shared" si="6"/>
        <v>0</v>
      </c>
      <c r="AA183" s="207">
        <f t="shared" si="7"/>
        <v>61.18043327331543</v>
      </c>
      <c r="AB183" s="207">
        <f t="shared" si="8"/>
        <v>47.812652587890625</v>
      </c>
    </row>
    <row r="184" spans="3:28">
      <c r="C184" s="27"/>
      <c r="Y184" s="207">
        <f t="shared" si="6"/>
        <v>0</v>
      </c>
      <c r="Z184" s="207">
        <f t="shared" si="6"/>
        <v>0</v>
      </c>
      <c r="AA184" s="207">
        <f t="shared" si="7"/>
        <v>61.18043327331543</v>
      </c>
      <c r="AB184" s="207">
        <f t="shared" si="8"/>
        <v>47.812652587890625</v>
      </c>
    </row>
    <row r="185" spans="3:28">
      <c r="C185" s="27"/>
      <c r="Y185" s="207">
        <f t="shared" si="6"/>
        <v>0</v>
      </c>
      <c r="Z185" s="207">
        <f t="shared" si="6"/>
        <v>0</v>
      </c>
      <c r="AA185" s="207">
        <f t="shared" si="7"/>
        <v>61.18043327331543</v>
      </c>
      <c r="AB185" s="207">
        <f t="shared" si="8"/>
        <v>47.812652587890625</v>
      </c>
    </row>
    <row r="186" spans="3:28">
      <c r="C186" s="27"/>
      <c r="Y186" s="207">
        <f t="shared" si="6"/>
        <v>0</v>
      </c>
      <c r="Z186" s="207">
        <f t="shared" si="6"/>
        <v>0</v>
      </c>
      <c r="AA186" s="207">
        <f t="shared" si="7"/>
        <v>61.18043327331543</v>
      </c>
      <c r="AB186" s="207">
        <f t="shared" si="8"/>
        <v>47.812652587890625</v>
      </c>
    </row>
    <row r="187" spans="3:28">
      <c r="C187" s="27"/>
      <c r="Y187" s="207">
        <f t="shared" si="6"/>
        <v>0</v>
      </c>
      <c r="Z187" s="207">
        <f t="shared" si="6"/>
        <v>0</v>
      </c>
      <c r="AA187" s="207">
        <f t="shared" si="7"/>
        <v>61.18043327331543</v>
      </c>
      <c r="AB187" s="207">
        <f t="shared" si="8"/>
        <v>47.812652587890625</v>
      </c>
    </row>
    <row r="188" spans="3:28">
      <c r="C188" s="27"/>
      <c r="Y188" s="207">
        <f t="shared" si="6"/>
        <v>0</v>
      </c>
      <c r="Z188" s="207">
        <f t="shared" si="6"/>
        <v>0</v>
      </c>
      <c r="AA188" s="207">
        <f t="shared" si="7"/>
        <v>61.18043327331543</v>
      </c>
      <c r="AB188" s="207">
        <f t="shared" si="8"/>
        <v>47.812652587890625</v>
      </c>
    </row>
    <row r="189" spans="3:28">
      <c r="C189" s="27"/>
      <c r="Y189" s="207">
        <f t="shared" si="6"/>
        <v>0</v>
      </c>
      <c r="Z189" s="207">
        <f t="shared" si="6"/>
        <v>0</v>
      </c>
      <c r="AA189" s="207">
        <f t="shared" si="7"/>
        <v>61.18043327331543</v>
      </c>
      <c r="AB189" s="207">
        <f t="shared" si="8"/>
        <v>47.812652587890625</v>
      </c>
    </row>
    <row r="190" spans="3:28">
      <c r="C190" s="27"/>
      <c r="Y190" s="207">
        <f t="shared" si="6"/>
        <v>0</v>
      </c>
      <c r="Z190" s="207">
        <f t="shared" si="6"/>
        <v>0</v>
      </c>
      <c r="AA190" s="207">
        <f t="shared" si="7"/>
        <v>61.18043327331543</v>
      </c>
      <c r="AB190" s="207">
        <f t="shared" si="8"/>
        <v>47.812652587890625</v>
      </c>
    </row>
    <row r="191" spans="3:28">
      <c r="C191" s="27"/>
      <c r="Y191" s="207">
        <f t="shared" si="6"/>
        <v>0</v>
      </c>
      <c r="Z191" s="207">
        <f t="shared" si="6"/>
        <v>0</v>
      </c>
      <c r="AA191" s="207">
        <f t="shared" si="7"/>
        <v>61.18043327331543</v>
      </c>
      <c r="AB191" s="207">
        <f t="shared" si="8"/>
        <v>47.812652587890625</v>
      </c>
    </row>
    <row r="192" spans="3:28">
      <c r="C192" s="27"/>
      <c r="Y192" s="207">
        <f t="shared" si="6"/>
        <v>0</v>
      </c>
      <c r="Z192" s="207">
        <f t="shared" si="6"/>
        <v>0</v>
      </c>
      <c r="AA192" s="207">
        <f t="shared" si="7"/>
        <v>61.18043327331543</v>
      </c>
      <c r="AB192" s="207">
        <f t="shared" si="8"/>
        <v>47.812652587890625</v>
      </c>
    </row>
    <row r="193" spans="3:28">
      <c r="C193" s="27"/>
      <c r="Y193" s="207">
        <f t="shared" si="6"/>
        <v>0</v>
      </c>
      <c r="Z193" s="207">
        <f t="shared" si="6"/>
        <v>0</v>
      </c>
      <c r="AA193" s="207">
        <f t="shared" si="7"/>
        <v>61.18043327331543</v>
      </c>
      <c r="AB193" s="207">
        <f t="shared" si="8"/>
        <v>47.812652587890625</v>
      </c>
    </row>
    <row r="194" spans="3:28">
      <c r="C194" s="27"/>
      <c r="Y194" s="207">
        <f t="shared" si="6"/>
        <v>0</v>
      </c>
      <c r="Z194" s="207">
        <f t="shared" si="6"/>
        <v>0</v>
      </c>
      <c r="AA194" s="207">
        <f t="shared" si="7"/>
        <v>61.18043327331543</v>
      </c>
      <c r="AB194" s="207">
        <f t="shared" si="8"/>
        <v>47.812652587890625</v>
      </c>
    </row>
    <row r="195" spans="3:28">
      <c r="C195" s="27"/>
      <c r="Y195" s="207">
        <f t="shared" si="6"/>
        <v>0</v>
      </c>
      <c r="Z195" s="207">
        <f t="shared" si="6"/>
        <v>0</v>
      </c>
      <c r="AA195" s="207">
        <f t="shared" si="7"/>
        <v>61.18043327331543</v>
      </c>
      <c r="AB195" s="207">
        <f t="shared" si="8"/>
        <v>47.812652587890625</v>
      </c>
    </row>
    <row r="196" spans="3:28">
      <c r="C196" s="27"/>
      <c r="Y196" s="207">
        <f t="shared" si="6"/>
        <v>0</v>
      </c>
      <c r="Z196" s="207">
        <f t="shared" si="6"/>
        <v>0</v>
      </c>
      <c r="AA196" s="207">
        <f t="shared" si="7"/>
        <v>61.18043327331543</v>
      </c>
      <c r="AB196" s="207">
        <f t="shared" si="8"/>
        <v>47.812652587890625</v>
      </c>
    </row>
    <row r="197" spans="3:28">
      <c r="C197" s="27"/>
      <c r="Y197" s="207">
        <f t="shared" si="6"/>
        <v>0</v>
      </c>
      <c r="Z197" s="207">
        <f t="shared" si="6"/>
        <v>0</v>
      </c>
      <c r="AA197" s="207">
        <f t="shared" si="7"/>
        <v>61.18043327331543</v>
      </c>
      <c r="AB197" s="207">
        <f t="shared" si="8"/>
        <v>47.812652587890625</v>
      </c>
    </row>
    <row r="198" spans="3:28">
      <c r="C198" s="27"/>
      <c r="Y198" s="207">
        <f t="shared" si="6"/>
        <v>0</v>
      </c>
      <c r="Z198" s="207">
        <f t="shared" si="6"/>
        <v>0</v>
      </c>
      <c r="AA198" s="207">
        <f t="shared" si="7"/>
        <v>61.18043327331543</v>
      </c>
      <c r="AB198" s="207">
        <f t="shared" si="8"/>
        <v>47.812652587890625</v>
      </c>
    </row>
    <row r="199" spans="3:28">
      <c r="C199" s="27"/>
      <c r="Y199" s="207">
        <f t="shared" si="6"/>
        <v>0</v>
      </c>
      <c r="Z199" s="207">
        <f t="shared" si="6"/>
        <v>0</v>
      </c>
      <c r="AA199" s="207">
        <f t="shared" si="7"/>
        <v>61.18043327331543</v>
      </c>
      <c r="AB199" s="207">
        <f t="shared" si="8"/>
        <v>47.812652587890625</v>
      </c>
    </row>
    <row r="200" spans="3:28">
      <c r="C200" s="27"/>
      <c r="Y200" s="207">
        <f t="shared" si="6"/>
        <v>0</v>
      </c>
      <c r="Z200" s="207">
        <f t="shared" si="6"/>
        <v>0</v>
      </c>
      <c r="AA200" s="207">
        <f t="shared" si="7"/>
        <v>61.18043327331543</v>
      </c>
      <c r="AB200" s="207">
        <f t="shared" si="8"/>
        <v>47.812652587890625</v>
      </c>
    </row>
    <row r="201" spans="3:28">
      <c r="C201" s="27"/>
      <c r="Y201" s="207">
        <f t="shared" si="6"/>
        <v>0</v>
      </c>
      <c r="Z201" s="207">
        <f t="shared" si="6"/>
        <v>0</v>
      </c>
      <c r="AA201" s="207">
        <f t="shared" si="7"/>
        <v>61.18043327331543</v>
      </c>
      <c r="AB201" s="207">
        <f t="shared" si="8"/>
        <v>47.812652587890625</v>
      </c>
    </row>
    <row r="202" spans="3:28">
      <c r="C202" s="27"/>
      <c r="Y202" s="207">
        <f t="shared" si="6"/>
        <v>0</v>
      </c>
      <c r="Z202" s="207">
        <f t="shared" si="6"/>
        <v>0</v>
      </c>
      <c r="AA202" s="207">
        <f t="shared" si="7"/>
        <v>61.18043327331543</v>
      </c>
      <c r="AB202" s="207">
        <f t="shared" si="8"/>
        <v>47.812652587890625</v>
      </c>
    </row>
    <row r="203" spans="3:28">
      <c r="C203" s="27"/>
      <c r="Y203" s="207">
        <f t="shared" si="6"/>
        <v>0</v>
      </c>
      <c r="Z203" s="207">
        <f t="shared" si="6"/>
        <v>0</v>
      </c>
      <c r="AA203" s="207">
        <f t="shared" si="7"/>
        <v>61.18043327331543</v>
      </c>
      <c r="AB203" s="207">
        <f t="shared" si="8"/>
        <v>47.812652587890625</v>
      </c>
    </row>
    <row r="204" spans="3:28">
      <c r="C204" s="27"/>
      <c r="Y204" s="207">
        <f t="shared" si="6"/>
        <v>0</v>
      </c>
      <c r="Z204" s="207">
        <f t="shared" si="6"/>
        <v>0</v>
      </c>
      <c r="AA204" s="207">
        <f t="shared" si="7"/>
        <v>61.18043327331543</v>
      </c>
      <c r="AB204" s="207">
        <f t="shared" si="8"/>
        <v>47.812652587890625</v>
      </c>
    </row>
    <row r="205" spans="3:28">
      <c r="C205" s="27"/>
      <c r="Y205" s="207">
        <f t="shared" si="6"/>
        <v>0</v>
      </c>
      <c r="Z205" s="207">
        <f t="shared" si="6"/>
        <v>0</v>
      </c>
      <c r="AA205" s="207">
        <f t="shared" si="7"/>
        <v>61.18043327331543</v>
      </c>
      <c r="AB205" s="207">
        <f t="shared" si="8"/>
        <v>47.812652587890625</v>
      </c>
    </row>
    <row r="206" spans="3:28">
      <c r="C206" s="27"/>
      <c r="Y206" s="207">
        <f t="shared" si="6"/>
        <v>0</v>
      </c>
      <c r="Z206" s="207">
        <f t="shared" si="6"/>
        <v>0</v>
      </c>
      <c r="AA206" s="207">
        <f t="shared" si="7"/>
        <v>61.18043327331543</v>
      </c>
      <c r="AB206" s="207">
        <f t="shared" si="8"/>
        <v>47.812652587890625</v>
      </c>
    </row>
    <row r="207" spans="3:28">
      <c r="C207" s="27"/>
      <c r="Y207" s="207">
        <f t="shared" ref="Y207:Z270" si="9">B207</f>
        <v>0</v>
      </c>
      <c r="Z207" s="207">
        <f t="shared" si="9"/>
        <v>0</v>
      </c>
      <c r="AA207" s="207">
        <f t="shared" ref="AA207:AA270" si="10">I$26</f>
        <v>61.18043327331543</v>
      </c>
      <c r="AB207" s="207">
        <f t="shared" ref="AB207:AB270" si="11">I$23</f>
        <v>47.812652587890625</v>
      </c>
    </row>
    <row r="208" spans="3:28">
      <c r="C208" s="27"/>
      <c r="Y208" s="207">
        <f t="shared" si="9"/>
        <v>0</v>
      </c>
      <c r="Z208" s="207">
        <f t="shared" si="9"/>
        <v>0</v>
      </c>
      <c r="AA208" s="207">
        <f t="shared" si="10"/>
        <v>61.18043327331543</v>
      </c>
      <c r="AB208" s="207">
        <f t="shared" si="11"/>
        <v>47.812652587890625</v>
      </c>
    </row>
    <row r="209" spans="3:28">
      <c r="C209" s="27"/>
      <c r="Y209" s="207">
        <f t="shared" si="9"/>
        <v>0</v>
      </c>
      <c r="Z209" s="207">
        <f t="shared" si="9"/>
        <v>0</v>
      </c>
      <c r="AA209" s="207">
        <f t="shared" si="10"/>
        <v>61.18043327331543</v>
      </c>
      <c r="AB209" s="207">
        <f t="shared" si="11"/>
        <v>47.812652587890625</v>
      </c>
    </row>
    <row r="210" spans="3:28">
      <c r="C210" s="27"/>
      <c r="Y210" s="207">
        <f t="shared" si="9"/>
        <v>0</v>
      </c>
      <c r="Z210" s="207">
        <f t="shared" si="9"/>
        <v>0</v>
      </c>
      <c r="AA210" s="207">
        <f t="shared" si="10"/>
        <v>61.18043327331543</v>
      </c>
      <c r="AB210" s="207">
        <f t="shared" si="11"/>
        <v>47.812652587890625</v>
      </c>
    </row>
    <row r="211" spans="3:28">
      <c r="C211" s="27"/>
      <c r="Y211" s="207">
        <f t="shared" si="9"/>
        <v>0</v>
      </c>
      <c r="Z211" s="207">
        <f t="shared" si="9"/>
        <v>0</v>
      </c>
      <c r="AA211" s="207">
        <f t="shared" si="10"/>
        <v>61.18043327331543</v>
      </c>
      <c r="AB211" s="207">
        <f t="shared" si="11"/>
        <v>47.812652587890625</v>
      </c>
    </row>
    <row r="212" spans="3:28">
      <c r="C212" s="27"/>
      <c r="Y212" s="207">
        <f t="shared" si="9"/>
        <v>0</v>
      </c>
      <c r="Z212" s="207">
        <f t="shared" si="9"/>
        <v>0</v>
      </c>
      <c r="AA212" s="207">
        <f t="shared" si="10"/>
        <v>61.18043327331543</v>
      </c>
      <c r="AB212" s="207">
        <f t="shared" si="11"/>
        <v>47.812652587890625</v>
      </c>
    </row>
    <row r="213" spans="3:28">
      <c r="C213" s="27"/>
      <c r="Y213" s="207">
        <f t="shared" si="9"/>
        <v>0</v>
      </c>
      <c r="Z213" s="207">
        <f t="shared" si="9"/>
        <v>0</v>
      </c>
      <c r="AA213" s="207">
        <f t="shared" si="10"/>
        <v>61.18043327331543</v>
      </c>
      <c r="AB213" s="207">
        <f t="shared" si="11"/>
        <v>47.812652587890625</v>
      </c>
    </row>
    <row r="214" spans="3:28">
      <c r="C214" s="27"/>
      <c r="Y214" s="207">
        <f t="shared" si="9"/>
        <v>0</v>
      </c>
      <c r="Z214" s="207">
        <f t="shared" si="9"/>
        <v>0</v>
      </c>
      <c r="AA214" s="207">
        <f t="shared" si="10"/>
        <v>61.18043327331543</v>
      </c>
      <c r="AB214" s="207">
        <f t="shared" si="11"/>
        <v>47.812652587890625</v>
      </c>
    </row>
    <row r="215" spans="3:28">
      <c r="C215" s="27"/>
      <c r="Y215" s="207">
        <f t="shared" si="9"/>
        <v>0</v>
      </c>
      <c r="Z215" s="207">
        <f t="shared" si="9"/>
        <v>0</v>
      </c>
      <c r="AA215" s="207">
        <f t="shared" si="10"/>
        <v>61.18043327331543</v>
      </c>
      <c r="AB215" s="207">
        <f t="shared" si="11"/>
        <v>47.812652587890625</v>
      </c>
    </row>
    <row r="216" spans="3:28">
      <c r="C216" s="27"/>
      <c r="Y216" s="207">
        <f t="shared" si="9"/>
        <v>0</v>
      </c>
      <c r="Z216" s="207">
        <f t="shared" si="9"/>
        <v>0</v>
      </c>
      <c r="AA216" s="207">
        <f t="shared" si="10"/>
        <v>61.18043327331543</v>
      </c>
      <c r="AB216" s="207">
        <f t="shared" si="11"/>
        <v>47.812652587890625</v>
      </c>
    </row>
    <row r="217" spans="3:28">
      <c r="C217" s="27"/>
      <c r="Y217" s="207">
        <f t="shared" si="9"/>
        <v>0</v>
      </c>
      <c r="Z217" s="207">
        <f t="shared" si="9"/>
        <v>0</v>
      </c>
      <c r="AA217" s="207">
        <f t="shared" si="10"/>
        <v>61.18043327331543</v>
      </c>
      <c r="AB217" s="207">
        <f t="shared" si="11"/>
        <v>47.812652587890625</v>
      </c>
    </row>
    <row r="218" spans="3:28">
      <c r="C218" s="27"/>
      <c r="Y218" s="207">
        <f t="shared" si="9"/>
        <v>0</v>
      </c>
      <c r="Z218" s="207">
        <f t="shared" si="9"/>
        <v>0</v>
      </c>
      <c r="AA218" s="207">
        <f t="shared" si="10"/>
        <v>61.18043327331543</v>
      </c>
      <c r="AB218" s="207">
        <f t="shared" si="11"/>
        <v>47.812652587890625</v>
      </c>
    </row>
    <row r="219" spans="3:28">
      <c r="C219" s="27"/>
      <c r="Y219" s="207">
        <f t="shared" si="9"/>
        <v>0</v>
      </c>
      <c r="Z219" s="207">
        <f t="shared" si="9"/>
        <v>0</v>
      </c>
      <c r="AA219" s="207">
        <f t="shared" si="10"/>
        <v>61.18043327331543</v>
      </c>
      <c r="AB219" s="207">
        <f t="shared" si="11"/>
        <v>47.812652587890625</v>
      </c>
    </row>
    <row r="220" spans="3:28">
      <c r="C220" s="27"/>
      <c r="Y220" s="207">
        <f t="shared" si="9"/>
        <v>0</v>
      </c>
      <c r="Z220" s="207">
        <f t="shared" si="9"/>
        <v>0</v>
      </c>
      <c r="AA220" s="207">
        <f t="shared" si="10"/>
        <v>61.18043327331543</v>
      </c>
      <c r="AB220" s="207">
        <f t="shared" si="11"/>
        <v>47.812652587890625</v>
      </c>
    </row>
    <row r="221" spans="3:28">
      <c r="C221" s="27"/>
      <c r="Y221" s="207">
        <f t="shared" si="9"/>
        <v>0</v>
      </c>
      <c r="Z221" s="207">
        <f t="shared" si="9"/>
        <v>0</v>
      </c>
      <c r="AA221" s="207">
        <f t="shared" si="10"/>
        <v>61.18043327331543</v>
      </c>
      <c r="AB221" s="207">
        <f t="shared" si="11"/>
        <v>47.812652587890625</v>
      </c>
    </row>
    <row r="222" spans="3:28">
      <c r="C222" s="27"/>
      <c r="Y222" s="207">
        <f t="shared" si="9"/>
        <v>0</v>
      </c>
      <c r="Z222" s="207">
        <f t="shared" si="9"/>
        <v>0</v>
      </c>
      <c r="AA222" s="207">
        <f t="shared" si="10"/>
        <v>61.18043327331543</v>
      </c>
      <c r="AB222" s="207">
        <f t="shared" si="11"/>
        <v>47.812652587890625</v>
      </c>
    </row>
    <row r="223" spans="3:28">
      <c r="C223" s="27"/>
      <c r="Y223" s="207">
        <f t="shared" si="9"/>
        <v>0</v>
      </c>
      <c r="Z223" s="207">
        <f t="shared" si="9"/>
        <v>0</v>
      </c>
      <c r="AA223" s="207">
        <f t="shared" si="10"/>
        <v>61.18043327331543</v>
      </c>
      <c r="AB223" s="207">
        <f t="shared" si="11"/>
        <v>47.812652587890625</v>
      </c>
    </row>
    <row r="224" spans="3:28">
      <c r="C224" s="27"/>
      <c r="Y224" s="207">
        <f t="shared" si="9"/>
        <v>0</v>
      </c>
      <c r="Z224" s="207">
        <f t="shared" si="9"/>
        <v>0</v>
      </c>
      <c r="AA224" s="207">
        <f t="shared" si="10"/>
        <v>61.18043327331543</v>
      </c>
      <c r="AB224" s="207">
        <f t="shared" si="11"/>
        <v>47.812652587890625</v>
      </c>
    </row>
    <row r="225" spans="3:28">
      <c r="C225" s="27"/>
      <c r="Y225" s="207">
        <f t="shared" si="9"/>
        <v>0</v>
      </c>
      <c r="Z225" s="207">
        <f t="shared" si="9"/>
        <v>0</v>
      </c>
      <c r="AA225" s="207">
        <f t="shared" si="10"/>
        <v>61.18043327331543</v>
      </c>
      <c r="AB225" s="207">
        <f t="shared" si="11"/>
        <v>47.812652587890625</v>
      </c>
    </row>
    <row r="226" spans="3:28">
      <c r="C226" s="27"/>
      <c r="Y226" s="207">
        <f t="shared" si="9"/>
        <v>0</v>
      </c>
      <c r="Z226" s="207">
        <f t="shared" si="9"/>
        <v>0</v>
      </c>
      <c r="AA226" s="207">
        <f t="shared" si="10"/>
        <v>61.18043327331543</v>
      </c>
      <c r="AB226" s="207">
        <f t="shared" si="11"/>
        <v>47.812652587890625</v>
      </c>
    </row>
    <row r="227" spans="3:28">
      <c r="C227" s="27"/>
      <c r="Y227" s="207">
        <f t="shared" si="9"/>
        <v>0</v>
      </c>
      <c r="Z227" s="207">
        <f t="shared" si="9"/>
        <v>0</v>
      </c>
      <c r="AA227" s="207">
        <f t="shared" si="10"/>
        <v>61.18043327331543</v>
      </c>
      <c r="AB227" s="207">
        <f t="shared" si="11"/>
        <v>47.812652587890625</v>
      </c>
    </row>
    <row r="228" spans="3:28">
      <c r="C228" s="27"/>
      <c r="Y228" s="207">
        <f t="shared" si="9"/>
        <v>0</v>
      </c>
      <c r="Z228" s="207">
        <f t="shared" si="9"/>
        <v>0</v>
      </c>
      <c r="AA228" s="207">
        <f t="shared" si="10"/>
        <v>61.18043327331543</v>
      </c>
      <c r="AB228" s="207">
        <f t="shared" si="11"/>
        <v>47.812652587890625</v>
      </c>
    </row>
    <row r="229" spans="3:28">
      <c r="C229" s="27"/>
      <c r="Y229" s="207">
        <f t="shared" si="9"/>
        <v>0</v>
      </c>
      <c r="Z229" s="207">
        <f t="shared" si="9"/>
        <v>0</v>
      </c>
      <c r="AA229" s="207">
        <f t="shared" si="10"/>
        <v>61.18043327331543</v>
      </c>
      <c r="AB229" s="207">
        <f t="shared" si="11"/>
        <v>47.812652587890625</v>
      </c>
    </row>
    <row r="230" spans="3:28">
      <c r="C230" s="27"/>
      <c r="Y230" s="207">
        <f t="shared" si="9"/>
        <v>0</v>
      </c>
      <c r="Z230" s="207">
        <f t="shared" si="9"/>
        <v>0</v>
      </c>
      <c r="AA230" s="207">
        <f t="shared" si="10"/>
        <v>61.18043327331543</v>
      </c>
      <c r="AB230" s="207">
        <f t="shared" si="11"/>
        <v>47.812652587890625</v>
      </c>
    </row>
    <row r="231" spans="3:28">
      <c r="C231" s="27"/>
      <c r="Y231" s="207">
        <f t="shared" si="9"/>
        <v>0</v>
      </c>
      <c r="Z231" s="207">
        <f t="shared" si="9"/>
        <v>0</v>
      </c>
      <c r="AA231" s="207">
        <f t="shared" si="10"/>
        <v>61.18043327331543</v>
      </c>
      <c r="AB231" s="207">
        <f t="shared" si="11"/>
        <v>47.812652587890625</v>
      </c>
    </row>
    <row r="232" spans="3:28">
      <c r="C232" s="27"/>
      <c r="Y232" s="207">
        <f t="shared" si="9"/>
        <v>0</v>
      </c>
      <c r="Z232" s="207">
        <f t="shared" si="9"/>
        <v>0</v>
      </c>
      <c r="AA232" s="207">
        <f t="shared" si="10"/>
        <v>61.18043327331543</v>
      </c>
      <c r="AB232" s="207">
        <f t="shared" si="11"/>
        <v>47.812652587890625</v>
      </c>
    </row>
    <row r="233" spans="3:28">
      <c r="C233" s="27"/>
      <c r="Y233" s="207">
        <f t="shared" si="9"/>
        <v>0</v>
      </c>
      <c r="Z233" s="207">
        <f t="shared" si="9"/>
        <v>0</v>
      </c>
      <c r="AA233" s="207">
        <f t="shared" si="10"/>
        <v>61.18043327331543</v>
      </c>
      <c r="AB233" s="207">
        <f t="shared" si="11"/>
        <v>47.812652587890625</v>
      </c>
    </row>
    <row r="234" spans="3:28">
      <c r="C234" s="27"/>
      <c r="Y234" s="207">
        <f t="shared" si="9"/>
        <v>0</v>
      </c>
      <c r="Z234" s="207">
        <f t="shared" si="9"/>
        <v>0</v>
      </c>
      <c r="AA234" s="207">
        <f t="shared" si="10"/>
        <v>61.18043327331543</v>
      </c>
      <c r="AB234" s="207">
        <f t="shared" si="11"/>
        <v>47.812652587890625</v>
      </c>
    </row>
    <row r="235" spans="3:28">
      <c r="C235" s="27"/>
      <c r="Y235" s="207">
        <f t="shared" si="9"/>
        <v>0</v>
      </c>
      <c r="Z235" s="207">
        <f t="shared" si="9"/>
        <v>0</v>
      </c>
      <c r="AA235" s="207">
        <f t="shared" si="10"/>
        <v>61.18043327331543</v>
      </c>
      <c r="AB235" s="207">
        <f t="shared" si="11"/>
        <v>47.812652587890625</v>
      </c>
    </row>
    <row r="236" spans="3:28">
      <c r="C236" s="27"/>
      <c r="Y236" s="207">
        <f t="shared" si="9"/>
        <v>0</v>
      </c>
      <c r="Z236" s="207">
        <f t="shared" si="9"/>
        <v>0</v>
      </c>
      <c r="AA236" s="207">
        <f t="shared" si="10"/>
        <v>61.18043327331543</v>
      </c>
      <c r="AB236" s="207">
        <f t="shared" si="11"/>
        <v>47.812652587890625</v>
      </c>
    </row>
    <row r="237" spans="3:28">
      <c r="C237" s="27"/>
      <c r="Y237" s="207">
        <f t="shared" si="9"/>
        <v>0</v>
      </c>
      <c r="Z237" s="207">
        <f t="shared" si="9"/>
        <v>0</v>
      </c>
      <c r="AA237" s="207">
        <f t="shared" si="10"/>
        <v>61.18043327331543</v>
      </c>
      <c r="AB237" s="207">
        <f t="shared" si="11"/>
        <v>47.812652587890625</v>
      </c>
    </row>
    <row r="238" spans="3:28">
      <c r="C238" s="27"/>
      <c r="Y238" s="207">
        <f t="shared" si="9"/>
        <v>0</v>
      </c>
      <c r="Z238" s="207">
        <f t="shared" si="9"/>
        <v>0</v>
      </c>
      <c r="AA238" s="207">
        <f t="shared" si="10"/>
        <v>61.18043327331543</v>
      </c>
      <c r="AB238" s="207">
        <f t="shared" si="11"/>
        <v>47.812652587890625</v>
      </c>
    </row>
    <row r="239" spans="3:28">
      <c r="C239" s="27"/>
      <c r="Y239" s="207">
        <f t="shared" si="9"/>
        <v>0</v>
      </c>
      <c r="Z239" s="207">
        <f t="shared" si="9"/>
        <v>0</v>
      </c>
      <c r="AA239" s="207">
        <f t="shared" si="10"/>
        <v>61.18043327331543</v>
      </c>
      <c r="AB239" s="207">
        <f t="shared" si="11"/>
        <v>47.812652587890625</v>
      </c>
    </row>
    <row r="240" spans="3:28">
      <c r="C240" s="27"/>
      <c r="Y240" s="207">
        <f t="shared" si="9"/>
        <v>0</v>
      </c>
      <c r="Z240" s="207">
        <f t="shared" si="9"/>
        <v>0</v>
      </c>
      <c r="AA240" s="207">
        <f t="shared" si="10"/>
        <v>61.18043327331543</v>
      </c>
      <c r="AB240" s="207">
        <f t="shared" si="11"/>
        <v>47.812652587890625</v>
      </c>
    </row>
    <row r="241" spans="3:28">
      <c r="C241" s="27"/>
      <c r="Y241" s="207">
        <f t="shared" si="9"/>
        <v>0</v>
      </c>
      <c r="Z241" s="207">
        <f t="shared" si="9"/>
        <v>0</v>
      </c>
      <c r="AA241" s="207">
        <f t="shared" si="10"/>
        <v>61.18043327331543</v>
      </c>
      <c r="AB241" s="207">
        <f t="shared" si="11"/>
        <v>47.812652587890625</v>
      </c>
    </row>
    <row r="242" spans="3:28">
      <c r="C242" s="27"/>
      <c r="Y242" s="207">
        <f t="shared" si="9"/>
        <v>0</v>
      </c>
      <c r="Z242" s="207">
        <f t="shared" si="9"/>
        <v>0</v>
      </c>
      <c r="AA242" s="207">
        <f t="shared" si="10"/>
        <v>61.18043327331543</v>
      </c>
      <c r="AB242" s="207">
        <f t="shared" si="11"/>
        <v>47.812652587890625</v>
      </c>
    </row>
    <row r="243" spans="3:28">
      <c r="C243" s="27"/>
      <c r="Y243" s="207">
        <f t="shared" si="9"/>
        <v>0</v>
      </c>
      <c r="Z243" s="207">
        <f t="shared" si="9"/>
        <v>0</v>
      </c>
      <c r="AA243" s="207">
        <f t="shared" si="10"/>
        <v>61.18043327331543</v>
      </c>
      <c r="AB243" s="207">
        <f t="shared" si="11"/>
        <v>47.812652587890625</v>
      </c>
    </row>
    <row r="244" spans="3:28">
      <c r="C244" s="27"/>
      <c r="Y244" s="207">
        <f t="shared" si="9"/>
        <v>0</v>
      </c>
      <c r="Z244" s="207">
        <f t="shared" si="9"/>
        <v>0</v>
      </c>
      <c r="AA244" s="207">
        <f t="shared" si="10"/>
        <v>61.18043327331543</v>
      </c>
      <c r="AB244" s="207">
        <f t="shared" si="11"/>
        <v>47.812652587890625</v>
      </c>
    </row>
    <row r="245" spans="3:28">
      <c r="C245" s="27"/>
      <c r="Y245" s="207">
        <f t="shared" si="9"/>
        <v>0</v>
      </c>
      <c r="Z245" s="207">
        <f t="shared" si="9"/>
        <v>0</v>
      </c>
      <c r="AA245" s="207">
        <f t="shared" si="10"/>
        <v>61.18043327331543</v>
      </c>
      <c r="AB245" s="207">
        <f t="shared" si="11"/>
        <v>47.812652587890625</v>
      </c>
    </row>
    <row r="246" spans="3:28">
      <c r="C246" s="27"/>
      <c r="Y246" s="207">
        <f t="shared" si="9"/>
        <v>0</v>
      </c>
      <c r="Z246" s="207">
        <f t="shared" si="9"/>
        <v>0</v>
      </c>
      <c r="AA246" s="207">
        <f t="shared" si="10"/>
        <v>61.18043327331543</v>
      </c>
      <c r="AB246" s="207">
        <f t="shared" si="11"/>
        <v>47.812652587890625</v>
      </c>
    </row>
    <row r="247" spans="3:28">
      <c r="C247" s="27"/>
      <c r="Y247" s="207">
        <f t="shared" si="9"/>
        <v>0</v>
      </c>
      <c r="Z247" s="207">
        <f t="shared" si="9"/>
        <v>0</v>
      </c>
      <c r="AA247" s="207">
        <f t="shared" si="10"/>
        <v>61.18043327331543</v>
      </c>
      <c r="AB247" s="207">
        <f t="shared" si="11"/>
        <v>47.812652587890625</v>
      </c>
    </row>
    <row r="248" spans="3:28">
      <c r="C248" s="27"/>
      <c r="Y248" s="207">
        <f t="shared" si="9"/>
        <v>0</v>
      </c>
      <c r="Z248" s="207">
        <f t="shared" si="9"/>
        <v>0</v>
      </c>
      <c r="AA248" s="207">
        <f t="shared" si="10"/>
        <v>61.18043327331543</v>
      </c>
      <c r="AB248" s="207">
        <f t="shared" si="11"/>
        <v>47.812652587890625</v>
      </c>
    </row>
    <row r="249" spans="3:28">
      <c r="C249" s="27"/>
      <c r="Y249" s="207">
        <f t="shared" si="9"/>
        <v>0</v>
      </c>
      <c r="Z249" s="207">
        <f t="shared" si="9"/>
        <v>0</v>
      </c>
      <c r="AA249" s="207">
        <f t="shared" si="10"/>
        <v>61.18043327331543</v>
      </c>
      <c r="AB249" s="207">
        <f t="shared" si="11"/>
        <v>47.812652587890625</v>
      </c>
    </row>
    <row r="250" spans="3:28">
      <c r="C250" s="27"/>
      <c r="Y250" s="207">
        <f t="shared" si="9"/>
        <v>0</v>
      </c>
      <c r="Z250" s="207">
        <f t="shared" si="9"/>
        <v>0</v>
      </c>
      <c r="AA250" s="207">
        <f t="shared" si="10"/>
        <v>61.18043327331543</v>
      </c>
      <c r="AB250" s="207">
        <f t="shared" si="11"/>
        <v>47.812652587890625</v>
      </c>
    </row>
    <row r="251" spans="3:28">
      <c r="C251" s="27"/>
      <c r="Y251" s="207">
        <f t="shared" si="9"/>
        <v>0</v>
      </c>
      <c r="Z251" s="207">
        <f t="shared" si="9"/>
        <v>0</v>
      </c>
      <c r="AA251" s="207">
        <f t="shared" si="10"/>
        <v>61.18043327331543</v>
      </c>
      <c r="AB251" s="207">
        <f t="shared" si="11"/>
        <v>47.812652587890625</v>
      </c>
    </row>
    <row r="252" spans="3:28">
      <c r="C252" s="27"/>
      <c r="Y252" s="207">
        <f t="shared" si="9"/>
        <v>0</v>
      </c>
      <c r="Z252" s="207">
        <f t="shared" si="9"/>
        <v>0</v>
      </c>
      <c r="AA252" s="207">
        <f t="shared" si="10"/>
        <v>61.18043327331543</v>
      </c>
      <c r="AB252" s="207">
        <f t="shared" si="11"/>
        <v>47.812652587890625</v>
      </c>
    </row>
    <row r="253" spans="3:28">
      <c r="C253" s="27"/>
      <c r="Y253" s="207">
        <f t="shared" si="9"/>
        <v>0</v>
      </c>
      <c r="Z253" s="207">
        <f t="shared" si="9"/>
        <v>0</v>
      </c>
      <c r="AA253" s="207">
        <f t="shared" si="10"/>
        <v>61.18043327331543</v>
      </c>
      <c r="AB253" s="207">
        <f t="shared" si="11"/>
        <v>47.812652587890625</v>
      </c>
    </row>
    <row r="254" spans="3:28">
      <c r="C254" s="27"/>
      <c r="Y254" s="207">
        <f t="shared" si="9"/>
        <v>0</v>
      </c>
      <c r="Z254" s="207">
        <f t="shared" si="9"/>
        <v>0</v>
      </c>
      <c r="AA254" s="207">
        <f t="shared" si="10"/>
        <v>61.18043327331543</v>
      </c>
      <c r="AB254" s="207">
        <f t="shared" si="11"/>
        <v>47.812652587890625</v>
      </c>
    </row>
    <row r="255" spans="3:28">
      <c r="C255" s="27"/>
      <c r="Y255" s="207">
        <f t="shared" si="9"/>
        <v>0</v>
      </c>
      <c r="Z255" s="207">
        <f t="shared" si="9"/>
        <v>0</v>
      </c>
      <c r="AA255" s="207">
        <f t="shared" si="10"/>
        <v>61.18043327331543</v>
      </c>
      <c r="AB255" s="207">
        <f t="shared" si="11"/>
        <v>47.812652587890625</v>
      </c>
    </row>
    <row r="256" spans="3:28">
      <c r="C256" s="27"/>
      <c r="Y256" s="207">
        <f t="shared" si="9"/>
        <v>0</v>
      </c>
      <c r="Z256" s="207">
        <f t="shared" si="9"/>
        <v>0</v>
      </c>
      <c r="AA256" s="207">
        <f t="shared" si="10"/>
        <v>61.18043327331543</v>
      </c>
      <c r="AB256" s="207">
        <f t="shared" si="11"/>
        <v>47.812652587890625</v>
      </c>
    </row>
    <row r="257" spans="3:28">
      <c r="C257" s="27"/>
      <c r="Y257" s="207">
        <f t="shared" si="9"/>
        <v>0</v>
      </c>
      <c r="Z257" s="207">
        <f t="shared" si="9"/>
        <v>0</v>
      </c>
      <c r="AA257" s="207">
        <f t="shared" si="10"/>
        <v>61.18043327331543</v>
      </c>
      <c r="AB257" s="207">
        <f t="shared" si="11"/>
        <v>47.812652587890625</v>
      </c>
    </row>
    <row r="258" spans="3:28">
      <c r="C258" s="27"/>
      <c r="Y258" s="207">
        <f t="shared" si="9"/>
        <v>0</v>
      </c>
      <c r="Z258" s="207">
        <f t="shared" si="9"/>
        <v>0</v>
      </c>
      <c r="AA258" s="207">
        <f t="shared" si="10"/>
        <v>61.18043327331543</v>
      </c>
      <c r="AB258" s="207">
        <f t="shared" si="11"/>
        <v>47.812652587890625</v>
      </c>
    </row>
    <row r="259" spans="3:28">
      <c r="C259" s="27"/>
      <c r="Y259" s="207">
        <f t="shared" si="9"/>
        <v>0</v>
      </c>
      <c r="Z259" s="207">
        <f t="shared" si="9"/>
        <v>0</v>
      </c>
      <c r="AA259" s="207">
        <f t="shared" si="10"/>
        <v>61.18043327331543</v>
      </c>
      <c r="AB259" s="207">
        <f t="shared" si="11"/>
        <v>47.812652587890625</v>
      </c>
    </row>
    <row r="260" spans="3:28">
      <c r="C260" s="27"/>
      <c r="Y260" s="207">
        <f t="shared" si="9"/>
        <v>0</v>
      </c>
      <c r="Z260" s="207">
        <f t="shared" si="9"/>
        <v>0</v>
      </c>
      <c r="AA260" s="207">
        <f t="shared" si="10"/>
        <v>61.18043327331543</v>
      </c>
      <c r="AB260" s="207">
        <f t="shared" si="11"/>
        <v>47.812652587890625</v>
      </c>
    </row>
    <row r="261" spans="3:28">
      <c r="C261" s="27"/>
      <c r="Y261" s="207">
        <f t="shared" si="9"/>
        <v>0</v>
      </c>
      <c r="Z261" s="207">
        <f t="shared" si="9"/>
        <v>0</v>
      </c>
      <c r="AA261" s="207">
        <f t="shared" si="10"/>
        <v>61.18043327331543</v>
      </c>
      <c r="AB261" s="207">
        <f t="shared" si="11"/>
        <v>47.812652587890625</v>
      </c>
    </row>
    <row r="262" spans="3:28">
      <c r="C262" s="27"/>
      <c r="Y262" s="207">
        <f t="shared" si="9"/>
        <v>0</v>
      </c>
      <c r="Z262" s="207">
        <f t="shared" si="9"/>
        <v>0</v>
      </c>
      <c r="AA262" s="207">
        <f t="shared" si="10"/>
        <v>61.18043327331543</v>
      </c>
      <c r="AB262" s="207">
        <f t="shared" si="11"/>
        <v>47.812652587890625</v>
      </c>
    </row>
    <row r="263" spans="3:28">
      <c r="C263" s="27"/>
      <c r="Y263" s="207">
        <f t="shared" si="9"/>
        <v>0</v>
      </c>
      <c r="Z263" s="207">
        <f t="shared" si="9"/>
        <v>0</v>
      </c>
      <c r="AA263" s="207">
        <f t="shared" si="10"/>
        <v>61.18043327331543</v>
      </c>
      <c r="AB263" s="207">
        <f t="shared" si="11"/>
        <v>47.812652587890625</v>
      </c>
    </row>
    <row r="264" spans="3:28">
      <c r="C264" s="27"/>
      <c r="Y264" s="207">
        <f t="shared" si="9"/>
        <v>0</v>
      </c>
      <c r="Z264" s="207">
        <f t="shared" si="9"/>
        <v>0</v>
      </c>
      <c r="AA264" s="207">
        <f t="shared" si="10"/>
        <v>61.18043327331543</v>
      </c>
      <c r="AB264" s="207">
        <f t="shared" si="11"/>
        <v>47.812652587890625</v>
      </c>
    </row>
    <row r="265" spans="3:28">
      <c r="C265" s="27"/>
      <c r="Y265" s="207">
        <f t="shared" si="9"/>
        <v>0</v>
      </c>
      <c r="Z265" s="207">
        <f t="shared" si="9"/>
        <v>0</v>
      </c>
      <c r="AA265" s="207">
        <f t="shared" si="10"/>
        <v>61.18043327331543</v>
      </c>
      <c r="AB265" s="207">
        <f t="shared" si="11"/>
        <v>47.812652587890625</v>
      </c>
    </row>
    <row r="266" spans="3:28">
      <c r="C266" s="27"/>
      <c r="Y266" s="207">
        <f t="shared" si="9"/>
        <v>0</v>
      </c>
      <c r="Z266" s="207">
        <f t="shared" si="9"/>
        <v>0</v>
      </c>
      <c r="AA266" s="207">
        <f t="shared" si="10"/>
        <v>61.18043327331543</v>
      </c>
      <c r="AB266" s="207">
        <f t="shared" si="11"/>
        <v>47.812652587890625</v>
      </c>
    </row>
    <row r="267" spans="3:28">
      <c r="C267" s="27"/>
      <c r="Y267" s="207">
        <f t="shared" si="9"/>
        <v>0</v>
      </c>
      <c r="Z267" s="207">
        <f t="shared" si="9"/>
        <v>0</v>
      </c>
      <c r="AA267" s="207">
        <f t="shared" si="10"/>
        <v>61.18043327331543</v>
      </c>
      <c r="AB267" s="207">
        <f t="shared" si="11"/>
        <v>47.812652587890625</v>
      </c>
    </row>
    <row r="268" spans="3:28">
      <c r="C268" s="27"/>
      <c r="Y268" s="207">
        <f t="shared" si="9"/>
        <v>0</v>
      </c>
      <c r="Z268" s="207">
        <f t="shared" si="9"/>
        <v>0</v>
      </c>
      <c r="AA268" s="207">
        <f t="shared" si="10"/>
        <v>61.18043327331543</v>
      </c>
      <c r="AB268" s="207">
        <f t="shared" si="11"/>
        <v>47.812652587890625</v>
      </c>
    </row>
    <row r="269" spans="3:28">
      <c r="C269" s="27"/>
      <c r="Y269" s="207">
        <f t="shared" si="9"/>
        <v>0</v>
      </c>
      <c r="Z269" s="207">
        <f t="shared" si="9"/>
        <v>0</v>
      </c>
      <c r="AA269" s="207">
        <f t="shared" si="10"/>
        <v>61.18043327331543</v>
      </c>
      <c r="AB269" s="207">
        <f t="shared" si="11"/>
        <v>47.812652587890625</v>
      </c>
    </row>
    <row r="270" spans="3:28">
      <c r="C270" s="27"/>
      <c r="Y270" s="207">
        <f t="shared" si="9"/>
        <v>0</v>
      </c>
      <c r="Z270" s="207">
        <f t="shared" si="9"/>
        <v>0</v>
      </c>
      <c r="AA270" s="207">
        <f t="shared" si="10"/>
        <v>61.18043327331543</v>
      </c>
      <c r="AB270" s="207">
        <f t="shared" si="11"/>
        <v>47.812652587890625</v>
      </c>
    </row>
    <row r="271" spans="3:28">
      <c r="C271" s="27"/>
      <c r="Y271" s="207">
        <f t="shared" ref="Y271:Z334" si="12">B271</f>
        <v>0</v>
      </c>
      <c r="Z271" s="207">
        <f t="shared" si="12"/>
        <v>0</v>
      </c>
      <c r="AA271" s="207">
        <f t="shared" ref="AA271:AA334" si="13">I$26</f>
        <v>61.18043327331543</v>
      </c>
      <c r="AB271" s="207">
        <f t="shared" ref="AB271:AB334" si="14">I$23</f>
        <v>47.812652587890625</v>
      </c>
    </row>
    <row r="272" spans="3:28">
      <c r="C272" s="27"/>
      <c r="Y272" s="207">
        <f t="shared" si="12"/>
        <v>0</v>
      </c>
      <c r="Z272" s="207">
        <f t="shared" si="12"/>
        <v>0</v>
      </c>
      <c r="AA272" s="207">
        <f t="shared" si="13"/>
        <v>61.18043327331543</v>
      </c>
      <c r="AB272" s="207">
        <f t="shared" si="14"/>
        <v>47.812652587890625</v>
      </c>
    </row>
    <row r="273" spans="3:28">
      <c r="C273" s="27"/>
      <c r="Y273" s="207">
        <f t="shared" si="12"/>
        <v>0</v>
      </c>
      <c r="Z273" s="207">
        <f t="shared" si="12"/>
        <v>0</v>
      </c>
      <c r="AA273" s="207">
        <f t="shared" si="13"/>
        <v>61.18043327331543</v>
      </c>
      <c r="AB273" s="207">
        <f t="shared" si="14"/>
        <v>47.812652587890625</v>
      </c>
    </row>
    <row r="274" spans="3:28">
      <c r="C274" s="27"/>
      <c r="Y274" s="207">
        <f t="shared" si="12"/>
        <v>0</v>
      </c>
      <c r="Z274" s="207">
        <f t="shared" si="12"/>
        <v>0</v>
      </c>
      <c r="AA274" s="207">
        <f t="shared" si="13"/>
        <v>61.18043327331543</v>
      </c>
      <c r="AB274" s="207">
        <f t="shared" si="14"/>
        <v>47.812652587890625</v>
      </c>
    </row>
    <row r="275" spans="3:28">
      <c r="C275" s="27"/>
      <c r="Y275" s="207">
        <f t="shared" si="12"/>
        <v>0</v>
      </c>
      <c r="Z275" s="207">
        <f t="shared" si="12"/>
        <v>0</v>
      </c>
      <c r="AA275" s="207">
        <f t="shared" si="13"/>
        <v>61.18043327331543</v>
      </c>
      <c r="AB275" s="207">
        <f t="shared" si="14"/>
        <v>47.812652587890625</v>
      </c>
    </row>
    <row r="276" spans="3:28">
      <c r="C276" s="27"/>
      <c r="Y276" s="207">
        <f t="shared" si="12"/>
        <v>0</v>
      </c>
      <c r="Z276" s="207">
        <f t="shared" si="12"/>
        <v>0</v>
      </c>
      <c r="AA276" s="207">
        <f t="shared" si="13"/>
        <v>61.18043327331543</v>
      </c>
      <c r="AB276" s="207">
        <f t="shared" si="14"/>
        <v>47.812652587890625</v>
      </c>
    </row>
    <row r="277" spans="3:28">
      <c r="C277" s="27"/>
      <c r="Y277" s="207">
        <f t="shared" si="12"/>
        <v>0</v>
      </c>
      <c r="Z277" s="207">
        <f t="shared" si="12"/>
        <v>0</v>
      </c>
      <c r="AA277" s="207">
        <f t="shared" si="13"/>
        <v>61.18043327331543</v>
      </c>
      <c r="AB277" s="207">
        <f t="shared" si="14"/>
        <v>47.812652587890625</v>
      </c>
    </row>
    <row r="278" spans="3:28">
      <c r="C278" s="27"/>
      <c r="Y278" s="207">
        <f t="shared" si="12"/>
        <v>0</v>
      </c>
      <c r="Z278" s="207">
        <f t="shared" si="12"/>
        <v>0</v>
      </c>
      <c r="AA278" s="207">
        <f t="shared" si="13"/>
        <v>61.18043327331543</v>
      </c>
      <c r="AB278" s="207">
        <f t="shared" si="14"/>
        <v>47.812652587890625</v>
      </c>
    </row>
    <row r="279" spans="3:28">
      <c r="C279" s="27"/>
      <c r="Y279" s="207">
        <f t="shared" si="12"/>
        <v>0</v>
      </c>
      <c r="Z279" s="207">
        <f t="shared" si="12"/>
        <v>0</v>
      </c>
      <c r="AA279" s="207">
        <f t="shared" si="13"/>
        <v>61.18043327331543</v>
      </c>
      <c r="AB279" s="207">
        <f t="shared" si="14"/>
        <v>47.812652587890625</v>
      </c>
    </row>
    <row r="280" spans="3:28">
      <c r="C280" s="27"/>
      <c r="Y280" s="207">
        <f t="shared" si="12"/>
        <v>0</v>
      </c>
      <c r="Z280" s="207">
        <f t="shared" si="12"/>
        <v>0</v>
      </c>
      <c r="AA280" s="207">
        <f t="shared" si="13"/>
        <v>61.18043327331543</v>
      </c>
      <c r="AB280" s="207">
        <f t="shared" si="14"/>
        <v>47.812652587890625</v>
      </c>
    </row>
    <row r="281" spans="3:28">
      <c r="C281" s="27"/>
      <c r="Y281" s="207">
        <f t="shared" si="12"/>
        <v>0</v>
      </c>
      <c r="Z281" s="207">
        <f t="shared" si="12"/>
        <v>0</v>
      </c>
      <c r="AA281" s="207">
        <f t="shared" si="13"/>
        <v>61.18043327331543</v>
      </c>
      <c r="AB281" s="207">
        <f t="shared" si="14"/>
        <v>47.812652587890625</v>
      </c>
    </row>
    <row r="282" spans="3:28">
      <c r="C282" s="27"/>
      <c r="Y282" s="207">
        <f t="shared" si="12"/>
        <v>0</v>
      </c>
      <c r="Z282" s="207">
        <f t="shared" si="12"/>
        <v>0</v>
      </c>
      <c r="AA282" s="207">
        <f t="shared" si="13"/>
        <v>61.18043327331543</v>
      </c>
      <c r="AB282" s="207">
        <f t="shared" si="14"/>
        <v>47.812652587890625</v>
      </c>
    </row>
    <row r="283" spans="3:28">
      <c r="C283" s="27"/>
      <c r="Y283" s="207">
        <f t="shared" si="12"/>
        <v>0</v>
      </c>
      <c r="Z283" s="207">
        <f t="shared" si="12"/>
        <v>0</v>
      </c>
      <c r="AA283" s="207">
        <f t="shared" si="13"/>
        <v>61.18043327331543</v>
      </c>
      <c r="AB283" s="207">
        <f t="shared" si="14"/>
        <v>47.812652587890625</v>
      </c>
    </row>
    <row r="284" spans="3:28">
      <c r="C284" s="27"/>
      <c r="Y284" s="207">
        <f t="shared" si="12"/>
        <v>0</v>
      </c>
      <c r="Z284" s="207">
        <f t="shared" si="12"/>
        <v>0</v>
      </c>
      <c r="AA284" s="207">
        <f t="shared" si="13"/>
        <v>61.18043327331543</v>
      </c>
      <c r="AB284" s="207">
        <f t="shared" si="14"/>
        <v>47.812652587890625</v>
      </c>
    </row>
    <row r="285" spans="3:28">
      <c r="C285" s="27"/>
      <c r="Y285" s="207">
        <f t="shared" si="12"/>
        <v>0</v>
      </c>
      <c r="Z285" s="207">
        <f t="shared" si="12"/>
        <v>0</v>
      </c>
      <c r="AA285" s="207">
        <f t="shared" si="13"/>
        <v>61.18043327331543</v>
      </c>
      <c r="AB285" s="207">
        <f t="shared" si="14"/>
        <v>47.812652587890625</v>
      </c>
    </row>
    <row r="286" spans="3:28">
      <c r="C286" s="27"/>
      <c r="Y286" s="207">
        <f t="shared" si="12"/>
        <v>0</v>
      </c>
      <c r="Z286" s="207">
        <f t="shared" si="12"/>
        <v>0</v>
      </c>
      <c r="AA286" s="207">
        <f t="shared" si="13"/>
        <v>61.18043327331543</v>
      </c>
      <c r="AB286" s="207">
        <f t="shared" si="14"/>
        <v>47.812652587890625</v>
      </c>
    </row>
    <row r="287" spans="3:28">
      <c r="C287" s="27"/>
      <c r="Y287" s="207">
        <f t="shared" si="12"/>
        <v>0</v>
      </c>
      <c r="Z287" s="207">
        <f t="shared" si="12"/>
        <v>0</v>
      </c>
      <c r="AA287" s="207">
        <f t="shared" si="13"/>
        <v>61.18043327331543</v>
      </c>
      <c r="AB287" s="207">
        <f t="shared" si="14"/>
        <v>47.812652587890625</v>
      </c>
    </row>
    <row r="288" spans="3:28">
      <c r="C288" s="27"/>
      <c r="Y288" s="207">
        <f t="shared" si="12"/>
        <v>0</v>
      </c>
      <c r="Z288" s="207">
        <f t="shared" si="12"/>
        <v>0</v>
      </c>
      <c r="AA288" s="207">
        <f t="shared" si="13"/>
        <v>61.18043327331543</v>
      </c>
      <c r="AB288" s="207">
        <f t="shared" si="14"/>
        <v>47.812652587890625</v>
      </c>
    </row>
    <row r="289" spans="3:28">
      <c r="C289" s="27"/>
      <c r="Y289" s="207">
        <f t="shared" si="12"/>
        <v>0</v>
      </c>
      <c r="Z289" s="207">
        <f t="shared" si="12"/>
        <v>0</v>
      </c>
      <c r="AA289" s="207">
        <f t="shared" si="13"/>
        <v>61.18043327331543</v>
      </c>
      <c r="AB289" s="207">
        <f t="shared" si="14"/>
        <v>47.812652587890625</v>
      </c>
    </row>
    <row r="290" spans="3:28">
      <c r="C290" s="27"/>
      <c r="Y290" s="207">
        <f t="shared" si="12"/>
        <v>0</v>
      </c>
      <c r="Z290" s="207">
        <f t="shared" si="12"/>
        <v>0</v>
      </c>
      <c r="AA290" s="207">
        <f t="shared" si="13"/>
        <v>61.18043327331543</v>
      </c>
      <c r="AB290" s="207">
        <f t="shared" si="14"/>
        <v>47.812652587890625</v>
      </c>
    </row>
    <row r="291" spans="3:28">
      <c r="C291" s="27"/>
      <c r="Y291" s="207">
        <f t="shared" si="12"/>
        <v>0</v>
      </c>
      <c r="Z291" s="207">
        <f t="shared" si="12"/>
        <v>0</v>
      </c>
      <c r="AA291" s="207">
        <f t="shared" si="13"/>
        <v>61.18043327331543</v>
      </c>
      <c r="AB291" s="207">
        <f t="shared" si="14"/>
        <v>47.812652587890625</v>
      </c>
    </row>
    <row r="292" spans="3:28">
      <c r="C292" s="27"/>
      <c r="Y292" s="207">
        <f t="shared" si="12"/>
        <v>0</v>
      </c>
      <c r="Z292" s="207">
        <f t="shared" si="12"/>
        <v>0</v>
      </c>
      <c r="AA292" s="207">
        <f t="shared" si="13"/>
        <v>61.18043327331543</v>
      </c>
      <c r="AB292" s="207">
        <f t="shared" si="14"/>
        <v>47.812652587890625</v>
      </c>
    </row>
    <row r="293" spans="3:28">
      <c r="C293" s="27"/>
      <c r="Y293" s="207">
        <f t="shared" si="12"/>
        <v>0</v>
      </c>
      <c r="Z293" s="207">
        <f t="shared" si="12"/>
        <v>0</v>
      </c>
      <c r="AA293" s="207">
        <f t="shared" si="13"/>
        <v>61.18043327331543</v>
      </c>
      <c r="AB293" s="207">
        <f t="shared" si="14"/>
        <v>47.812652587890625</v>
      </c>
    </row>
    <row r="294" spans="3:28">
      <c r="C294" s="27"/>
      <c r="Y294" s="207">
        <f t="shared" si="12"/>
        <v>0</v>
      </c>
      <c r="Z294" s="207">
        <f t="shared" si="12"/>
        <v>0</v>
      </c>
      <c r="AA294" s="207">
        <f t="shared" si="13"/>
        <v>61.18043327331543</v>
      </c>
      <c r="AB294" s="207">
        <f t="shared" si="14"/>
        <v>47.812652587890625</v>
      </c>
    </row>
    <row r="295" spans="3:28">
      <c r="C295" s="27"/>
      <c r="Y295" s="207">
        <f t="shared" si="12"/>
        <v>0</v>
      </c>
      <c r="Z295" s="207">
        <f t="shared" si="12"/>
        <v>0</v>
      </c>
      <c r="AA295" s="207">
        <f t="shared" si="13"/>
        <v>61.18043327331543</v>
      </c>
      <c r="AB295" s="207">
        <f t="shared" si="14"/>
        <v>47.812652587890625</v>
      </c>
    </row>
    <row r="296" spans="3:28">
      <c r="C296" s="27"/>
      <c r="Y296" s="207">
        <f t="shared" si="12"/>
        <v>0</v>
      </c>
      <c r="Z296" s="207">
        <f t="shared" si="12"/>
        <v>0</v>
      </c>
      <c r="AA296" s="207">
        <f t="shared" si="13"/>
        <v>61.18043327331543</v>
      </c>
      <c r="AB296" s="207">
        <f t="shared" si="14"/>
        <v>47.812652587890625</v>
      </c>
    </row>
    <row r="297" spans="3:28">
      <c r="C297" s="27"/>
      <c r="Y297" s="207">
        <f t="shared" si="12"/>
        <v>0</v>
      </c>
      <c r="Z297" s="207">
        <f t="shared" si="12"/>
        <v>0</v>
      </c>
      <c r="AA297" s="207">
        <f t="shared" si="13"/>
        <v>61.18043327331543</v>
      </c>
      <c r="AB297" s="207">
        <f t="shared" si="14"/>
        <v>47.812652587890625</v>
      </c>
    </row>
    <row r="298" spans="3:28">
      <c r="C298" s="27"/>
      <c r="Y298" s="207">
        <f t="shared" si="12"/>
        <v>0</v>
      </c>
      <c r="Z298" s="207">
        <f t="shared" si="12"/>
        <v>0</v>
      </c>
      <c r="AA298" s="207">
        <f t="shared" si="13"/>
        <v>61.18043327331543</v>
      </c>
      <c r="AB298" s="207">
        <f t="shared" si="14"/>
        <v>47.812652587890625</v>
      </c>
    </row>
    <row r="299" spans="3:28">
      <c r="C299" s="27"/>
      <c r="Y299" s="207">
        <f t="shared" si="12"/>
        <v>0</v>
      </c>
      <c r="Z299" s="207">
        <f t="shared" si="12"/>
        <v>0</v>
      </c>
      <c r="AA299" s="207">
        <f t="shared" si="13"/>
        <v>61.18043327331543</v>
      </c>
      <c r="AB299" s="207">
        <f t="shared" si="14"/>
        <v>47.812652587890625</v>
      </c>
    </row>
    <row r="300" spans="3:28">
      <c r="C300" s="27"/>
      <c r="Y300" s="207">
        <f t="shared" si="12"/>
        <v>0</v>
      </c>
      <c r="Z300" s="207">
        <f t="shared" si="12"/>
        <v>0</v>
      </c>
      <c r="AA300" s="207">
        <f t="shared" si="13"/>
        <v>61.18043327331543</v>
      </c>
      <c r="AB300" s="207">
        <f t="shared" si="14"/>
        <v>47.812652587890625</v>
      </c>
    </row>
    <row r="301" spans="3:28">
      <c r="C301" s="27"/>
      <c r="Y301" s="207">
        <f t="shared" si="12"/>
        <v>0</v>
      </c>
      <c r="Z301" s="207">
        <f t="shared" si="12"/>
        <v>0</v>
      </c>
      <c r="AA301" s="207">
        <f t="shared" si="13"/>
        <v>61.18043327331543</v>
      </c>
      <c r="AB301" s="207">
        <f t="shared" si="14"/>
        <v>47.812652587890625</v>
      </c>
    </row>
    <row r="302" spans="3:28">
      <c r="C302" s="27"/>
      <c r="Y302" s="207">
        <f t="shared" si="12"/>
        <v>0</v>
      </c>
      <c r="Z302" s="207">
        <f t="shared" si="12"/>
        <v>0</v>
      </c>
      <c r="AA302" s="207">
        <f t="shared" si="13"/>
        <v>61.18043327331543</v>
      </c>
      <c r="AB302" s="207">
        <f t="shared" si="14"/>
        <v>47.812652587890625</v>
      </c>
    </row>
    <row r="303" spans="3:28">
      <c r="C303" s="27"/>
      <c r="Y303" s="207">
        <f t="shared" si="12"/>
        <v>0</v>
      </c>
      <c r="Z303" s="207">
        <f t="shared" si="12"/>
        <v>0</v>
      </c>
      <c r="AA303" s="207">
        <f t="shared" si="13"/>
        <v>61.18043327331543</v>
      </c>
      <c r="AB303" s="207">
        <f t="shared" si="14"/>
        <v>47.812652587890625</v>
      </c>
    </row>
    <row r="304" spans="3:28">
      <c r="C304" s="27"/>
      <c r="Y304" s="207">
        <f t="shared" si="12"/>
        <v>0</v>
      </c>
      <c r="Z304" s="207">
        <f t="shared" si="12"/>
        <v>0</v>
      </c>
      <c r="AA304" s="207">
        <f t="shared" si="13"/>
        <v>61.18043327331543</v>
      </c>
      <c r="AB304" s="207">
        <f t="shared" si="14"/>
        <v>47.812652587890625</v>
      </c>
    </row>
    <row r="305" spans="3:28">
      <c r="C305" s="27"/>
      <c r="Y305" s="207">
        <f t="shared" si="12"/>
        <v>0</v>
      </c>
      <c r="Z305" s="207">
        <f t="shared" si="12"/>
        <v>0</v>
      </c>
      <c r="AA305" s="207">
        <f t="shared" si="13"/>
        <v>61.18043327331543</v>
      </c>
      <c r="AB305" s="207">
        <f t="shared" si="14"/>
        <v>47.812652587890625</v>
      </c>
    </row>
    <row r="306" spans="3:28">
      <c r="C306" s="27"/>
      <c r="Y306" s="207">
        <f t="shared" si="12"/>
        <v>0</v>
      </c>
      <c r="Z306" s="207">
        <f t="shared" si="12"/>
        <v>0</v>
      </c>
      <c r="AA306" s="207">
        <f t="shared" si="13"/>
        <v>61.18043327331543</v>
      </c>
      <c r="AB306" s="207">
        <f t="shared" si="14"/>
        <v>47.812652587890625</v>
      </c>
    </row>
    <row r="307" spans="3:28">
      <c r="C307" s="27"/>
      <c r="Y307" s="207">
        <f t="shared" si="12"/>
        <v>0</v>
      </c>
      <c r="Z307" s="207">
        <f t="shared" si="12"/>
        <v>0</v>
      </c>
      <c r="AA307" s="207">
        <f t="shared" si="13"/>
        <v>61.18043327331543</v>
      </c>
      <c r="AB307" s="207">
        <f t="shared" si="14"/>
        <v>47.812652587890625</v>
      </c>
    </row>
    <row r="308" spans="3:28">
      <c r="C308" s="27"/>
      <c r="Y308" s="207">
        <f t="shared" si="12"/>
        <v>0</v>
      </c>
      <c r="Z308" s="207">
        <f t="shared" si="12"/>
        <v>0</v>
      </c>
      <c r="AA308" s="207">
        <f t="shared" si="13"/>
        <v>61.18043327331543</v>
      </c>
      <c r="AB308" s="207">
        <f t="shared" si="14"/>
        <v>47.812652587890625</v>
      </c>
    </row>
    <row r="309" spans="3:28">
      <c r="C309" s="27"/>
      <c r="Y309" s="207">
        <f t="shared" si="12"/>
        <v>0</v>
      </c>
      <c r="Z309" s="207">
        <f t="shared" si="12"/>
        <v>0</v>
      </c>
      <c r="AA309" s="207">
        <f t="shared" si="13"/>
        <v>61.18043327331543</v>
      </c>
      <c r="AB309" s="207">
        <f t="shared" si="14"/>
        <v>47.812652587890625</v>
      </c>
    </row>
    <row r="310" spans="3:28">
      <c r="C310" s="27"/>
      <c r="Y310" s="207">
        <f t="shared" si="12"/>
        <v>0</v>
      </c>
      <c r="Z310" s="207">
        <f t="shared" si="12"/>
        <v>0</v>
      </c>
      <c r="AA310" s="207">
        <f t="shared" si="13"/>
        <v>61.18043327331543</v>
      </c>
      <c r="AB310" s="207">
        <f t="shared" si="14"/>
        <v>47.812652587890625</v>
      </c>
    </row>
    <row r="311" spans="3:28">
      <c r="C311" s="27"/>
      <c r="Y311" s="207">
        <f t="shared" si="12"/>
        <v>0</v>
      </c>
      <c r="Z311" s="207">
        <f t="shared" si="12"/>
        <v>0</v>
      </c>
      <c r="AA311" s="207">
        <f t="shared" si="13"/>
        <v>61.18043327331543</v>
      </c>
      <c r="AB311" s="207">
        <f t="shared" si="14"/>
        <v>47.812652587890625</v>
      </c>
    </row>
    <row r="312" spans="3:28">
      <c r="C312" s="27"/>
      <c r="Y312" s="207">
        <f t="shared" si="12"/>
        <v>0</v>
      </c>
      <c r="Z312" s="207">
        <f t="shared" si="12"/>
        <v>0</v>
      </c>
      <c r="AA312" s="207">
        <f t="shared" si="13"/>
        <v>61.18043327331543</v>
      </c>
      <c r="AB312" s="207">
        <f t="shared" si="14"/>
        <v>47.812652587890625</v>
      </c>
    </row>
    <row r="313" spans="3:28">
      <c r="C313" s="27"/>
      <c r="Y313" s="207">
        <f t="shared" si="12"/>
        <v>0</v>
      </c>
      <c r="Z313" s="207">
        <f t="shared" si="12"/>
        <v>0</v>
      </c>
      <c r="AA313" s="207">
        <f t="shared" si="13"/>
        <v>61.18043327331543</v>
      </c>
      <c r="AB313" s="207">
        <f t="shared" si="14"/>
        <v>47.812652587890625</v>
      </c>
    </row>
    <row r="314" spans="3:28">
      <c r="C314" s="27"/>
      <c r="Y314" s="207">
        <f t="shared" si="12"/>
        <v>0</v>
      </c>
      <c r="Z314" s="207">
        <f t="shared" si="12"/>
        <v>0</v>
      </c>
      <c r="AA314" s="207">
        <f t="shared" si="13"/>
        <v>61.18043327331543</v>
      </c>
      <c r="AB314" s="207">
        <f t="shared" si="14"/>
        <v>47.812652587890625</v>
      </c>
    </row>
    <row r="315" spans="3:28">
      <c r="C315" s="27"/>
      <c r="Y315" s="207">
        <f t="shared" si="12"/>
        <v>0</v>
      </c>
      <c r="Z315" s="207">
        <f t="shared" si="12"/>
        <v>0</v>
      </c>
      <c r="AA315" s="207">
        <f t="shared" si="13"/>
        <v>61.18043327331543</v>
      </c>
      <c r="AB315" s="207">
        <f t="shared" si="14"/>
        <v>47.812652587890625</v>
      </c>
    </row>
    <row r="316" spans="3:28">
      <c r="C316" s="27"/>
      <c r="Y316" s="207">
        <f t="shared" si="12"/>
        <v>0</v>
      </c>
      <c r="Z316" s="207">
        <f t="shared" si="12"/>
        <v>0</v>
      </c>
      <c r="AA316" s="207">
        <f t="shared" si="13"/>
        <v>61.18043327331543</v>
      </c>
      <c r="AB316" s="207">
        <f t="shared" si="14"/>
        <v>47.812652587890625</v>
      </c>
    </row>
    <row r="317" spans="3:28">
      <c r="C317" s="27"/>
      <c r="Y317" s="207">
        <f t="shared" si="12"/>
        <v>0</v>
      </c>
      <c r="Z317" s="207">
        <f t="shared" si="12"/>
        <v>0</v>
      </c>
      <c r="AA317" s="207">
        <f t="shared" si="13"/>
        <v>61.18043327331543</v>
      </c>
      <c r="AB317" s="207">
        <f t="shared" si="14"/>
        <v>47.812652587890625</v>
      </c>
    </row>
    <row r="318" spans="3:28">
      <c r="C318" s="27"/>
      <c r="Y318" s="207">
        <f t="shared" si="12"/>
        <v>0</v>
      </c>
      <c r="Z318" s="207">
        <f t="shared" si="12"/>
        <v>0</v>
      </c>
      <c r="AA318" s="207">
        <f t="shared" si="13"/>
        <v>61.18043327331543</v>
      </c>
      <c r="AB318" s="207">
        <f t="shared" si="14"/>
        <v>47.812652587890625</v>
      </c>
    </row>
    <row r="319" spans="3:28">
      <c r="C319" s="27"/>
      <c r="Y319" s="207">
        <f t="shared" si="12"/>
        <v>0</v>
      </c>
      <c r="Z319" s="207">
        <f t="shared" si="12"/>
        <v>0</v>
      </c>
      <c r="AA319" s="207">
        <f t="shared" si="13"/>
        <v>61.18043327331543</v>
      </c>
      <c r="AB319" s="207">
        <f t="shared" si="14"/>
        <v>47.812652587890625</v>
      </c>
    </row>
    <row r="320" spans="3:28">
      <c r="C320" s="27"/>
      <c r="Y320" s="207">
        <f t="shared" si="12"/>
        <v>0</v>
      </c>
      <c r="Z320" s="207">
        <f t="shared" si="12"/>
        <v>0</v>
      </c>
      <c r="AA320" s="207">
        <f t="shared" si="13"/>
        <v>61.18043327331543</v>
      </c>
      <c r="AB320" s="207">
        <f t="shared" si="14"/>
        <v>47.812652587890625</v>
      </c>
    </row>
    <row r="321" spans="3:28">
      <c r="C321" s="27"/>
      <c r="Y321" s="207">
        <f t="shared" si="12"/>
        <v>0</v>
      </c>
      <c r="Z321" s="207">
        <f t="shared" si="12"/>
        <v>0</v>
      </c>
      <c r="AA321" s="207">
        <f t="shared" si="13"/>
        <v>61.18043327331543</v>
      </c>
      <c r="AB321" s="207">
        <f t="shared" si="14"/>
        <v>47.812652587890625</v>
      </c>
    </row>
    <row r="322" spans="3:28">
      <c r="C322" s="27"/>
      <c r="Y322" s="207">
        <f t="shared" si="12"/>
        <v>0</v>
      </c>
      <c r="Z322" s="207">
        <f t="shared" si="12"/>
        <v>0</v>
      </c>
      <c r="AA322" s="207">
        <f t="shared" si="13"/>
        <v>61.18043327331543</v>
      </c>
      <c r="AB322" s="207">
        <f t="shared" si="14"/>
        <v>47.812652587890625</v>
      </c>
    </row>
    <row r="323" spans="3:28">
      <c r="C323" s="27"/>
      <c r="Y323" s="207">
        <f t="shared" si="12"/>
        <v>0</v>
      </c>
      <c r="Z323" s="207">
        <f t="shared" si="12"/>
        <v>0</v>
      </c>
      <c r="AA323" s="207">
        <f t="shared" si="13"/>
        <v>61.18043327331543</v>
      </c>
      <c r="AB323" s="207">
        <f t="shared" si="14"/>
        <v>47.812652587890625</v>
      </c>
    </row>
    <row r="324" spans="3:28">
      <c r="C324" s="27"/>
      <c r="Y324" s="207">
        <f t="shared" si="12"/>
        <v>0</v>
      </c>
      <c r="Z324" s="207">
        <f t="shared" si="12"/>
        <v>0</v>
      </c>
      <c r="AA324" s="207">
        <f t="shared" si="13"/>
        <v>61.18043327331543</v>
      </c>
      <c r="AB324" s="207">
        <f t="shared" si="14"/>
        <v>47.812652587890625</v>
      </c>
    </row>
    <row r="325" spans="3:28">
      <c r="C325" s="27"/>
      <c r="Y325" s="207">
        <f t="shared" si="12"/>
        <v>0</v>
      </c>
      <c r="Z325" s="207">
        <f t="shared" si="12"/>
        <v>0</v>
      </c>
      <c r="AA325" s="207">
        <f t="shared" si="13"/>
        <v>61.18043327331543</v>
      </c>
      <c r="AB325" s="207">
        <f t="shared" si="14"/>
        <v>47.812652587890625</v>
      </c>
    </row>
    <row r="326" spans="3:28">
      <c r="C326" s="27"/>
      <c r="Y326" s="207">
        <f t="shared" si="12"/>
        <v>0</v>
      </c>
      <c r="Z326" s="207">
        <f t="shared" si="12"/>
        <v>0</v>
      </c>
      <c r="AA326" s="207">
        <f t="shared" si="13"/>
        <v>61.18043327331543</v>
      </c>
      <c r="AB326" s="207">
        <f t="shared" si="14"/>
        <v>47.812652587890625</v>
      </c>
    </row>
    <row r="327" spans="3:28">
      <c r="C327" s="27"/>
      <c r="Y327" s="207">
        <f t="shared" si="12"/>
        <v>0</v>
      </c>
      <c r="Z327" s="207">
        <f t="shared" si="12"/>
        <v>0</v>
      </c>
      <c r="AA327" s="207">
        <f t="shared" si="13"/>
        <v>61.18043327331543</v>
      </c>
      <c r="AB327" s="207">
        <f t="shared" si="14"/>
        <v>47.812652587890625</v>
      </c>
    </row>
    <row r="328" spans="3:28">
      <c r="C328" s="27"/>
      <c r="Y328" s="207">
        <f t="shared" si="12"/>
        <v>0</v>
      </c>
      <c r="Z328" s="207">
        <f t="shared" si="12"/>
        <v>0</v>
      </c>
      <c r="AA328" s="207">
        <f t="shared" si="13"/>
        <v>61.18043327331543</v>
      </c>
      <c r="AB328" s="207">
        <f t="shared" si="14"/>
        <v>47.812652587890625</v>
      </c>
    </row>
    <row r="329" spans="3:28">
      <c r="C329" s="27"/>
      <c r="Y329" s="207">
        <f t="shared" si="12"/>
        <v>0</v>
      </c>
      <c r="Z329" s="207">
        <f t="shared" si="12"/>
        <v>0</v>
      </c>
      <c r="AA329" s="207">
        <f t="shared" si="13"/>
        <v>61.18043327331543</v>
      </c>
      <c r="AB329" s="207">
        <f t="shared" si="14"/>
        <v>47.812652587890625</v>
      </c>
    </row>
    <row r="330" spans="3:28">
      <c r="C330" s="27"/>
      <c r="Y330" s="207">
        <f t="shared" si="12"/>
        <v>0</v>
      </c>
      <c r="Z330" s="207">
        <f t="shared" si="12"/>
        <v>0</v>
      </c>
      <c r="AA330" s="207">
        <f t="shared" si="13"/>
        <v>61.18043327331543</v>
      </c>
      <c r="AB330" s="207">
        <f t="shared" si="14"/>
        <v>47.812652587890625</v>
      </c>
    </row>
    <row r="331" spans="3:28">
      <c r="C331" s="27"/>
      <c r="Y331" s="207">
        <f t="shared" si="12"/>
        <v>0</v>
      </c>
      <c r="Z331" s="207">
        <f t="shared" si="12"/>
        <v>0</v>
      </c>
      <c r="AA331" s="207">
        <f t="shared" si="13"/>
        <v>61.18043327331543</v>
      </c>
      <c r="AB331" s="207">
        <f t="shared" si="14"/>
        <v>47.812652587890625</v>
      </c>
    </row>
    <row r="332" spans="3:28">
      <c r="C332" s="27"/>
      <c r="Y332" s="207">
        <f t="shared" si="12"/>
        <v>0</v>
      </c>
      <c r="Z332" s="207">
        <f t="shared" si="12"/>
        <v>0</v>
      </c>
      <c r="AA332" s="207">
        <f t="shared" si="13"/>
        <v>61.18043327331543</v>
      </c>
      <c r="AB332" s="207">
        <f t="shared" si="14"/>
        <v>47.812652587890625</v>
      </c>
    </row>
    <row r="333" spans="3:28">
      <c r="C333" s="27"/>
      <c r="Y333" s="207">
        <f t="shared" si="12"/>
        <v>0</v>
      </c>
      <c r="Z333" s="207">
        <f t="shared" si="12"/>
        <v>0</v>
      </c>
      <c r="AA333" s="207">
        <f t="shared" si="13"/>
        <v>61.18043327331543</v>
      </c>
      <c r="AB333" s="207">
        <f t="shared" si="14"/>
        <v>47.812652587890625</v>
      </c>
    </row>
    <row r="334" spans="3:28">
      <c r="C334" s="27"/>
      <c r="Y334" s="207">
        <f t="shared" si="12"/>
        <v>0</v>
      </c>
      <c r="Z334" s="207">
        <f t="shared" si="12"/>
        <v>0</v>
      </c>
      <c r="AA334" s="207">
        <f t="shared" si="13"/>
        <v>61.18043327331543</v>
      </c>
      <c r="AB334" s="207">
        <f t="shared" si="14"/>
        <v>47.812652587890625</v>
      </c>
    </row>
    <row r="335" spans="3:28">
      <c r="C335" s="27"/>
      <c r="Y335" s="207">
        <f t="shared" ref="Y335:Z398" si="15">B335</f>
        <v>0</v>
      </c>
      <c r="Z335" s="207">
        <f t="shared" si="15"/>
        <v>0</v>
      </c>
      <c r="AA335" s="207">
        <f t="shared" ref="AA335:AA398" si="16">I$26</f>
        <v>61.18043327331543</v>
      </c>
      <c r="AB335" s="207">
        <f t="shared" ref="AB335:AB398" si="17">I$23</f>
        <v>47.812652587890625</v>
      </c>
    </row>
    <row r="336" spans="3:28">
      <c r="C336" s="27"/>
      <c r="Y336" s="207">
        <f t="shared" si="15"/>
        <v>0</v>
      </c>
      <c r="Z336" s="207">
        <f t="shared" si="15"/>
        <v>0</v>
      </c>
      <c r="AA336" s="207">
        <f t="shared" si="16"/>
        <v>61.18043327331543</v>
      </c>
      <c r="AB336" s="207">
        <f t="shared" si="17"/>
        <v>47.812652587890625</v>
      </c>
    </row>
    <row r="337" spans="3:28">
      <c r="C337" s="27"/>
      <c r="Y337" s="207">
        <f t="shared" si="15"/>
        <v>0</v>
      </c>
      <c r="Z337" s="207">
        <f t="shared" si="15"/>
        <v>0</v>
      </c>
      <c r="AA337" s="207">
        <f t="shared" si="16"/>
        <v>61.18043327331543</v>
      </c>
      <c r="AB337" s="207">
        <f t="shared" si="17"/>
        <v>47.812652587890625</v>
      </c>
    </row>
    <row r="338" spans="3:28">
      <c r="C338" s="27"/>
      <c r="Y338" s="207">
        <f t="shared" si="15"/>
        <v>0</v>
      </c>
      <c r="Z338" s="207">
        <f t="shared" si="15"/>
        <v>0</v>
      </c>
      <c r="AA338" s="207">
        <f t="shared" si="16"/>
        <v>61.18043327331543</v>
      </c>
      <c r="AB338" s="207">
        <f t="shared" si="17"/>
        <v>47.812652587890625</v>
      </c>
    </row>
    <row r="339" spans="3:28">
      <c r="C339" s="27"/>
      <c r="Y339" s="207">
        <f t="shared" si="15"/>
        <v>0</v>
      </c>
      <c r="Z339" s="207">
        <f t="shared" si="15"/>
        <v>0</v>
      </c>
      <c r="AA339" s="207">
        <f t="shared" si="16"/>
        <v>61.18043327331543</v>
      </c>
      <c r="AB339" s="207">
        <f t="shared" si="17"/>
        <v>47.812652587890625</v>
      </c>
    </row>
    <row r="340" spans="3:28">
      <c r="C340" s="27"/>
      <c r="Y340" s="207">
        <f t="shared" si="15"/>
        <v>0</v>
      </c>
      <c r="Z340" s="207">
        <f t="shared" si="15"/>
        <v>0</v>
      </c>
      <c r="AA340" s="207">
        <f t="shared" si="16"/>
        <v>61.18043327331543</v>
      </c>
      <c r="AB340" s="207">
        <f t="shared" si="17"/>
        <v>47.812652587890625</v>
      </c>
    </row>
    <row r="341" spans="3:28">
      <c r="C341" s="27"/>
      <c r="Y341" s="207">
        <f t="shared" si="15"/>
        <v>0</v>
      </c>
      <c r="Z341" s="207">
        <f t="shared" si="15"/>
        <v>0</v>
      </c>
      <c r="AA341" s="207">
        <f t="shared" si="16"/>
        <v>61.18043327331543</v>
      </c>
      <c r="AB341" s="207">
        <f t="shared" si="17"/>
        <v>47.812652587890625</v>
      </c>
    </row>
    <row r="342" spans="3:28">
      <c r="C342" s="27"/>
      <c r="Y342" s="207">
        <f t="shared" si="15"/>
        <v>0</v>
      </c>
      <c r="Z342" s="207">
        <f t="shared" si="15"/>
        <v>0</v>
      </c>
      <c r="AA342" s="207">
        <f t="shared" si="16"/>
        <v>61.18043327331543</v>
      </c>
      <c r="AB342" s="207">
        <f t="shared" si="17"/>
        <v>47.812652587890625</v>
      </c>
    </row>
    <row r="343" spans="3:28">
      <c r="C343" s="27"/>
      <c r="Y343" s="207">
        <f t="shared" si="15"/>
        <v>0</v>
      </c>
      <c r="Z343" s="207">
        <f t="shared" si="15"/>
        <v>0</v>
      </c>
      <c r="AA343" s="207">
        <f t="shared" si="16"/>
        <v>61.18043327331543</v>
      </c>
      <c r="AB343" s="207">
        <f t="shared" si="17"/>
        <v>47.812652587890625</v>
      </c>
    </row>
    <row r="344" spans="3:28">
      <c r="C344" s="27"/>
      <c r="Y344" s="207">
        <f t="shared" si="15"/>
        <v>0</v>
      </c>
      <c r="Z344" s="207">
        <f t="shared" si="15"/>
        <v>0</v>
      </c>
      <c r="AA344" s="207">
        <f t="shared" si="16"/>
        <v>61.18043327331543</v>
      </c>
      <c r="AB344" s="207">
        <f t="shared" si="17"/>
        <v>47.812652587890625</v>
      </c>
    </row>
    <row r="345" spans="3:28">
      <c r="C345" s="27"/>
      <c r="Y345" s="207">
        <f t="shared" si="15"/>
        <v>0</v>
      </c>
      <c r="Z345" s="207">
        <f t="shared" si="15"/>
        <v>0</v>
      </c>
      <c r="AA345" s="207">
        <f t="shared" si="16"/>
        <v>61.18043327331543</v>
      </c>
      <c r="AB345" s="207">
        <f t="shared" si="17"/>
        <v>47.812652587890625</v>
      </c>
    </row>
    <row r="346" spans="3:28">
      <c r="C346" s="27"/>
      <c r="Y346" s="207">
        <f t="shared" si="15"/>
        <v>0</v>
      </c>
      <c r="Z346" s="207">
        <f t="shared" si="15"/>
        <v>0</v>
      </c>
      <c r="AA346" s="207">
        <f t="shared" si="16"/>
        <v>61.18043327331543</v>
      </c>
      <c r="AB346" s="207">
        <f t="shared" si="17"/>
        <v>47.812652587890625</v>
      </c>
    </row>
    <row r="347" spans="3:28">
      <c r="C347" s="27"/>
      <c r="Y347" s="207">
        <f t="shared" si="15"/>
        <v>0</v>
      </c>
      <c r="Z347" s="207">
        <f t="shared" si="15"/>
        <v>0</v>
      </c>
      <c r="AA347" s="207">
        <f t="shared" si="16"/>
        <v>61.18043327331543</v>
      </c>
      <c r="AB347" s="207">
        <f t="shared" si="17"/>
        <v>47.812652587890625</v>
      </c>
    </row>
    <row r="348" spans="3:28">
      <c r="C348" s="27"/>
      <c r="Y348" s="207">
        <f t="shared" si="15"/>
        <v>0</v>
      </c>
      <c r="Z348" s="207">
        <f t="shared" si="15"/>
        <v>0</v>
      </c>
      <c r="AA348" s="207">
        <f t="shared" si="16"/>
        <v>61.18043327331543</v>
      </c>
      <c r="AB348" s="207">
        <f t="shared" si="17"/>
        <v>47.812652587890625</v>
      </c>
    </row>
    <row r="349" spans="3:28">
      <c r="C349" s="27"/>
      <c r="Y349" s="207">
        <f t="shared" si="15"/>
        <v>0</v>
      </c>
      <c r="Z349" s="207">
        <f t="shared" si="15"/>
        <v>0</v>
      </c>
      <c r="AA349" s="207">
        <f t="shared" si="16"/>
        <v>61.18043327331543</v>
      </c>
      <c r="AB349" s="207">
        <f t="shared" si="17"/>
        <v>47.812652587890625</v>
      </c>
    </row>
    <row r="350" spans="3:28">
      <c r="C350" s="27"/>
      <c r="Y350" s="207">
        <f t="shared" si="15"/>
        <v>0</v>
      </c>
      <c r="Z350" s="207">
        <f t="shared" si="15"/>
        <v>0</v>
      </c>
      <c r="AA350" s="207">
        <f t="shared" si="16"/>
        <v>61.18043327331543</v>
      </c>
      <c r="AB350" s="207">
        <f t="shared" si="17"/>
        <v>47.812652587890625</v>
      </c>
    </row>
    <row r="351" spans="3:28">
      <c r="C351" s="27"/>
      <c r="Y351" s="207">
        <f t="shared" si="15"/>
        <v>0</v>
      </c>
      <c r="Z351" s="207">
        <f t="shared" si="15"/>
        <v>0</v>
      </c>
      <c r="AA351" s="207">
        <f t="shared" si="16"/>
        <v>61.18043327331543</v>
      </c>
      <c r="AB351" s="207">
        <f t="shared" si="17"/>
        <v>47.812652587890625</v>
      </c>
    </row>
    <row r="352" spans="3:28">
      <c r="C352" s="27"/>
      <c r="Y352" s="207">
        <f t="shared" si="15"/>
        <v>0</v>
      </c>
      <c r="Z352" s="207">
        <f t="shared" si="15"/>
        <v>0</v>
      </c>
      <c r="AA352" s="207">
        <f t="shared" si="16"/>
        <v>61.18043327331543</v>
      </c>
      <c r="AB352" s="207">
        <f t="shared" si="17"/>
        <v>47.812652587890625</v>
      </c>
    </row>
    <row r="353" spans="3:28">
      <c r="C353" s="27"/>
      <c r="Y353" s="207">
        <f t="shared" si="15"/>
        <v>0</v>
      </c>
      <c r="Z353" s="207">
        <f t="shared" si="15"/>
        <v>0</v>
      </c>
      <c r="AA353" s="207">
        <f t="shared" si="16"/>
        <v>61.18043327331543</v>
      </c>
      <c r="AB353" s="207">
        <f t="shared" si="17"/>
        <v>47.812652587890625</v>
      </c>
    </row>
    <row r="354" spans="3:28">
      <c r="C354" s="27"/>
      <c r="Y354" s="207">
        <f t="shared" si="15"/>
        <v>0</v>
      </c>
      <c r="Z354" s="207">
        <f t="shared" si="15"/>
        <v>0</v>
      </c>
      <c r="AA354" s="207">
        <f t="shared" si="16"/>
        <v>61.18043327331543</v>
      </c>
      <c r="AB354" s="207">
        <f t="shared" si="17"/>
        <v>47.812652587890625</v>
      </c>
    </row>
    <row r="355" spans="3:28">
      <c r="C355" s="27"/>
      <c r="Y355" s="207">
        <f t="shared" si="15"/>
        <v>0</v>
      </c>
      <c r="Z355" s="207">
        <f t="shared" si="15"/>
        <v>0</v>
      </c>
      <c r="AA355" s="207">
        <f t="shared" si="16"/>
        <v>61.18043327331543</v>
      </c>
      <c r="AB355" s="207">
        <f t="shared" si="17"/>
        <v>47.812652587890625</v>
      </c>
    </row>
    <row r="356" spans="3:28">
      <c r="C356" s="27"/>
      <c r="Y356" s="207">
        <f t="shared" si="15"/>
        <v>0</v>
      </c>
      <c r="Z356" s="207">
        <f t="shared" si="15"/>
        <v>0</v>
      </c>
      <c r="AA356" s="207">
        <f t="shared" si="16"/>
        <v>61.18043327331543</v>
      </c>
      <c r="AB356" s="207">
        <f t="shared" si="17"/>
        <v>47.812652587890625</v>
      </c>
    </row>
    <row r="357" spans="3:28">
      <c r="C357" s="27"/>
      <c r="Y357" s="207">
        <f t="shared" si="15"/>
        <v>0</v>
      </c>
      <c r="Z357" s="207">
        <f t="shared" si="15"/>
        <v>0</v>
      </c>
      <c r="AA357" s="207">
        <f t="shared" si="16"/>
        <v>61.18043327331543</v>
      </c>
      <c r="AB357" s="207">
        <f t="shared" si="17"/>
        <v>47.812652587890625</v>
      </c>
    </row>
    <row r="358" spans="3:28">
      <c r="C358" s="27"/>
      <c r="Y358" s="207">
        <f t="shared" si="15"/>
        <v>0</v>
      </c>
      <c r="Z358" s="207">
        <f t="shared" si="15"/>
        <v>0</v>
      </c>
      <c r="AA358" s="207">
        <f t="shared" si="16"/>
        <v>61.18043327331543</v>
      </c>
      <c r="AB358" s="207">
        <f t="shared" si="17"/>
        <v>47.812652587890625</v>
      </c>
    </row>
    <row r="359" spans="3:28">
      <c r="C359" s="27"/>
      <c r="Y359" s="207">
        <f t="shared" si="15"/>
        <v>0</v>
      </c>
      <c r="Z359" s="207">
        <f t="shared" si="15"/>
        <v>0</v>
      </c>
      <c r="AA359" s="207">
        <f t="shared" si="16"/>
        <v>61.18043327331543</v>
      </c>
      <c r="AB359" s="207">
        <f t="shared" si="17"/>
        <v>47.812652587890625</v>
      </c>
    </row>
    <row r="360" spans="3:28">
      <c r="C360" s="27"/>
      <c r="Y360" s="207">
        <f t="shared" si="15"/>
        <v>0</v>
      </c>
      <c r="Z360" s="207">
        <f t="shared" si="15"/>
        <v>0</v>
      </c>
      <c r="AA360" s="207">
        <f t="shared" si="16"/>
        <v>61.18043327331543</v>
      </c>
      <c r="AB360" s="207">
        <f t="shared" si="17"/>
        <v>47.812652587890625</v>
      </c>
    </row>
    <row r="361" spans="3:28">
      <c r="C361" s="27"/>
      <c r="Y361" s="207">
        <f t="shared" si="15"/>
        <v>0</v>
      </c>
      <c r="Z361" s="207">
        <f t="shared" si="15"/>
        <v>0</v>
      </c>
      <c r="AA361" s="207">
        <f t="shared" si="16"/>
        <v>61.18043327331543</v>
      </c>
      <c r="AB361" s="207">
        <f t="shared" si="17"/>
        <v>47.812652587890625</v>
      </c>
    </row>
    <row r="362" spans="3:28">
      <c r="C362" s="27"/>
      <c r="Y362" s="207">
        <f t="shared" si="15"/>
        <v>0</v>
      </c>
      <c r="Z362" s="207">
        <f t="shared" si="15"/>
        <v>0</v>
      </c>
      <c r="AA362" s="207">
        <f t="shared" si="16"/>
        <v>61.18043327331543</v>
      </c>
      <c r="AB362" s="207">
        <f t="shared" si="17"/>
        <v>47.812652587890625</v>
      </c>
    </row>
    <row r="363" spans="3:28">
      <c r="C363" s="27"/>
      <c r="Y363" s="207">
        <f t="shared" si="15"/>
        <v>0</v>
      </c>
      <c r="Z363" s="207">
        <f t="shared" si="15"/>
        <v>0</v>
      </c>
      <c r="AA363" s="207">
        <f t="shared" si="16"/>
        <v>61.18043327331543</v>
      </c>
      <c r="AB363" s="207">
        <f t="shared" si="17"/>
        <v>47.812652587890625</v>
      </c>
    </row>
    <row r="364" spans="3:28">
      <c r="C364" s="27"/>
      <c r="Y364" s="207">
        <f t="shared" si="15"/>
        <v>0</v>
      </c>
      <c r="Z364" s="207">
        <f t="shared" si="15"/>
        <v>0</v>
      </c>
      <c r="AA364" s="207">
        <f t="shared" si="16"/>
        <v>61.18043327331543</v>
      </c>
      <c r="AB364" s="207">
        <f t="shared" si="17"/>
        <v>47.812652587890625</v>
      </c>
    </row>
    <row r="365" spans="3:28">
      <c r="C365" s="27"/>
      <c r="Y365" s="207">
        <f t="shared" si="15"/>
        <v>0</v>
      </c>
      <c r="Z365" s="207">
        <f t="shared" si="15"/>
        <v>0</v>
      </c>
      <c r="AA365" s="207">
        <f t="shared" si="16"/>
        <v>61.18043327331543</v>
      </c>
      <c r="AB365" s="207">
        <f t="shared" si="17"/>
        <v>47.812652587890625</v>
      </c>
    </row>
    <row r="366" spans="3:28">
      <c r="C366" s="27"/>
      <c r="Y366" s="207">
        <f t="shared" si="15"/>
        <v>0</v>
      </c>
      <c r="Z366" s="207">
        <f t="shared" si="15"/>
        <v>0</v>
      </c>
      <c r="AA366" s="207">
        <f t="shared" si="16"/>
        <v>61.18043327331543</v>
      </c>
      <c r="AB366" s="207">
        <f t="shared" si="17"/>
        <v>47.812652587890625</v>
      </c>
    </row>
    <row r="367" spans="3:28">
      <c r="C367" s="27"/>
      <c r="Y367" s="207">
        <f t="shared" si="15"/>
        <v>0</v>
      </c>
      <c r="Z367" s="207">
        <f t="shared" si="15"/>
        <v>0</v>
      </c>
      <c r="AA367" s="207">
        <f t="shared" si="16"/>
        <v>61.18043327331543</v>
      </c>
      <c r="AB367" s="207">
        <f t="shared" si="17"/>
        <v>47.812652587890625</v>
      </c>
    </row>
    <row r="368" spans="3:28">
      <c r="C368" s="27"/>
      <c r="Y368" s="207">
        <f t="shared" si="15"/>
        <v>0</v>
      </c>
      <c r="Z368" s="207">
        <f t="shared" si="15"/>
        <v>0</v>
      </c>
      <c r="AA368" s="207">
        <f t="shared" si="16"/>
        <v>61.18043327331543</v>
      </c>
      <c r="AB368" s="207">
        <f t="shared" si="17"/>
        <v>47.812652587890625</v>
      </c>
    </row>
    <row r="369" spans="3:28">
      <c r="C369" s="27"/>
      <c r="Y369" s="207">
        <f t="shared" si="15"/>
        <v>0</v>
      </c>
      <c r="Z369" s="207">
        <f t="shared" si="15"/>
        <v>0</v>
      </c>
      <c r="AA369" s="207">
        <f t="shared" si="16"/>
        <v>61.18043327331543</v>
      </c>
      <c r="AB369" s="207">
        <f t="shared" si="17"/>
        <v>47.812652587890625</v>
      </c>
    </row>
    <row r="370" spans="3:28">
      <c r="C370" s="27"/>
      <c r="Y370" s="207">
        <f t="shared" si="15"/>
        <v>0</v>
      </c>
      <c r="Z370" s="207">
        <f t="shared" si="15"/>
        <v>0</v>
      </c>
      <c r="AA370" s="207">
        <f t="shared" si="16"/>
        <v>61.18043327331543</v>
      </c>
      <c r="AB370" s="207">
        <f t="shared" si="17"/>
        <v>47.812652587890625</v>
      </c>
    </row>
    <row r="371" spans="3:28">
      <c r="C371" s="27"/>
      <c r="Y371" s="207">
        <f t="shared" si="15"/>
        <v>0</v>
      </c>
      <c r="Z371" s="207">
        <f t="shared" si="15"/>
        <v>0</v>
      </c>
      <c r="AA371" s="207">
        <f t="shared" si="16"/>
        <v>61.18043327331543</v>
      </c>
      <c r="AB371" s="207">
        <f t="shared" si="17"/>
        <v>47.812652587890625</v>
      </c>
    </row>
    <row r="372" spans="3:28">
      <c r="C372" s="27"/>
      <c r="Y372" s="207">
        <f t="shared" si="15"/>
        <v>0</v>
      </c>
      <c r="Z372" s="207">
        <f t="shared" si="15"/>
        <v>0</v>
      </c>
      <c r="AA372" s="207">
        <f t="shared" si="16"/>
        <v>61.18043327331543</v>
      </c>
      <c r="AB372" s="207">
        <f t="shared" si="17"/>
        <v>47.812652587890625</v>
      </c>
    </row>
    <row r="373" spans="3:28">
      <c r="C373" s="27"/>
      <c r="Y373" s="207">
        <f t="shared" si="15"/>
        <v>0</v>
      </c>
      <c r="Z373" s="207">
        <f t="shared" si="15"/>
        <v>0</v>
      </c>
      <c r="AA373" s="207">
        <f t="shared" si="16"/>
        <v>61.18043327331543</v>
      </c>
      <c r="AB373" s="207">
        <f t="shared" si="17"/>
        <v>47.812652587890625</v>
      </c>
    </row>
    <row r="374" spans="3:28">
      <c r="C374" s="27"/>
      <c r="Y374" s="207">
        <f t="shared" si="15"/>
        <v>0</v>
      </c>
      <c r="Z374" s="207">
        <f t="shared" si="15"/>
        <v>0</v>
      </c>
      <c r="AA374" s="207">
        <f t="shared" si="16"/>
        <v>61.18043327331543</v>
      </c>
      <c r="AB374" s="207">
        <f t="shared" si="17"/>
        <v>47.812652587890625</v>
      </c>
    </row>
    <row r="375" spans="3:28">
      <c r="C375" s="27"/>
      <c r="Y375" s="207">
        <f t="shared" si="15"/>
        <v>0</v>
      </c>
      <c r="Z375" s="207">
        <f t="shared" si="15"/>
        <v>0</v>
      </c>
      <c r="AA375" s="207">
        <f t="shared" si="16"/>
        <v>61.18043327331543</v>
      </c>
      <c r="AB375" s="207">
        <f t="shared" si="17"/>
        <v>47.812652587890625</v>
      </c>
    </row>
    <row r="376" spans="3:28">
      <c r="C376" s="27"/>
      <c r="Y376" s="207">
        <f t="shared" si="15"/>
        <v>0</v>
      </c>
      <c r="Z376" s="207">
        <f t="shared" si="15"/>
        <v>0</v>
      </c>
      <c r="AA376" s="207">
        <f t="shared" si="16"/>
        <v>61.18043327331543</v>
      </c>
      <c r="AB376" s="207">
        <f t="shared" si="17"/>
        <v>47.812652587890625</v>
      </c>
    </row>
    <row r="377" spans="3:28">
      <c r="C377" s="27"/>
      <c r="Y377" s="207">
        <f t="shared" si="15"/>
        <v>0</v>
      </c>
      <c r="Z377" s="207">
        <f t="shared" si="15"/>
        <v>0</v>
      </c>
      <c r="AA377" s="207">
        <f t="shared" si="16"/>
        <v>61.18043327331543</v>
      </c>
      <c r="AB377" s="207">
        <f t="shared" si="17"/>
        <v>47.812652587890625</v>
      </c>
    </row>
    <row r="378" spans="3:28">
      <c r="C378" s="27"/>
      <c r="Y378" s="207">
        <f t="shared" si="15"/>
        <v>0</v>
      </c>
      <c r="Z378" s="207">
        <f t="shared" si="15"/>
        <v>0</v>
      </c>
      <c r="AA378" s="207">
        <f t="shared" si="16"/>
        <v>61.18043327331543</v>
      </c>
      <c r="AB378" s="207">
        <f t="shared" si="17"/>
        <v>47.812652587890625</v>
      </c>
    </row>
    <row r="379" spans="3:28">
      <c r="C379" s="27"/>
      <c r="Y379" s="207">
        <f t="shared" si="15"/>
        <v>0</v>
      </c>
      <c r="Z379" s="207">
        <f t="shared" si="15"/>
        <v>0</v>
      </c>
      <c r="AA379" s="207">
        <f t="shared" si="16"/>
        <v>61.18043327331543</v>
      </c>
      <c r="AB379" s="207">
        <f t="shared" si="17"/>
        <v>47.812652587890625</v>
      </c>
    </row>
    <row r="380" spans="3:28">
      <c r="C380" s="27"/>
      <c r="Y380" s="207">
        <f t="shared" si="15"/>
        <v>0</v>
      </c>
      <c r="Z380" s="207">
        <f t="shared" si="15"/>
        <v>0</v>
      </c>
      <c r="AA380" s="207">
        <f t="shared" si="16"/>
        <v>61.18043327331543</v>
      </c>
      <c r="AB380" s="207">
        <f t="shared" si="17"/>
        <v>47.812652587890625</v>
      </c>
    </row>
    <row r="381" spans="3:28">
      <c r="C381" s="27"/>
      <c r="Y381" s="207">
        <f t="shared" si="15"/>
        <v>0</v>
      </c>
      <c r="Z381" s="207">
        <f t="shared" si="15"/>
        <v>0</v>
      </c>
      <c r="AA381" s="207">
        <f t="shared" si="16"/>
        <v>61.18043327331543</v>
      </c>
      <c r="AB381" s="207">
        <f t="shared" si="17"/>
        <v>47.812652587890625</v>
      </c>
    </row>
    <row r="382" spans="3:28">
      <c r="C382" s="27"/>
      <c r="Y382" s="207">
        <f t="shared" si="15"/>
        <v>0</v>
      </c>
      <c r="Z382" s="207">
        <f t="shared" si="15"/>
        <v>0</v>
      </c>
      <c r="AA382" s="207">
        <f t="shared" si="16"/>
        <v>61.18043327331543</v>
      </c>
      <c r="AB382" s="207">
        <f t="shared" si="17"/>
        <v>47.812652587890625</v>
      </c>
    </row>
    <row r="383" spans="3:28">
      <c r="C383" s="27"/>
      <c r="Y383" s="207">
        <f t="shared" si="15"/>
        <v>0</v>
      </c>
      <c r="Z383" s="207">
        <f t="shared" si="15"/>
        <v>0</v>
      </c>
      <c r="AA383" s="207">
        <f t="shared" si="16"/>
        <v>61.18043327331543</v>
      </c>
      <c r="AB383" s="207">
        <f t="shared" si="17"/>
        <v>47.812652587890625</v>
      </c>
    </row>
    <row r="384" spans="3:28">
      <c r="C384" s="27"/>
      <c r="Y384" s="207">
        <f t="shared" si="15"/>
        <v>0</v>
      </c>
      <c r="Z384" s="207">
        <f t="shared" si="15"/>
        <v>0</v>
      </c>
      <c r="AA384" s="207">
        <f t="shared" si="16"/>
        <v>61.18043327331543</v>
      </c>
      <c r="AB384" s="207">
        <f t="shared" si="17"/>
        <v>47.812652587890625</v>
      </c>
    </row>
    <row r="385" spans="3:28">
      <c r="C385" s="27"/>
      <c r="Y385" s="207">
        <f t="shared" si="15"/>
        <v>0</v>
      </c>
      <c r="Z385" s="207">
        <f t="shared" si="15"/>
        <v>0</v>
      </c>
      <c r="AA385" s="207">
        <f t="shared" si="16"/>
        <v>61.18043327331543</v>
      </c>
      <c r="AB385" s="207">
        <f t="shared" si="17"/>
        <v>47.812652587890625</v>
      </c>
    </row>
    <row r="386" spans="3:28">
      <c r="C386" s="27"/>
      <c r="Y386" s="207">
        <f t="shared" si="15"/>
        <v>0</v>
      </c>
      <c r="Z386" s="207">
        <f t="shared" si="15"/>
        <v>0</v>
      </c>
      <c r="AA386" s="207">
        <f t="shared" si="16"/>
        <v>61.18043327331543</v>
      </c>
      <c r="AB386" s="207">
        <f t="shared" si="17"/>
        <v>47.812652587890625</v>
      </c>
    </row>
    <row r="387" spans="3:28">
      <c r="C387" s="27"/>
      <c r="Y387" s="207">
        <f t="shared" si="15"/>
        <v>0</v>
      </c>
      <c r="Z387" s="207">
        <f t="shared" si="15"/>
        <v>0</v>
      </c>
      <c r="AA387" s="207">
        <f t="shared" si="16"/>
        <v>61.18043327331543</v>
      </c>
      <c r="AB387" s="207">
        <f t="shared" si="17"/>
        <v>47.812652587890625</v>
      </c>
    </row>
    <row r="388" spans="3:28">
      <c r="C388" s="27"/>
      <c r="Y388" s="207">
        <f t="shared" si="15"/>
        <v>0</v>
      </c>
      <c r="Z388" s="207">
        <f t="shared" si="15"/>
        <v>0</v>
      </c>
      <c r="AA388" s="207">
        <f t="shared" si="16"/>
        <v>61.18043327331543</v>
      </c>
      <c r="AB388" s="207">
        <f t="shared" si="17"/>
        <v>47.812652587890625</v>
      </c>
    </row>
    <row r="389" spans="3:28">
      <c r="C389" s="27"/>
      <c r="Y389" s="207">
        <f t="shared" si="15"/>
        <v>0</v>
      </c>
      <c r="Z389" s="207">
        <f t="shared" si="15"/>
        <v>0</v>
      </c>
      <c r="AA389" s="207">
        <f t="shared" si="16"/>
        <v>61.18043327331543</v>
      </c>
      <c r="AB389" s="207">
        <f t="shared" si="17"/>
        <v>47.812652587890625</v>
      </c>
    </row>
    <row r="390" spans="3:28">
      <c r="C390" s="27"/>
      <c r="Y390" s="207">
        <f t="shared" si="15"/>
        <v>0</v>
      </c>
      <c r="Z390" s="207">
        <f t="shared" si="15"/>
        <v>0</v>
      </c>
      <c r="AA390" s="207">
        <f t="shared" si="16"/>
        <v>61.18043327331543</v>
      </c>
      <c r="AB390" s="207">
        <f t="shared" si="17"/>
        <v>47.812652587890625</v>
      </c>
    </row>
    <row r="391" spans="3:28">
      <c r="C391" s="27"/>
      <c r="Y391" s="207">
        <f t="shared" si="15"/>
        <v>0</v>
      </c>
      <c r="Z391" s="207">
        <f t="shared" si="15"/>
        <v>0</v>
      </c>
      <c r="AA391" s="207">
        <f t="shared" si="16"/>
        <v>61.18043327331543</v>
      </c>
      <c r="AB391" s="207">
        <f t="shared" si="17"/>
        <v>47.812652587890625</v>
      </c>
    </row>
    <row r="392" spans="3:28">
      <c r="C392" s="27"/>
      <c r="Y392" s="207">
        <f t="shared" si="15"/>
        <v>0</v>
      </c>
      <c r="Z392" s="207">
        <f t="shared" si="15"/>
        <v>0</v>
      </c>
      <c r="AA392" s="207">
        <f t="shared" si="16"/>
        <v>61.18043327331543</v>
      </c>
      <c r="AB392" s="207">
        <f t="shared" si="17"/>
        <v>47.812652587890625</v>
      </c>
    </row>
    <row r="393" spans="3:28">
      <c r="C393" s="27"/>
      <c r="Y393" s="207">
        <f t="shared" si="15"/>
        <v>0</v>
      </c>
      <c r="Z393" s="207">
        <f t="shared" si="15"/>
        <v>0</v>
      </c>
      <c r="AA393" s="207">
        <f t="shared" si="16"/>
        <v>61.18043327331543</v>
      </c>
      <c r="AB393" s="207">
        <f t="shared" si="17"/>
        <v>47.812652587890625</v>
      </c>
    </row>
    <row r="394" spans="3:28">
      <c r="C394" s="27"/>
      <c r="Y394" s="207">
        <f t="shared" si="15"/>
        <v>0</v>
      </c>
      <c r="Z394" s="207">
        <f t="shared" si="15"/>
        <v>0</v>
      </c>
      <c r="AA394" s="207">
        <f t="shared" si="16"/>
        <v>61.18043327331543</v>
      </c>
      <c r="AB394" s="207">
        <f t="shared" si="17"/>
        <v>47.812652587890625</v>
      </c>
    </row>
    <row r="395" spans="3:28">
      <c r="C395" s="27"/>
      <c r="Y395" s="207">
        <f t="shared" si="15"/>
        <v>0</v>
      </c>
      <c r="Z395" s="207">
        <f t="shared" si="15"/>
        <v>0</v>
      </c>
      <c r="AA395" s="207">
        <f t="shared" si="16"/>
        <v>61.18043327331543</v>
      </c>
      <c r="AB395" s="207">
        <f t="shared" si="17"/>
        <v>47.812652587890625</v>
      </c>
    </row>
    <row r="396" spans="3:28">
      <c r="C396" s="27"/>
      <c r="Y396" s="207">
        <f t="shared" si="15"/>
        <v>0</v>
      </c>
      <c r="Z396" s="207">
        <f t="shared" si="15"/>
        <v>0</v>
      </c>
      <c r="AA396" s="207">
        <f t="shared" si="16"/>
        <v>61.18043327331543</v>
      </c>
      <c r="AB396" s="207">
        <f t="shared" si="17"/>
        <v>47.812652587890625</v>
      </c>
    </row>
    <row r="397" spans="3:28">
      <c r="C397" s="27"/>
      <c r="Y397" s="207">
        <f t="shared" si="15"/>
        <v>0</v>
      </c>
      <c r="Z397" s="207">
        <f t="shared" si="15"/>
        <v>0</v>
      </c>
      <c r="AA397" s="207">
        <f t="shared" si="16"/>
        <v>61.18043327331543</v>
      </c>
      <c r="AB397" s="207">
        <f t="shared" si="17"/>
        <v>47.812652587890625</v>
      </c>
    </row>
    <row r="398" spans="3:28">
      <c r="C398" s="27"/>
      <c r="Y398" s="207">
        <f t="shared" si="15"/>
        <v>0</v>
      </c>
      <c r="Z398" s="207">
        <f t="shared" si="15"/>
        <v>0</v>
      </c>
      <c r="AA398" s="207">
        <f t="shared" si="16"/>
        <v>61.18043327331543</v>
      </c>
      <c r="AB398" s="207">
        <f t="shared" si="17"/>
        <v>47.812652587890625</v>
      </c>
    </row>
    <row r="399" spans="3:28">
      <c r="C399" s="27"/>
      <c r="Y399" s="207">
        <f t="shared" ref="Y399:Z462" si="18">B399</f>
        <v>0</v>
      </c>
      <c r="Z399" s="207">
        <f t="shared" si="18"/>
        <v>0</v>
      </c>
      <c r="AA399" s="207">
        <f t="shared" ref="AA399:AA462" si="19">I$26</f>
        <v>61.18043327331543</v>
      </c>
      <c r="AB399" s="207">
        <f t="shared" ref="AB399:AB462" si="20">I$23</f>
        <v>47.812652587890625</v>
      </c>
    </row>
    <row r="400" spans="3:28">
      <c r="C400" s="27"/>
      <c r="Y400" s="207">
        <f t="shared" si="18"/>
        <v>0</v>
      </c>
      <c r="Z400" s="207">
        <f t="shared" si="18"/>
        <v>0</v>
      </c>
      <c r="AA400" s="207">
        <f t="shared" si="19"/>
        <v>61.18043327331543</v>
      </c>
      <c r="AB400" s="207">
        <f t="shared" si="20"/>
        <v>47.812652587890625</v>
      </c>
    </row>
    <row r="401" spans="3:28">
      <c r="C401" s="27"/>
      <c r="Y401" s="207">
        <f t="shared" si="18"/>
        <v>0</v>
      </c>
      <c r="Z401" s="207">
        <f t="shared" si="18"/>
        <v>0</v>
      </c>
      <c r="AA401" s="207">
        <f t="shared" si="19"/>
        <v>61.18043327331543</v>
      </c>
      <c r="AB401" s="207">
        <f t="shared" si="20"/>
        <v>47.812652587890625</v>
      </c>
    </row>
    <row r="402" spans="3:28">
      <c r="C402" s="27"/>
      <c r="Y402" s="207">
        <f t="shared" si="18"/>
        <v>0</v>
      </c>
      <c r="Z402" s="207">
        <f t="shared" si="18"/>
        <v>0</v>
      </c>
      <c r="AA402" s="207">
        <f t="shared" si="19"/>
        <v>61.18043327331543</v>
      </c>
      <c r="AB402" s="207">
        <f t="shared" si="20"/>
        <v>47.812652587890625</v>
      </c>
    </row>
    <row r="403" spans="3:28">
      <c r="C403" s="27"/>
      <c r="Y403" s="207">
        <f t="shared" si="18"/>
        <v>0</v>
      </c>
      <c r="Z403" s="207">
        <f t="shared" si="18"/>
        <v>0</v>
      </c>
      <c r="AA403" s="207">
        <f t="shared" si="19"/>
        <v>61.18043327331543</v>
      </c>
      <c r="AB403" s="207">
        <f t="shared" si="20"/>
        <v>47.812652587890625</v>
      </c>
    </row>
    <row r="404" spans="3:28">
      <c r="C404" s="27"/>
      <c r="Y404" s="207">
        <f t="shared" si="18"/>
        <v>0</v>
      </c>
      <c r="Z404" s="207">
        <f t="shared" si="18"/>
        <v>0</v>
      </c>
      <c r="AA404" s="207">
        <f t="shared" si="19"/>
        <v>61.18043327331543</v>
      </c>
      <c r="AB404" s="207">
        <f t="shared" si="20"/>
        <v>47.812652587890625</v>
      </c>
    </row>
    <row r="405" spans="3:28">
      <c r="C405" s="27"/>
      <c r="Y405" s="207">
        <f t="shared" si="18"/>
        <v>0</v>
      </c>
      <c r="Z405" s="207">
        <f t="shared" si="18"/>
        <v>0</v>
      </c>
      <c r="AA405" s="207">
        <f t="shared" si="19"/>
        <v>61.18043327331543</v>
      </c>
      <c r="AB405" s="207">
        <f t="shared" si="20"/>
        <v>47.812652587890625</v>
      </c>
    </row>
    <row r="406" spans="3:28">
      <c r="C406" s="27"/>
      <c r="Y406" s="207">
        <f t="shared" si="18"/>
        <v>0</v>
      </c>
      <c r="Z406" s="207">
        <f t="shared" si="18"/>
        <v>0</v>
      </c>
      <c r="AA406" s="207">
        <f t="shared" si="19"/>
        <v>61.18043327331543</v>
      </c>
      <c r="AB406" s="207">
        <f t="shared" si="20"/>
        <v>47.812652587890625</v>
      </c>
    </row>
    <row r="407" spans="3:28">
      <c r="C407" s="27"/>
      <c r="Y407" s="207">
        <f t="shared" si="18"/>
        <v>0</v>
      </c>
      <c r="Z407" s="207">
        <f t="shared" si="18"/>
        <v>0</v>
      </c>
      <c r="AA407" s="207">
        <f t="shared" si="19"/>
        <v>61.18043327331543</v>
      </c>
      <c r="AB407" s="207">
        <f t="shared" si="20"/>
        <v>47.812652587890625</v>
      </c>
    </row>
    <row r="408" spans="3:28">
      <c r="C408" s="27"/>
      <c r="Y408" s="207">
        <f t="shared" si="18"/>
        <v>0</v>
      </c>
      <c r="Z408" s="207">
        <f t="shared" si="18"/>
        <v>0</v>
      </c>
      <c r="AA408" s="207">
        <f t="shared" si="19"/>
        <v>61.18043327331543</v>
      </c>
      <c r="AB408" s="207">
        <f t="shared" si="20"/>
        <v>47.812652587890625</v>
      </c>
    </row>
    <row r="409" spans="3:28">
      <c r="C409" s="27"/>
      <c r="Y409" s="207">
        <f t="shared" si="18"/>
        <v>0</v>
      </c>
      <c r="Z409" s="207">
        <f t="shared" si="18"/>
        <v>0</v>
      </c>
      <c r="AA409" s="207">
        <f t="shared" si="19"/>
        <v>61.18043327331543</v>
      </c>
      <c r="AB409" s="207">
        <f t="shared" si="20"/>
        <v>47.812652587890625</v>
      </c>
    </row>
    <row r="410" spans="3:28">
      <c r="C410" s="27"/>
      <c r="Y410" s="207">
        <f t="shared" si="18"/>
        <v>0</v>
      </c>
      <c r="Z410" s="207">
        <f t="shared" si="18"/>
        <v>0</v>
      </c>
      <c r="AA410" s="207">
        <f t="shared" si="19"/>
        <v>61.18043327331543</v>
      </c>
      <c r="AB410" s="207">
        <f t="shared" si="20"/>
        <v>47.812652587890625</v>
      </c>
    </row>
    <row r="411" spans="3:28">
      <c r="C411" s="27"/>
      <c r="Y411" s="207">
        <f t="shared" si="18"/>
        <v>0</v>
      </c>
      <c r="Z411" s="207">
        <f t="shared" si="18"/>
        <v>0</v>
      </c>
      <c r="AA411" s="207">
        <f t="shared" si="19"/>
        <v>61.18043327331543</v>
      </c>
      <c r="AB411" s="207">
        <f t="shared" si="20"/>
        <v>47.812652587890625</v>
      </c>
    </row>
    <row r="412" spans="3:28">
      <c r="C412" s="27"/>
      <c r="Y412" s="207">
        <f t="shared" si="18"/>
        <v>0</v>
      </c>
      <c r="Z412" s="207">
        <f t="shared" si="18"/>
        <v>0</v>
      </c>
      <c r="AA412" s="207">
        <f t="shared" si="19"/>
        <v>61.18043327331543</v>
      </c>
      <c r="AB412" s="207">
        <f t="shared" si="20"/>
        <v>47.812652587890625</v>
      </c>
    </row>
    <row r="413" spans="3:28">
      <c r="C413" s="27"/>
      <c r="Y413" s="207">
        <f t="shared" si="18"/>
        <v>0</v>
      </c>
      <c r="Z413" s="207">
        <f t="shared" si="18"/>
        <v>0</v>
      </c>
      <c r="AA413" s="207">
        <f t="shared" si="19"/>
        <v>61.18043327331543</v>
      </c>
      <c r="AB413" s="207">
        <f t="shared" si="20"/>
        <v>47.812652587890625</v>
      </c>
    </row>
    <row r="414" spans="3:28">
      <c r="C414" s="27"/>
      <c r="Y414" s="207">
        <f t="shared" si="18"/>
        <v>0</v>
      </c>
      <c r="Z414" s="207">
        <f t="shared" si="18"/>
        <v>0</v>
      </c>
      <c r="AA414" s="207">
        <f t="shared" si="19"/>
        <v>61.18043327331543</v>
      </c>
      <c r="AB414" s="207">
        <f t="shared" si="20"/>
        <v>47.812652587890625</v>
      </c>
    </row>
    <row r="415" spans="3:28">
      <c r="C415" s="27"/>
      <c r="Y415" s="207">
        <f t="shared" si="18"/>
        <v>0</v>
      </c>
      <c r="Z415" s="207">
        <f t="shared" si="18"/>
        <v>0</v>
      </c>
      <c r="AA415" s="207">
        <f t="shared" si="19"/>
        <v>61.18043327331543</v>
      </c>
      <c r="AB415" s="207">
        <f t="shared" si="20"/>
        <v>47.812652587890625</v>
      </c>
    </row>
    <row r="416" spans="3:28">
      <c r="C416" s="27"/>
      <c r="Y416" s="207">
        <f t="shared" si="18"/>
        <v>0</v>
      </c>
      <c r="Z416" s="207">
        <f t="shared" si="18"/>
        <v>0</v>
      </c>
      <c r="AA416" s="207">
        <f t="shared" si="19"/>
        <v>61.18043327331543</v>
      </c>
      <c r="AB416" s="207">
        <f t="shared" si="20"/>
        <v>47.812652587890625</v>
      </c>
    </row>
    <row r="417" spans="3:28">
      <c r="C417" s="27"/>
      <c r="Y417" s="207">
        <f t="shared" si="18"/>
        <v>0</v>
      </c>
      <c r="Z417" s="207">
        <f t="shared" si="18"/>
        <v>0</v>
      </c>
      <c r="AA417" s="207">
        <f t="shared" si="19"/>
        <v>61.18043327331543</v>
      </c>
      <c r="AB417" s="207">
        <f t="shared" si="20"/>
        <v>47.812652587890625</v>
      </c>
    </row>
    <row r="418" spans="3:28">
      <c r="C418" s="27"/>
      <c r="Y418" s="207">
        <f t="shared" si="18"/>
        <v>0</v>
      </c>
      <c r="Z418" s="207">
        <f t="shared" si="18"/>
        <v>0</v>
      </c>
      <c r="AA418" s="207">
        <f t="shared" si="19"/>
        <v>61.18043327331543</v>
      </c>
      <c r="AB418" s="207">
        <f t="shared" si="20"/>
        <v>47.812652587890625</v>
      </c>
    </row>
    <row r="419" spans="3:28">
      <c r="C419" s="27"/>
      <c r="Y419" s="207">
        <f t="shared" si="18"/>
        <v>0</v>
      </c>
      <c r="Z419" s="207">
        <f t="shared" si="18"/>
        <v>0</v>
      </c>
      <c r="AA419" s="207">
        <f t="shared" si="19"/>
        <v>61.18043327331543</v>
      </c>
      <c r="AB419" s="207">
        <f t="shared" si="20"/>
        <v>47.812652587890625</v>
      </c>
    </row>
    <row r="420" spans="3:28">
      <c r="C420" s="27"/>
      <c r="Y420" s="207">
        <f t="shared" si="18"/>
        <v>0</v>
      </c>
      <c r="Z420" s="207">
        <f t="shared" si="18"/>
        <v>0</v>
      </c>
      <c r="AA420" s="207">
        <f t="shared" si="19"/>
        <v>61.18043327331543</v>
      </c>
      <c r="AB420" s="207">
        <f t="shared" si="20"/>
        <v>47.812652587890625</v>
      </c>
    </row>
    <row r="421" spans="3:28">
      <c r="C421" s="27"/>
      <c r="Y421" s="207">
        <f t="shared" si="18"/>
        <v>0</v>
      </c>
      <c r="Z421" s="207">
        <f t="shared" si="18"/>
        <v>0</v>
      </c>
      <c r="AA421" s="207">
        <f t="shared" si="19"/>
        <v>61.18043327331543</v>
      </c>
      <c r="AB421" s="207">
        <f t="shared" si="20"/>
        <v>47.812652587890625</v>
      </c>
    </row>
    <row r="422" spans="3:28">
      <c r="C422" s="27"/>
      <c r="Y422" s="207">
        <f t="shared" si="18"/>
        <v>0</v>
      </c>
      <c r="Z422" s="207">
        <f t="shared" si="18"/>
        <v>0</v>
      </c>
      <c r="AA422" s="207">
        <f t="shared" si="19"/>
        <v>61.18043327331543</v>
      </c>
      <c r="AB422" s="207">
        <f t="shared" si="20"/>
        <v>47.812652587890625</v>
      </c>
    </row>
    <row r="423" spans="3:28">
      <c r="C423" s="27"/>
      <c r="Y423" s="207">
        <f t="shared" si="18"/>
        <v>0</v>
      </c>
      <c r="Z423" s="207">
        <f t="shared" si="18"/>
        <v>0</v>
      </c>
      <c r="AA423" s="207">
        <f t="shared" si="19"/>
        <v>61.18043327331543</v>
      </c>
      <c r="AB423" s="207">
        <f t="shared" si="20"/>
        <v>47.812652587890625</v>
      </c>
    </row>
    <row r="424" spans="3:28">
      <c r="C424" s="27"/>
      <c r="Y424" s="207">
        <f t="shared" si="18"/>
        <v>0</v>
      </c>
      <c r="Z424" s="207">
        <f t="shared" si="18"/>
        <v>0</v>
      </c>
      <c r="AA424" s="207">
        <f t="shared" si="19"/>
        <v>61.18043327331543</v>
      </c>
      <c r="AB424" s="207">
        <f t="shared" si="20"/>
        <v>47.812652587890625</v>
      </c>
    </row>
    <row r="425" spans="3:28">
      <c r="C425" s="27"/>
      <c r="Y425" s="207">
        <f t="shared" si="18"/>
        <v>0</v>
      </c>
      <c r="Z425" s="207">
        <f t="shared" si="18"/>
        <v>0</v>
      </c>
      <c r="AA425" s="207">
        <f t="shared" si="19"/>
        <v>61.18043327331543</v>
      </c>
      <c r="AB425" s="207">
        <f t="shared" si="20"/>
        <v>47.812652587890625</v>
      </c>
    </row>
    <row r="426" spans="3:28">
      <c r="C426" s="27"/>
      <c r="Y426" s="207">
        <f t="shared" si="18"/>
        <v>0</v>
      </c>
      <c r="Z426" s="207">
        <f t="shared" si="18"/>
        <v>0</v>
      </c>
      <c r="AA426" s="207">
        <f t="shared" si="19"/>
        <v>61.18043327331543</v>
      </c>
      <c r="AB426" s="207">
        <f t="shared" si="20"/>
        <v>47.812652587890625</v>
      </c>
    </row>
    <row r="427" spans="3:28">
      <c r="C427" s="27"/>
      <c r="Y427" s="207">
        <f t="shared" si="18"/>
        <v>0</v>
      </c>
      <c r="Z427" s="207">
        <f t="shared" si="18"/>
        <v>0</v>
      </c>
      <c r="AA427" s="207">
        <f t="shared" si="19"/>
        <v>61.18043327331543</v>
      </c>
      <c r="AB427" s="207">
        <f t="shared" si="20"/>
        <v>47.812652587890625</v>
      </c>
    </row>
    <row r="428" spans="3:28">
      <c r="C428" s="27"/>
      <c r="Y428" s="207">
        <f t="shared" si="18"/>
        <v>0</v>
      </c>
      <c r="Z428" s="207">
        <f t="shared" si="18"/>
        <v>0</v>
      </c>
      <c r="AA428" s="207">
        <f t="shared" si="19"/>
        <v>61.18043327331543</v>
      </c>
      <c r="AB428" s="207">
        <f t="shared" si="20"/>
        <v>47.812652587890625</v>
      </c>
    </row>
    <row r="429" spans="3:28">
      <c r="C429" s="27"/>
      <c r="Y429" s="207">
        <f t="shared" si="18"/>
        <v>0</v>
      </c>
      <c r="Z429" s="207">
        <f t="shared" si="18"/>
        <v>0</v>
      </c>
      <c r="AA429" s="207">
        <f t="shared" si="19"/>
        <v>61.18043327331543</v>
      </c>
      <c r="AB429" s="207">
        <f t="shared" si="20"/>
        <v>47.812652587890625</v>
      </c>
    </row>
    <row r="430" spans="3:28">
      <c r="C430" s="27"/>
      <c r="Y430" s="207">
        <f t="shared" si="18"/>
        <v>0</v>
      </c>
      <c r="Z430" s="207">
        <f t="shared" si="18"/>
        <v>0</v>
      </c>
      <c r="AA430" s="207">
        <f t="shared" si="19"/>
        <v>61.18043327331543</v>
      </c>
      <c r="AB430" s="207">
        <f t="shared" si="20"/>
        <v>47.812652587890625</v>
      </c>
    </row>
    <row r="431" spans="3:28">
      <c r="C431" s="27"/>
      <c r="Y431" s="207">
        <f t="shared" si="18"/>
        <v>0</v>
      </c>
      <c r="Z431" s="207">
        <f t="shared" si="18"/>
        <v>0</v>
      </c>
      <c r="AA431" s="207">
        <f t="shared" si="19"/>
        <v>61.18043327331543</v>
      </c>
      <c r="AB431" s="207">
        <f t="shared" si="20"/>
        <v>47.812652587890625</v>
      </c>
    </row>
    <row r="432" spans="3:28">
      <c r="C432" s="27"/>
      <c r="Y432" s="207">
        <f t="shared" si="18"/>
        <v>0</v>
      </c>
      <c r="Z432" s="207">
        <f t="shared" si="18"/>
        <v>0</v>
      </c>
      <c r="AA432" s="207">
        <f t="shared" si="19"/>
        <v>61.18043327331543</v>
      </c>
      <c r="AB432" s="207">
        <f t="shared" si="20"/>
        <v>47.812652587890625</v>
      </c>
    </row>
    <row r="433" spans="3:28">
      <c r="C433" s="27"/>
      <c r="Y433" s="207">
        <f t="shared" si="18"/>
        <v>0</v>
      </c>
      <c r="Z433" s="207">
        <f t="shared" si="18"/>
        <v>0</v>
      </c>
      <c r="AA433" s="207">
        <f t="shared" si="19"/>
        <v>61.18043327331543</v>
      </c>
      <c r="AB433" s="207">
        <f t="shared" si="20"/>
        <v>47.812652587890625</v>
      </c>
    </row>
    <row r="434" spans="3:28">
      <c r="C434" s="27"/>
      <c r="Y434" s="207">
        <f t="shared" si="18"/>
        <v>0</v>
      </c>
      <c r="Z434" s="207">
        <f t="shared" si="18"/>
        <v>0</v>
      </c>
      <c r="AA434" s="207">
        <f t="shared" si="19"/>
        <v>61.18043327331543</v>
      </c>
      <c r="AB434" s="207">
        <f t="shared" si="20"/>
        <v>47.812652587890625</v>
      </c>
    </row>
    <row r="435" spans="3:28">
      <c r="C435" s="27"/>
      <c r="Y435" s="207">
        <f t="shared" si="18"/>
        <v>0</v>
      </c>
      <c r="Z435" s="207">
        <f t="shared" si="18"/>
        <v>0</v>
      </c>
      <c r="AA435" s="207">
        <f t="shared" si="19"/>
        <v>61.18043327331543</v>
      </c>
      <c r="AB435" s="207">
        <f t="shared" si="20"/>
        <v>47.812652587890625</v>
      </c>
    </row>
    <row r="436" spans="3:28">
      <c r="C436" s="27"/>
      <c r="Y436" s="207">
        <f t="shared" si="18"/>
        <v>0</v>
      </c>
      <c r="Z436" s="207">
        <f t="shared" si="18"/>
        <v>0</v>
      </c>
      <c r="AA436" s="207">
        <f t="shared" si="19"/>
        <v>61.18043327331543</v>
      </c>
      <c r="AB436" s="207">
        <f t="shared" si="20"/>
        <v>47.812652587890625</v>
      </c>
    </row>
    <row r="437" spans="3:28">
      <c r="C437" s="27"/>
      <c r="Y437" s="207">
        <f t="shared" si="18"/>
        <v>0</v>
      </c>
      <c r="Z437" s="207">
        <f t="shared" si="18"/>
        <v>0</v>
      </c>
      <c r="AA437" s="207">
        <f t="shared" si="19"/>
        <v>61.18043327331543</v>
      </c>
      <c r="AB437" s="207">
        <f t="shared" si="20"/>
        <v>47.812652587890625</v>
      </c>
    </row>
    <row r="438" spans="3:28">
      <c r="C438" s="27"/>
      <c r="Y438" s="207">
        <f t="shared" si="18"/>
        <v>0</v>
      </c>
      <c r="Z438" s="207">
        <f t="shared" si="18"/>
        <v>0</v>
      </c>
      <c r="AA438" s="207">
        <f t="shared" si="19"/>
        <v>61.18043327331543</v>
      </c>
      <c r="AB438" s="207">
        <f t="shared" si="20"/>
        <v>47.812652587890625</v>
      </c>
    </row>
    <row r="439" spans="3:28">
      <c r="C439" s="27"/>
      <c r="Y439" s="207">
        <f t="shared" si="18"/>
        <v>0</v>
      </c>
      <c r="Z439" s="207">
        <f t="shared" si="18"/>
        <v>0</v>
      </c>
      <c r="AA439" s="207">
        <f t="shared" si="19"/>
        <v>61.18043327331543</v>
      </c>
      <c r="AB439" s="207">
        <f t="shared" si="20"/>
        <v>47.812652587890625</v>
      </c>
    </row>
    <row r="440" spans="3:28">
      <c r="C440" s="27"/>
      <c r="Y440" s="207">
        <f t="shared" si="18"/>
        <v>0</v>
      </c>
      <c r="Z440" s="207">
        <f t="shared" si="18"/>
        <v>0</v>
      </c>
      <c r="AA440" s="207">
        <f t="shared" si="19"/>
        <v>61.18043327331543</v>
      </c>
      <c r="AB440" s="207">
        <f t="shared" si="20"/>
        <v>47.812652587890625</v>
      </c>
    </row>
    <row r="441" spans="3:28">
      <c r="C441" s="27"/>
      <c r="Y441" s="207">
        <f t="shared" si="18"/>
        <v>0</v>
      </c>
      <c r="Z441" s="207">
        <f t="shared" si="18"/>
        <v>0</v>
      </c>
      <c r="AA441" s="207">
        <f t="shared" si="19"/>
        <v>61.18043327331543</v>
      </c>
      <c r="AB441" s="207">
        <f t="shared" si="20"/>
        <v>47.812652587890625</v>
      </c>
    </row>
    <row r="442" spans="3:28">
      <c r="C442" s="27"/>
      <c r="Y442" s="207">
        <f t="shared" si="18"/>
        <v>0</v>
      </c>
      <c r="Z442" s="207">
        <f t="shared" si="18"/>
        <v>0</v>
      </c>
      <c r="AA442" s="207">
        <f t="shared" si="19"/>
        <v>61.18043327331543</v>
      </c>
      <c r="AB442" s="207">
        <f t="shared" si="20"/>
        <v>47.812652587890625</v>
      </c>
    </row>
    <row r="443" spans="3:28">
      <c r="C443" s="27"/>
      <c r="Y443" s="207">
        <f t="shared" si="18"/>
        <v>0</v>
      </c>
      <c r="Z443" s="207">
        <f t="shared" si="18"/>
        <v>0</v>
      </c>
      <c r="AA443" s="207">
        <f t="shared" si="19"/>
        <v>61.18043327331543</v>
      </c>
      <c r="AB443" s="207">
        <f t="shared" si="20"/>
        <v>47.812652587890625</v>
      </c>
    </row>
    <row r="444" spans="3:28">
      <c r="C444" s="27"/>
      <c r="Y444" s="207">
        <f t="shared" si="18"/>
        <v>0</v>
      </c>
      <c r="Z444" s="207">
        <f t="shared" si="18"/>
        <v>0</v>
      </c>
      <c r="AA444" s="207">
        <f t="shared" si="19"/>
        <v>61.18043327331543</v>
      </c>
      <c r="AB444" s="207">
        <f t="shared" si="20"/>
        <v>47.812652587890625</v>
      </c>
    </row>
    <row r="445" spans="3:28">
      <c r="C445" s="27"/>
      <c r="Y445" s="207">
        <f t="shared" si="18"/>
        <v>0</v>
      </c>
      <c r="Z445" s="207">
        <f t="shared" si="18"/>
        <v>0</v>
      </c>
      <c r="AA445" s="207">
        <f t="shared" si="19"/>
        <v>61.18043327331543</v>
      </c>
      <c r="AB445" s="207">
        <f t="shared" si="20"/>
        <v>47.812652587890625</v>
      </c>
    </row>
    <row r="446" spans="3:28">
      <c r="C446" s="27"/>
      <c r="Y446" s="207">
        <f t="shared" si="18"/>
        <v>0</v>
      </c>
      <c r="Z446" s="207">
        <f t="shared" si="18"/>
        <v>0</v>
      </c>
      <c r="AA446" s="207">
        <f t="shared" si="19"/>
        <v>61.18043327331543</v>
      </c>
      <c r="AB446" s="207">
        <f t="shared" si="20"/>
        <v>47.812652587890625</v>
      </c>
    </row>
    <row r="447" spans="3:28">
      <c r="C447" s="27"/>
      <c r="Y447" s="207">
        <f t="shared" si="18"/>
        <v>0</v>
      </c>
      <c r="Z447" s="207">
        <f t="shared" si="18"/>
        <v>0</v>
      </c>
      <c r="AA447" s="207">
        <f t="shared" si="19"/>
        <v>61.18043327331543</v>
      </c>
      <c r="AB447" s="207">
        <f t="shared" si="20"/>
        <v>47.812652587890625</v>
      </c>
    </row>
    <row r="448" spans="3:28">
      <c r="C448" s="27"/>
      <c r="Y448" s="207">
        <f t="shared" si="18"/>
        <v>0</v>
      </c>
      <c r="Z448" s="207">
        <f t="shared" si="18"/>
        <v>0</v>
      </c>
      <c r="AA448" s="207">
        <f t="shared" si="19"/>
        <v>61.18043327331543</v>
      </c>
      <c r="AB448" s="207">
        <f t="shared" si="20"/>
        <v>47.812652587890625</v>
      </c>
    </row>
    <row r="449" spans="3:28">
      <c r="C449" s="27"/>
      <c r="Y449" s="207">
        <f t="shared" si="18"/>
        <v>0</v>
      </c>
      <c r="Z449" s="207">
        <f t="shared" si="18"/>
        <v>0</v>
      </c>
      <c r="AA449" s="207">
        <f t="shared" si="19"/>
        <v>61.18043327331543</v>
      </c>
      <c r="AB449" s="207">
        <f t="shared" si="20"/>
        <v>47.812652587890625</v>
      </c>
    </row>
    <row r="450" spans="3:28">
      <c r="C450" s="27"/>
      <c r="Y450" s="207">
        <f t="shared" si="18"/>
        <v>0</v>
      </c>
      <c r="Z450" s="207">
        <f t="shared" si="18"/>
        <v>0</v>
      </c>
      <c r="AA450" s="207">
        <f t="shared" si="19"/>
        <v>61.18043327331543</v>
      </c>
      <c r="AB450" s="207">
        <f t="shared" si="20"/>
        <v>47.812652587890625</v>
      </c>
    </row>
    <row r="451" spans="3:28">
      <c r="C451" s="27"/>
      <c r="Y451" s="207">
        <f t="shared" si="18"/>
        <v>0</v>
      </c>
      <c r="Z451" s="207">
        <f t="shared" si="18"/>
        <v>0</v>
      </c>
      <c r="AA451" s="207">
        <f t="shared" si="19"/>
        <v>61.18043327331543</v>
      </c>
      <c r="AB451" s="207">
        <f t="shared" si="20"/>
        <v>47.812652587890625</v>
      </c>
    </row>
    <row r="452" spans="3:28">
      <c r="C452" s="27"/>
      <c r="Y452" s="207">
        <f t="shared" si="18"/>
        <v>0</v>
      </c>
      <c r="Z452" s="207">
        <f t="shared" si="18"/>
        <v>0</v>
      </c>
      <c r="AA452" s="207">
        <f t="shared" si="19"/>
        <v>61.18043327331543</v>
      </c>
      <c r="AB452" s="207">
        <f t="shared" si="20"/>
        <v>47.812652587890625</v>
      </c>
    </row>
    <row r="453" spans="3:28">
      <c r="C453" s="27"/>
      <c r="Y453" s="207">
        <f t="shared" si="18"/>
        <v>0</v>
      </c>
      <c r="Z453" s="207">
        <f t="shared" si="18"/>
        <v>0</v>
      </c>
      <c r="AA453" s="207">
        <f t="shared" si="19"/>
        <v>61.18043327331543</v>
      </c>
      <c r="AB453" s="207">
        <f t="shared" si="20"/>
        <v>47.812652587890625</v>
      </c>
    </row>
    <row r="454" spans="3:28">
      <c r="C454" s="27"/>
      <c r="Y454" s="207">
        <f t="shared" si="18"/>
        <v>0</v>
      </c>
      <c r="Z454" s="207">
        <f t="shared" si="18"/>
        <v>0</v>
      </c>
      <c r="AA454" s="207">
        <f t="shared" si="19"/>
        <v>61.18043327331543</v>
      </c>
      <c r="AB454" s="207">
        <f t="shared" si="20"/>
        <v>47.812652587890625</v>
      </c>
    </row>
    <row r="455" spans="3:28">
      <c r="C455" s="27"/>
      <c r="Y455" s="207">
        <f t="shared" si="18"/>
        <v>0</v>
      </c>
      <c r="Z455" s="207">
        <f t="shared" si="18"/>
        <v>0</v>
      </c>
      <c r="AA455" s="207">
        <f t="shared" si="19"/>
        <v>61.18043327331543</v>
      </c>
      <c r="AB455" s="207">
        <f t="shared" si="20"/>
        <v>47.812652587890625</v>
      </c>
    </row>
    <row r="456" spans="3:28">
      <c r="C456" s="27"/>
      <c r="Y456" s="207">
        <f t="shared" si="18"/>
        <v>0</v>
      </c>
      <c r="Z456" s="207">
        <f t="shared" si="18"/>
        <v>0</v>
      </c>
      <c r="AA456" s="207">
        <f t="shared" si="19"/>
        <v>61.18043327331543</v>
      </c>
      <c r="AB456" s="207">
        <f t="shared" si="20"/>
        <v>47.812652587890625</v>
      </c>
    </row>
    <row r="457" spans="3:28">
      <c r="C457" s="27"/>
      <c r="Y457" s="207">
        <f t="shared" si="18"/>
        <v>0</v>
      </c>
      <c r="Z457" s="207">
        <f t="shared" si="18"/>
        <v>0</v>
      </c>
      <c r="AA457" s="207">
        <f t="shared" si="19"/>
        <v>61.18043327331543</v>
      </c>
      <c r="AB457" s="207">
        <f t="shared" si="20"/>
        <v>47.812652587890625</v>
      </c>
    </row>
    <row r="458" spans="3:28">
      <c r="C458" s="27"/>
      <c r="Y458" s="207">
        <f t="shared" si="18"/>
        <v>0</v>
      </c>
      <c r="Z458" s="207">
        <f t="shared" si="18"/>
        <v>0</v>
      </c>
      <c r="AA458" s="207">
        <f t="shared" si="19"/>
        <v>61.18043327331543</v>
      </c>
      <c r="AB458" s="207">
        <f t="shared" si="20"/>
        <v>47.812652587890625</v>
      </c>
    </row>
    <row r="459" spans="3:28">
      <c r="C459" s="27"/>
      <c r="Y459" s="207">
        <f t="shared" si="18"/>
        <v>0</v>
      </c>
      <c r="Z459" s="207">
        <f t="shared" si="18"/>
        <v>0</v>
      </c>
      <c r="AA459" s="207">
        <f t="shared" si="19"/>
        <v>61.18043327331543</v>
      </c>
      <c r="AB459" s="207">
        <f t="shared" si="20"/>
        <v>47.812652587890625</v>
      </c>
    </row>
    <row r="460" spans="3:28">
      <c r="C460" s="27"/>
      <c r="Y460" s="207">
        <f t="shared" si="18"/>
        <v>0</v>
      </c>
      <c r="Z460" s="207">
        <f t="shared" si="18"/>
        <v>0</v>
      </c>
      <c r="AA460" s="207">
        <f t="shared" si="19"/>
        <v>61.18043327331543</v>
      </c>
      <c r="AB460" s="207">
        <f t="shared" si="20"/>
        <v>47.812652587890625</v>
      </c>
    </row>
    <row r="461" spans="3:28">
      <c r="C461" s="27"/>
      <c r="Y461" s="207">
        <f t="shared" si="18"/>
        <v>0</v>
      </c>
      <c r="Z461" s="207">
        <f t="shared" si="18"/>
        <v>0</v>
      </c>
      <c r="AA461" s="207">
        <f t="shared" si="19"/>
        <v>61.18043327331543</v>
      </c>
      <c r="AB461" s="207">
        <f t="shared" si="20"/>
        <v>47.812652587890625</v>
      </c>
    </row>
    <row r="462" spans="3:28">
      <c r="C462" s="27"/>
      <c r="Y462" s="207">
        <f t="shared" si="18"/>
        <v>0</v>
      </c>
      <c r="Z462" s="207">
        <f t="shared" si="18"/>
        <v>0</v>
      </c>
      <c r="AA462" s="207">
        <f t="shared" si="19"/>
        <v>61.18043327331543</v>
      </c>
      <c r="AB462" s="207">
        <f t="shared" si="20"/>
        <v>47.812652587890625</v>
      </c>
    </row>
    <row r="463" spans="3:28">
      <c r="C463" s="27"/>
      <c r="Y463" s="207">
        <f t="shared" ref="Y463:Z526" si="21">B463</f>
        <v>0</v>
      </c>
      <c r="Z463" s="207">
        <f t="shared" si="21"/>
        <v>0</v>
      </c>
      <c r="AA463" s="207">
        <f t="shared" ref="AA463:AA526" si="22">I$26</f>
        <v>61.18043327331543</v>
      </c>
      <c r="AB463" s="207">
        <f t="shared" ref="AB463:AB526" si="23">I$23</f>
        <v>47.812652587890625</v>
      </c>
    </row>
    <row r="464" spans="3:28">
      <c r="C464" s="27"/>
      <c r="Y464" s="207">
        <f t="shared" si="21"/>
        <v>0</v>
      </c>
      <c r="Z464" s="207">
        <f t="shared" si="21"/>
        <v>0</v>
      </c>
      <c r="AA464" s="207">
        <f t="shared" si="22"/>
        <v>61.18043327331543</v>
      </c>
      <c r="AB464" s="207">
        <f t="shared" si="23"/>
        <v>47.812652587890625</v>
      </c>
    </row>
    <row r="465" spans="3:28">
      <c r="C465" s="27"/>
      <c r="Y465" s="207">
        <f t="shared" si="21"/>
        <v>0</v>
      </c>
      <c r="Z465" s="207">
        <f t="shared" si="21"/>
        <v>0</v>
      </c>
      <c r="AA465" s="207">
        <f t="shared" si="22"/>
        <v>61.18043327331543</v>
      </c>
      <c r="AB465" s="207">
        <f t="shared" si="23"/>
        <v>47.812652587890625</v>
      </c>
    </row>
    <row r="466" spans="3:28">
      <c r="C466" s="27"/>
      <c r="Y466" s="207">
        <f t="shared" si="21"/>
        <v>0</v>
      </c>
      <c r="Z466" s="207">
        <f t="shared" si="21"/>
        <v>0</v>
      </c>
      <c r="AA466" s="207">
        <f t="shared" si="22"/>
        <v>61.18043327331543</v>
      </c>
      <c r="AB466" s="207">
        <f t="shared" si="23"/>
        <v>47.812652587890625</v>
      </c>
    </row>
    <row r="467" spans="3:28">
      <c r="C467" s="27"/>
      <c r="Y467" s="207">
        <f t="shared" si="21"/>
        <v>0</v>
      </c>
      <c r="Z467" s="207">
        <f t="shared" si="21"/>
        <v>0</v>
      </c>
      <c r="AA467" s="207">
        <f t="shared" si="22"/>
        <v>61.18043327331543</v>
      </c>
      <c r="AB467" s="207">
        <f t="shared" si="23"/>
        <v>47.812652587890625</v>
      </c>
    </row>
    <row r="468" spans="3:28">
      <c r="C468" s="27"/>
      <c r="Y468" s="207">
        <f t="shared" si="21"/>
        <v>0</v>
      </c>
      <c r="Z468" s="207">
        <f t="shared" si="21"/>
        <v>0</v>
      </c>
      <c r="AA468" s="207">
        <f t="shared" si="22"/>
        <v>61.18043327331543</v>
      </c>
      <c r="AB468" s="207">
        <f t="shared" si="23"/>
        <v>47.812652587890625</v>
      </c>
    </row>
    <row r="469" spans="3:28">
      <c r="C469" s="27"/>
      <c r="Y469" s="207">
        <f t="shared" si="21"/>
        <v>0</v>
      </c>
      <c r="Z469" s="207">
        <f t="shared" si="21"/>
        <v>0</v>
      </c>
      <c r="AA469" s="207">
        <f t="shared" si="22"/>
        <v>61.18043327331543</v>
      </c>
      <c r="AB469" s="207">
        <f t="shared" si="23"/>
        <v>47.812652587890625</v>
      </c>
    </row>
    <row r="470" spans="3:28">
      <c r="C470" s="27"/>
      <c r="Y470" s="207">
        <f t="shared" si="21"/>
        <v>0</v>
      </c>
      <c r="Z470" s="207">
        <f t="shared" si="21"/>
        <v>0</v>
      </c>
      <c r="AA470" s="207">
        <f t="shared" si="22"/>
        <v>61.18043327331543</v>
      </c>
      <c r="AB470" s="207">
        <f t="shared" si="23"/>
        <v>47.812652587890625</v>
      </c>
    </row>
    <row r="471" spans="3:28">
      <c r="C471" s="27"/>
      <c r="Y471" s="207">
        <f t="shared" si="21"/>
        <v>0</v>
      </c>
      <c r="Z471" s="207">
        <f t="shared" si="21"/>
        <v>0</v>
      </c>
      <c r="AA471" s="207">
        <f t="shared" si="22"/>
        <v>61.18043327331543</v>
      </c>
      <c r="AB471" s="207">
        <f t="shared" si="23"/>
        <v>47.812652587890625</v>
      </c>
    </row>
    <row r="472" spans="3:28">
      <c r="C472" s="27"/>
      <c r="Y472" s="207">
        <f t="shared" si="21"/>
        <v>0</v>
      </c>
      <c r="Z472" s="207">
        <f t="shared" si="21"/>
        <v>0</v>
      </c>
      <c r="AA472" s="207">
        <f t="shared" si="22"/>
        <v>61.18043327331543</v>
      </c>
      <c r="AB472" s="207">
        <f t="shared" si="23"/>
        <v>47.812652587890625</v>
      </c>
    </row>
    <row r="473" spans="3:28">
      <c r="C473" s="27"/>
      <c r="Y473" s="207">
        <f t="shared" si="21"/>
        <v>0</v>
      </c>
      <c r="Z473" s="207">
        <f t="shared" si="21"/>
        <v>0</v>
      </c>
      <c r="AA473" s="207">
        <f t="shared" si="22"/>
        <v>61.18043327331543</v>
      </c>
      <c r="AB473" s="207">
        <f t="shared" si="23"/>
        <v>47.812652587890625</v>
      </c>
    </row>
    <row r="474" spans="3:28">
      <c r="C474" s="27"/>
      <c r="Y474" s="207">
        <f t="shared" si="21"/>
        <v>0</v>
      </c>
      <c r="Z474" s="207">
        <f t="shared" si="21"/>
        <v>0</v>
      </c>
      <c r="AA474" s="207">
        <f t="shared" si="22"/>
        <v>61.18043327331543</v>
      </c>
      <c r="AB474" s="207">
        <f t="shared" si="23"/>
        <v>47.812652587890625</v>
      </c>
    </row>
    <row r="475" spans="3:28">
      <c r="C475" s="27"/>
      <c r="Y475" s="207">
        <f t="shared" si="21"/>
        <v>0</v>
      </c>
      <c r="Z475" s="207">
        <f t="shared" si="21"/>
        <v>0</v>
      </c>
      <c r="AA475" s="207">
        <f t="shared" si="22"/>
        <v>61.18043327331543</v>
      </c>
      <c r="AB475" s="207">
        <f t="shared" si="23"/>
        <v>47.812652587890625</v>
      </c>
    </row>
    <row r="476" spans="3:28">
      <c r="C476" s="27"/>
      <c r="Y476" s="207">
        <f t="shared" si="21"/>
        <v>0</v>
      </c>
      <c r="Z476" s="207">
        <f t="shared" si="21"/>
        <v>0</v>
      </c>
      <c r="AA476" s="207">
        <f t="shared" si="22"/>
        <v>61.18043327331543</v>
      </c>
      <c r="AB476" s="207">
        <f t="shared" si="23"/>
        <v>47.812652587890625</v>
      </c>
    </row>
    <row r="477" spans="3:28">
      <c r="C477" s="27"/>
      <c r="Y477" s="207">
        <f t="shared" si="21"/>
        <v>0</v>
      </c>
      <c r="Z477" s="207">
        <f t="shared" si="21"/>
        <v>0</v>
      </c>
      <c r="AA477" s="207">
        <f t="shared" si="22"/>
        <v>61.18043327331543</v>
      </c>
      <c r="AB477" s="207">
        <f t="shared" si="23"/>
        <v>47.812652587890625</v>
      </c>
    </row>
    <row r="478" spans="3:28">
      <c r="C478" s="27"/>
      <c r="Y478" s="207">
        <f t="shared" si="21"/>
        <v>0</v>
      </c>
      <c r="Z478" s="207">
        <f t="shared" si="21"/>
        <v>0</v>
      </c>
      <c r="AA478" s="207">
        <f t="shared" si="22"/>
        <v>61.18043327331543</v>
      </c>
      <c r="AB478" s="207">
        <f t="shared" si="23"/>
        <v>47.812652587890625</v>
      </c>
    </row>
    <row r="479" spans="3:28">
      <c r="C479" s="27"/>
      <c r="Y479" s="207">
        <f t="shared" si="21"/>
        <v>0</v>
      </c>
      <c r="Z479" s="207">
        <f t="shared" si="21"/>
        <v>0</v>
      </c>
      <c r="AA479" s="207">
        <f t="shared" si="22"/>
        <v>61.18043327331543</v>
      </c>
      <c r="AB479" s="207">
        <f t="shared" si="23"/>
        <v>47.812652587890625</v>
      </c>
    </row>
    <row r="480" spans="3:28">
      <c r="C480" s="27"/>
      <c r="Y480" s="207">
        <f t="shared" si="21"/>
        <v>0</v>
      </c>
      <c r="Z480" s="207">
        <f t="shared" si="21"/>
        <v>0</v>
      </c>
      <c r="AA480" s="207">
        <f t="shared" si="22"/>
        <v>61.18043327331543</v>
      </c>
      <c r="AB480" s="207">
        <f t="shared" si="23"/>
        <v>47.812652587890625</v>
      </c>
    </row>
    <row r="481" spans="3:28">
      <c r="C481" s="27"/>
      <c r="Y481" s="207">
        <f t="shared" si="21"/>
        <v>0</v>
      </c>
      <c r="Z481" s="207">
        <f t="shared" si="21"/>
        <v>0</v>
      </c>
      <c r="AA481" s="207">
        <f t="shared" si="22"/>
        <v>61.18043327331543</v>
      </c>
      <c r="AB481" s="207">
        <f t="shared" si="23"/>
        <v>47.812652587890625</v>
      </c>
    </row>
    <row r="482" spans="3:28">
      <c r="C482" s="27"/>
      <c r="Y482" s="207">
        <f t="shared" si="21"/>
        <v>0</v>
      </c>
      <c r="Z482" s="207">
        <f t="shared" si="21"/>
        <v>0</v>
      </c>
      <c r="AA482" s="207">
        <f t="shared" si="22"/>
        <v>61.18043327331543</v>
      </c>
      <c r="AB482" s="207">
        <f t="shared" si="23"/>
        <v>47.812652587890625</v>
      </c>
    </row>
    <row r="483" spans="3:28">
      <c r="C483" s="27"/>
      <c r="Y483" s="207">
        <f t="shared" si="21"/>
        <v>0</v>
      </c>
      <c r="Z483" s="207">
        <f t="shared" si="21"/>
        <v>0</v>
      </c>
      <c r="AA483" s="207">
        <f t="shared" si="22"/>
        <v>61.18043327331543</v>
      </c>
      <c r="AB483" s="207">
        <f t="shared" si="23"/>
        <v>47.812652587890625</v>
      </c>
    </row>
    <row r="484" spans="3:28">
      <c r="C484" s="27"/>
      <c r="Y484" s="207">
        <f t="shared" si="21"/>
        <v>0</v>
      </c>
      <c r="Z484" s="207">
        <f t="shared" si="21"/>
        <v>0</v>
      </c>
      <c r="AA484" s="207">
        <f t="shared" si="22"/>
        <v>61.18043327331543</v>
      </c>
      <c r="AB484" s="207">
        <f t="shared" si="23"/>
        <v>47.812652587890625</v>
      </c>
    </row>
    <row r="485" spans="3:28">
      <c r="C485" s="27"/>
      <c r="Y485" s="207">
        <f t="shared" si="21"/>
        <v>0</v>
      </c>
      <c r="Z485" s="207">
        <f t="shared" si="21"/>
        <v>0</v>
      </c>
      <c r="AA485" s="207">
        <f t="shared" si="22"/>
        <v>61.18043327331543</v>
      </c>
      <c r="AB485" s="207">
        <f t="shared" si="23"/>
        <v>47.812652587890625</v>
      </c>
    </row>
    <row r="486" spans="3:28">
      <c r="C486" s="27"/>
      <c r="Y486" s="207">
        <f t="shared" si="21"/>
        <v>0</v>
      </c>
      <c r="Z486" s="207">
        <f t="shared" si="21"/>
        <v>0</v>
      </c>
      <c r="AA486" s="207">
        <f t="shared" si="22"/>
        <v>61.18043327331543</v>
      </c>
      <c r="AB486" s="207">
        <f t="shared" si="23"/>
        <v>47.812652587890625</v>
      </c>
    </row>
    <row r="487" spans="3:28">
      <c r="C487" s="27"/>
      <c r="Y487" s="207">
        <f t="shared" si="21"/>
        <v>0</v>
      </c>
      <c r="Z487" s="207">
        <f t="shared" si="21"/>
        <v>0</v>
      </c>
      <c r="AA487" s="207">
        <f t="shared" si="22"/>
        <v>61.18043327331543</v>
      </c>
      <c r="AB487" s="207">
        <f t="shared" si="23"/>
        <v>47.812652587890625</v>
      </c>
    </row>
    <row r="488" spans="3:28">
      <c r="C488" s="27"/>
      <c r="Y488" s="207">
        <f t="shared" si="21"/>
        <v>0</v>
      </c>
      <c r="Z488" s="207">
        <f t="shared" si="21"/>
        <v>0</v>
      </c>
      <c r="AA488" s="207">
        <f t="shared" si="22"/>
        <v>61.18043327331543</v>
      </c>
      <c r="AB488" s="207">
        <f t="shared" si="23"/>
        <v>47.812652587890625</v>
      </c>
    </row>
    <row r="489" spans="3:28">
      <c r="C489" s="27"/>
      <c r="Y489" s="207">
        <f t="shared" si="21"/>
        <v>0</v>
      </c>
      <c r="Z489" s="207">
        <f t="shared" si="21"/>
        <v>0</v>
      </c>
      <c r="AA489" s="207">
        <f t="shared" si="22"/>
        <v>61.18043327331543</v>
      </c>
      <c r="AB489" s="207">
        <f t="shared" si="23"/>
        <v>47.812652587890625</v>
      </c>
    </row>
    <row r="490" spans="3:28">
      <c r="C490" s="27"/>
      <c r="Y490" s="207">
        <f t="shared" si="21"/>
        <v>0</v>
      </c>
      <c r="Z490" s="207">
        <f t="shared" si="21"/>
        <v>0</v>
      </c>
      <c r="AA490" s="207">
        <f t="shared" si="22"/>
        <v>61.18043327331543</v>
      </c>
      <c r="AB490" s="207">
        <f t="shared" si="23"/>
        <v>47.812652587890625</v>
      </c>
    </row>
    <row r="491" spans="3:28">
      <c r="C491" s="27"/>
      <c r="Y491" s="207">
        <f t="shared" si="21"/>
        <v>0</v>
      </c>
      <c r="Z491" s="207">
        <f t="shared" si="21"/>
        <v>0</v>
      </c>
      <c r="AA491" s="207">
        <f t="shared" si="22"/>
        <v>61.18043327331543</v>
      </c>
      <c r="AB491" s="207">
        <f t="shared" si="23"/>
        <v>47.812652587890625</v>
      </c>
    </row>
    <row r="492" spans="3:28">
      <c r="C492" s="27"/>
      <c r="Y492" s="207">
        <f t="shared" si="21"/>
        <v>0</v>
      </c>
      <c r="Z492" s="207">
        <f t="shared" si="21"/>
        <v>0</v>
      </c>
      <c r="AA492" s="207">
        <f t="shared" si="22"/>
        <v>61.18043327331543</v>
      </c>
      <c r="AB492" s="207">
        <f t="shared" si="23"/>
        <v>47.812652587890625</v>
      </c>
    </row>
    <row r="493" spans="3:28">
      <c r="C493" s="27"/>
      <c r="Y493" s="207">
        <f t="shared" si="21"/>
        <v>0</v>
      </c>
      <c r="Z493" s="207">
        <f t="shared" si="21"/>
        <v>0</v>
      </c>
      <c r="AA493" s="207">
        <f t="shared" si="22"/>
        <v>61.18043327331543</v>
      </c>
      <c r="AB493" s="207">
        <f t="shared" si="23"/>
        <v>47.812652587890625</v>
      </c>
    </row>
    <row r="494" spans="3:28">
      <c r="C494" s="27"/>
      <c r="Y494" s="207">
        <f t="shared" si="21"/>
        <v>0</v>
      </c>
      <c r="Z494" s="207">
        <f t="shared" si="21"/>
        <v>0</v>
      </c>
      <c r="AA494" s="207">
        <f t="shared" si="22"/>
        <v>61.18043327331543</v>
      </c>
      <c r="AB494" s="207">
        <f t="shared" si="23"/>
        <v>47.812652587890625</v>
      </c>
    </row>
    <row r="495" spans="3:28">
      <c r="C495" s="27"/>
      <c r="Y495" s="207">
        <f t="shared" si="21"/>
        <v>0</v>
      </c>
      <c r="Z495" s="207">
        <f t="shared" si="21"/>
        <v>0</v>
      </c>
      <c r="AA495" s="207">
        <f t="shared" si="22"/>
        <v>61.18043327331543</v>
      </c>
      <c r="AB495" s="207">
        <f t="shared" si="23"/>
        <v>47.812652587890625</v>
      </c>
    </row>
    <row r="496" spans="3:28">
      <c r="C496" s="27"/>
      <c r="Y496" s="207">
        <f t="shared" si="21"/>
        <v>0</v>
      </c>
      <c r="Z496" s="207">
        <f t="shared" si="21"/>
        <v>0</v>
      </c>
      <c r="AA496" s="207">
        <f t="shared" si="22"/>
        <v>61.18043327331543</v>
      </c>
      <c r="AB496" s="207">
        <f t="shared" si="23"/>
        <v>47.812652587890625</v>
      </c>
    </row>
    <row r="497" spans="3:28">
      <c r="C497" s="27"/>
      <c r="Y497" s="207">
        <f t="shared" si="21"/>
        <v>0</v>
      </c>
      <c r="Z497" s="207">
        <f t="shared" si="21"/>
        <v>0</v>
      </c>
      <c r="AA497" s="207">
        <f t="shared" si="22"/>
        <v>61.18043327331543</v>
      </c>
      <c r="AB497" s="207">
        <f t="shared" si="23"/>
        <v>47.812652587890625</v>
      </c>
    </row>
    <row r="498" spans="3:28">
      <c r="C498" s="27"/>
      <c r="Y498" s="207">
        <f t="shared" si="21"/>
        <v>0</v>
      </c>
      <c r="Z498" s="207">
        <f t="shared" si="21"/>
        <v>0</v>
      </c>
      <c r="AA498" s="207">
        <f t="shared" si="22"/>
        <v>61.18043327331543</v>
      </c>
      <c r="AB498" s="207">
        <f t="shared" si="23"/>
        <v>47.812652587890625</v>
      </c>
    </row>
    <row r="499" spans="3:28">
      <c r="C499" s="27"/>
      <c r="Y499" s="207">
        <f t="shared" si="21"/>
        <v>0</v>
      </c>
      <c r="Z499" s="207">
        <f t="shared" si="21"/>
        <v>0</v>
      </c>
      <c r="AA499" s="207">
        <f t="shared" si="22"/>
        <v>61.18043327331543</v>
      </c>
      <c r="AB499" s="207">
        <f t="shared" si="23"/>
        <v>47.812652587890625</v>
      </c>
    </row>
    <row r="500" spans="3:28">
      <c r="C500" s="27"/>
      <c r="Y500" s="207">
        <f t="shared" si="21"/>
        <v>0</v>
      </c>
      <c r="Z500" s="207">
        <f t="shared" si="21"/>
        <v>0</v>
      </c>
      <c r="AA500" s="207">
        <f t="shared" si="22"/>
        <v>61.18043327331543</v>
      </c>
      <c r="AB500" s="207">
        <f t="shared" si="23"/>
        <v>47.812652587890625</v>
      </c>
    </row>
    <row r="501" spans="3:28">
      <c r="C501" s="27"/>
      <c r="Y501" s="207">
        <f t="shared" si="21"/>
        <v>0</v>
      </c>
      <c r="Z501" s="207">
        <f t="shared" si="21"/>
        <v>0</v>
      </c>
      <c r="AA501" s="207">
        <f t="shared" si="22"/>
        <v>61.18043327331543</v>
      </c>
      <c r="AB501" s="207">
        <f t="shared" si="23"/>
        <v>47.812652587890625</v>
      </c>
    </row>
    <row r="502" spans="3:28">
      <c r="C502" s="27"/>
      <c r="Y502" s="207">
        <f t="shared" si="21"/>
        <v>0</v>
      </c>
      <c r="Z502" s="207">
        <f t="shared" si="21"/>
        <v>0</v>
      </c>
      <c r="AA502" s="207">
        <f t="shared" si="22"/>
        <v>61.18043327331543</v>
      </c>
      <c r="AB502" s="207">
        <f t="shared" si="23"/>
        <v>47.812652587890625</v>
      </c>
    </row>
    <row r="503" spans="3:28">
      <c r="C503" s="27"/>
      <c r="Y503" s="207">
        <f t="shared" si="21"/>
        <v>0</v>
      </c>
      <c r="Z503" s="207">
        <f t="shared" si="21"/>
        <v>0</v>
      </c>
      <c r="AA503" s="207">
        <f t="shared" si="22"/>
        <v>61.18043327331543</v>
      </c>
      <c r="AB503" s="207">
        <f t="shared" si="23"/>
        <v>47.812652587890625</v>
      </c>
    </row>
    <row r="504" spans="3:28">
      <c r="C504" s="27"/>
      <c r="Y504" s="207">
        <f t="shared" si="21"/>
        <v>0</v>
      </c>
      <c r="Z504" s="207">
        <f t="shared" si="21"/>
        <v>0</v>
      </c>
      <c r="AA504" s="207">
        <f t="shared" si="22"/>
        <v>61.18043327331543</v>
      </c>
      <c r="AB504" s="207">
        <f t="shared" si="23"/>
        <v>47.812652587890625</v>
      </c>
    </row>
    <row r="505" spans="3:28">
      <c r="C505" s="27"/>
      <c r="Y505" s="207">
        <f t="shared" si="21"/>
        <v>0</v>
      </c>
      <c r="Z505" s="207">
        <f t="shared" si="21"/>
        <v>0</v>
      </c>
      <c r="AA505" s="207">
        <f t="shared" si="22"/>
        <v>61.18043327331543</v>
      </c>
      <c r="AB505" s="207">
        <f t="shared" si="23"/>
        <v>47.812652587890625</v>
      </c>
    </row>
    <row r="506" spans="3:28">
      <c r="C506" s="27"/>
      <c r="Y506" s="207">
        <f t="shared" si="21"/>
        <v>0</v>
      </c>
      <c r="Z506" s="207">
        <f t="shared" si="21"/>
        <v>0</v>
      </c>
      <c r="AA506" s="207">
        <f t="shared" si="22"/>
        <v>61.18043327331543</v>
      </c>
      <c r="AB506" s="207">
        <f t="shared" si="23"/>
        <v>47.812652587890625</v>
      </c>
    </row>
    <row r="507" spans="3:28">
      <c r="C507" s="27"/>
      <c r="Y507" s="207">
        <f t="shared" si="21"/>
        <v>0</v>
      </c>
      <c r="Z507" s="207">
        <f t="shared" si="21"/>
        <v>0</v>
      </c>
      <c r="AA507" s="207">
        <f t="shared" si="22"/>
        <v>61.18043327331543</v>
      </c>
      <c r="AB507" s="207">
        <f t="shared" si="23"/>
        <v>47.812652587890625</v>
      </c>
    </row>
    <row r="508" spans="3:28">
      <c r="C508" s="27"/>
      <c r="Y508" s="207">
        <f t="shared" si="21"/>
        <v>0</v>
      </c>
      <c r="Z508" s="207">
        <f t="shared" si="21"/>
        <v>0</v>
      </c>
      <c r="AA508" s="207">
        <f t="shared" si="22"/>
        <v>61.18043327331543</v>
      </c>
      <c r="AB508" s="207">
        <f t="shared" si="23"/>
        <v>47.812652587890625</v>
      </c>
    </row>
    <row r="509" spans="3:28">
      <c r="C509" s="27"/>
      <c r="Y509" s="207">
        <f t="shared" si="21"/>
        <v>0</v>
      </c>
      <c r="Z509" s="207">
        <f t="shared" si="21"/>
        <v>0</v>
      </c>
      <c r="AA509" s="207">
        <f t="shared" si="22"/>
        <v>61.18043327331543</v>
      </c>
      <c r="AB509" s="207">
        <f t="shared" si="23"/>
        <v>47.812652587890625</v>
      </c>
    </row>
    <row r="510" spans="3:28">
      <c r="C510" s="27"/>
      <c r="Y510" s="207">
        <f t="shared" si="21"/>
        <v>0</v>
      </c>
      <c r="Z510" s="207">
        <f t="shared" si="21"/>
        <v>0</v>
      </c>
      <c r="AA510" s="207">
        <f t="shared" si="22"/>
        <v>61.18043327331543</v>
      </c>
      <c r="AB510" s="207">
        <f t="shared" si="23"/>
        <v>47.812652587890625</v>
      </c>
    </row>
    <row r="511" spans="3:28">
      <c r="C511" s="27"/>
      <c r="Y511" s="207">
        <f t="shared" si="21"/>
        <v>0</v>
      </c>
      <c r="Z511" s="207">
        <f t="shared" si="21"/>
        <v>0</v>
      </c>
      <c r="AA511" s="207">
        <f t="shared" si="22"/>
        <v>61.18043327331543</v>
      </c>
      <c r="AB511" s="207">
        <f t="shared" si="23"/>
        <v>47.812652587890625</v>
      </c>
    </row>
    <row r="512" spans="3:28">
      <c r="C512" s="27"/>
      <c r="Y512" s="207">
        <f t="shared" si="21"/>
        <v>0</v>
      </c>
      <c r="Z512" s="207">
        <f t="shared" si="21"/>
        <v>0</v>
      </c>
      <c r="AA512" s="207">
        <f t="shared" si="22"/>
        <v>61.18043327331543</v>
      </c>
      <c r="AB512" s="207">
        <f t="shared" si="23"/>
        <v>47.812652587890625</v>
      </c>
    </row>
    <row r="513" spans="3:28">
      <c r="C513" s="27"/>
      <c r="Y513" s="207">
        <f t="shared" si="21"/>
        <v>0</v>
      </c>
      <c r="Z513" s="207">
        <f t="shared" si="21"/>
        <v>0</v>
      </c>
      <c r="AA513" s="207">
        <f t="shared" si="22"/>
        <v>61.18043327331543</v>
      </c>
      <c r="AB513" s="207">
        <f t="shared" si="23"/>
        <v>47.812652587890625</v>
      </c>
    </row>
    <row r="514" spans="3:28">
      <c r="C514" s="27"/>
      <c r="Y514" s="207">
        <f t="shared" si="21"/>
        <v>0</v>
      </c>
      <c r="Z514" s="207">
        <f t="shared" si="21"/>
        <v>0</v>
      </c>
      <c r="AA514" s="207">
        <f t="shared" si="22"/>
        <v>61.18043327331543</v>
      </c>
      <c r="AB514" s="207">
        <f t="shared" si="23"/>
        <v>47.812652587890625</v>
      </c>
    </row>
    <row r="515" spans="3:28">
      <c r="C515" s="27"/>
      <c r="Y515" s="207">
        <f t="shared" si="21"/>
        <v>0</v>
      </c>
      <c r="Z515" s="207">
        <f t="shared" si="21"/>
        <v>0</v>
      </c>
      <c r="AA515" s="207">
        <f t="shared" si="22"/>
        <v>61.18043327331543</v>
      </c>
      <c r="AB515" s="207">
        <f t="shared" si="23"/>
        <v>47.812652587890625</v>
      </c>
    </row>
    <row r="516" spans="3:28">
      <c r="C516" s="27"/>
      <c r="Y516" s="207">
        <f t="shared" si="21"/>
        <v>0</v>
      </c>
      <c r="Z516" s="207">
        <f t="shared" si="21"/>
        <v>0</v>
      </c>
      <c r="AA516" s="207">
        <f t="shared" si="22"/>
        <v>61.18043327331543</v>
      </c>
      <c r="AB516" s="207">
        <f t="shared" si="23"/>
        <v>47.812652587890625</v>
      </c>
    </row>
    <row r="517" spans="3:28">
      <c r="C517" s="27"/>
      <c r="Y517" s="207">
        <f t="shared" si="21"/>
        <v>0</v>
      </c>
      <c r="Z517" s="207">
        <f t="shared" si="21"/>
        <v>0</v>
      </c>
      <c r="AA517" s="207">
        <f t="shared" si="22"/>
        <v>61.18043327331543</v>
      </c>
      <c r="AB517" s="207">
        <f t="shared" si="23"/>
        <v>47.812652587890625</v>
      </c>
    </row>
    <row r="518" spans="3:28">
      <c r="C518" s="27"/>
      <c r="Y518" s="207">
        <f t="shared" si="21"/>
        <v>0</v>
      </c>
      <c r="Z518" s="207">
        <f t="shared" si="21"/>
        <v>0</v>
      </c>
      <c r="AA518" s="207">
        <f t="shared" si="22"/>
        <v>61.18043327331543</v>
      </c>
      <c r="AB518" s="207">
        <f t="shared" si="23"/>
        <v>47.812652587890625</v>
      </c>
    </row>
    <row r="519" spans="3:28">
      <c r="C519" s="27"/>
      <c r="Y519" s="207">
        <f t="shared" si="21"/>
        <v>0</v>
      </c>
      <c r="Z519" s="207">
        <f t="shared" si="21"/>
        <v>0</v>
      </c>
      <c r="AA519" s="207">
        <f t="shared" si="22"/>
        <v>61.18043327331543</v>
      </c>
      <c r="AB519" s="207">
        <f t="shared" si="23"/>
        <v>47.812652587890625</v>
      </c>
    </row>
    <row r="520" spans="3:28">
      <c r="C520" s="27"/>
      <c r="Y520" s="207">
        <f t="shared" si="21"/>
        <v>0</v>
      </c>
      <c r="Z520" s="207">
        <f t="shared" si="21"/>
        <v>0</v>
      </c>
      <c r="AA520" s="207">
        <f t="shared" si="22"/>
        <v>61.18043327331543</v>
      </c>
      <c r="AB520" s="207">
        <f t="shared" si="23"/>
        <v>47.812652587890625</v>
      </c>
    </row>
    <row r="521" spans="3:28">
      <c r="C521" s="27"/>
      <c r="Y521" s="207">
        <f t="shared" si="21"/>
        <v>0</v>
      </c>
      <c r="Z521" s="207">
        <f t="shared" si="21"/>
        <v>0</v>
      </c>
      <c r="AA521" s="207">
        <f t="shared" si="22"/>
        <v>61.18043327331543</v>
      </c>
      <c r="AB521" s="207">
        <f t="shared" si="23"/>
        <v>47.812652587890625</v>
      </c>
    </row>
    <row r="522" spans="3:28">
      <c r="C522" s="27"/>
      <c r="Y522" s="207">
        <f t="shared" si="21"/>
        <v>0</v>
      </c>
      <c r="Z522" s="207">
        <f t="shared" si="21"/>
        <v>0</v>
      </c>
      <c r="AA522" s="207">
        <f t="shared" si="22"/>
        <v>61.18043327331543</v>
      </c>
      <c r="AB522" s="207">
        <f t="shared" si="23"/>
        <v>47.812652587890625</v>
      </c>
    </row>
    <row r="523" spans="3:28">
      <c r="C523" s="27"/>
      <c r="Y523" s="207">
        <f t="shared" si="21"/>
        <v>0</v>
      </c>
      <c r="Z523" s="207">
        <f t="shared" si="21"/>
        <v>0</v>
      </c>
      <c r="AA523" s="207">
        <f t="shared" si="22"/>
        <v>61.18043327331543</v>
      </c>
      <c r="AB523" s="207">
        <f t="shared" si="23"/>
        <v>47.812652587890625</v>
      </c>
    </row>
    <row r="524" spans="3:28">
      <c r="C524" s="27"/>
      <c r="Y524" s="207">
        <f t="shared" si="21"/>
        <v>0</v>
      </c>
      <c r="Z524" s="207">
        <f t="shared" si="21"/>
        <v>0</v>
      </c>
      <c r="AA524" s="207">
        <f t="shared" si="22"/>
        <v>61.18043327331543</v>
      </c>
      <c r="AB524" s="207">
        <f t="shared" si="23"/>
        <v>47.812652587890625</v>
      </c>
    </row>
    <row r="525" spans="3:28">
      <c r="C525" s="27"/>
      <c r="Y525" s="207">
        <f t="shared" si="21"/>
        <v>0</v>
      </c>
      <c r="Z525" s="207">
        <f t="shared" si="21"/>
        <v>0</v>
      </c>
      <c r="AA525" s="207">
        <f t="shared" si="22"/>
        <v>61.18043327331543</v>
      </c>
      <c r="AB525" s="207">
        <f t="shared" si="23"/>
        <v>47.812652587890625</v>
      </c>
    </row>
    <row r="526" spans="3:28">
      <c r="C526" s="27"/>
      <c r="Y526" s="207">
        <f t="shared" si="21"/>
        <v>0</v>
      </c>
      <c r="Z526" s="207">
        <f t="shared" si="21"/>
        <v>0</v>
      </c>
      <c r="AA526" s="207">
        <f t="shared" si="22"/>
        <v>61.18043327331543</v>
      </c>
      <c r="AB526" s="207">
        <f t="shared" si="23"/>
        <v>47.812652587890625</v>
      </c>
    </row>
    <row r="527" spans="3:28">
      <c r="C527" s="27"/>
      <c r="Y527" s="207">
        <f t="shared" ref="Y527:Z590" si="24">B527</f>
        <v>0</v>
      </c>
      <c r="Z527" s="207">
        <f t="shared" si="24"/>
        <v>0</v>
      </c>
      <c r="AA527" s="207">
        <f t="shared" ref="AA527:AA590" si="25">I$26</f>
        <v>61.18043327331543</v>
      </c>
      <c r="AB527" s="207">
        <f t="shared" ref="AB527:AB590" si="26">I$23</f>
        <v>47.812652587890625</v>
      </c>
    </row>
    <row r="528" spans="3:28">
      <c r="C528" s="27"/>
      <c r="Y528" s="207">
        <f t="shared" si="24"/>
        <v>0</v>
      </c>
      <c r="Z528" s="207">
        <f t="shared" si="24"/>
        <v>0</v>
      </c>
      <c r="AA528" s="207">
        <f t="shared" si="25"/>
        <v>61.18043327331543</v>
      </c>
      <c r="AB528" s="207">
        <f t="shared" si="26"/>
        <v>47.812652587890625</v>
      </c>
    </row>
    <row r="529" spans="3:28">
      <c r="C529" s="27"/>
      <c r="Y529" s="207">
        <f t="shared" si="24"/>
        <v>0</v>
      </c>
      <c r="Z529" s="207">
        <f t="shared" si="24"/>
        <v>0</v>
      </c>
      <c r="AA529" s="207">
        <f t="shared" si="25"/>
        <v>61.18043327331543</v>
      </c>
      <c r="AB529" s="207">
        <f t="shared" si="26"/>
        <v>47.812652587890625</v>
      </c>
    </row>
    <row r="530" spans="3:28">
      <c r="C530" s="27"/>
      <c r="Y530" s="207">
        <f t="shared" si="24"/>
        <v>0</v>
      </c>
      <c r="Z530" s="207">
        <f t="shared" si="24"/>
        <v>0</v>
      </c>
      <c r="AA530" s="207">
        <f t="shared" si="25"/>
        <v>61.18043327331543</v>
      </c>
      <c r="AB530" s="207">
        <f t="shared" si="26"/>
        <v>47.812652587890625</v>
      </c>
    </row>
    <row r="531" spans="3:28">
      <c r="C531" s="27"/>
      <c r="Y531" s="207">
        <f t="shared" si="24"/>
        <v>0</v>
      </c>
      <c r="Z531" s="207">
        <f t="shared" si="24"/>
        <v>0</v>
      </c>
      <c r="AA531" s="207">
        <f t="shared" si="25"/>
        <v>61.18043327331543</v>
      </c>
      <c r="AB531" s="207">
        <f t="shared" si="26"/>
        <v>47.812652587890625</v>
      </c>
    </row>
    <row r="532" spans="3:28">
      <c r="C532" s="27"/>
      <c r="Y532" s="207">
        <f t="shared" si="24"/>
        <v>0</v>
      </c>
      <c r="Z532" s="207">
        <f t="shared" si="24"/>
        <v>0</v>
      </c>
      <c r="AA532" s="207">
        <f t="shared" si="25"/>
        <v>61.18043327331543</v>
      </c>
      <c r="AB532" s="207">
        <f t="shared" si="26"/>
        <v>47.812652587890625</v>
      </c>
    </row>
    <row r="533" spans="3:28">
      <c r="C533" s="27"/>
      <c r="Y533" s="207">
        <f t="shared" si="24"/>
        <v>0</v>
      </c>
      <c r="Z533" s="207">
        <f t="shared" si="24"/>
        <v>0</v>
      </c>
      <c r="AA533" s="207">
        <f t="shared" si="25"/>
        <v>61.18043327331543</v>
      </c>
      <c r="AB533" s="207">
        <f t="shared" si="26"/>
        <v>47.812652587890625</v>
      </c>
    </row>
    <row r="534" spans="3:28">
      <c r="C534" s="27"/>
      <c r="Y534" s="207">
        <f t="shared" si="24"/>
        <v>0</v>
      </c>
      <c r="Z534" s="207">
        <f t="shared" si="24"/>
        <v>0</v>
      </c>
      <c r="AA534" s="207">
        <f t="shared" si="25"/>
        <v>61.18043327331543</v>
      </c>
      <c r="AB534" s="207">
        <f t="shared" si="26"/>
        <v>47.812652587890625</v>
      </c>
    </row>
    <row r="535" spans="3:28">
      <c r="C535" s="27"/>
      <c r="Y535" s="207">
        <f t="shared" si="24"/>
        <v>0</v>
      </c>
      <c r="Z535" s="207">
        <f t="shared" si="24"/>
        <v>0</v>
      </c>
      <c r="AA535" s="207">
        <f t="shared" si="25"/>
        <v>61.18043327331543</v>
      </c>
      <c r="AB535" s="207">
        <f t="shared" si="26"/>
        <v>47.812652587890625</v>
      </c>
    </row>
    <row r="536" spans="3:28">
      <c r="C536" s="27"/>
      <c r="Y536" s="207">
        <f t="shared" si="24"/>
        <v>0</v>
      </c>
      <c r="Z536" s="207">
        <f t="shared" si="24"/>
        <v>0</v>
      </c>
      <c r="AA536" s="207">
        <f t="shared" si="25"/>
        <v>61.18043327331543</v>
      </c>
      <c r="AB536" s="207">
        <f t="shared" si="26"/>
        <v>47.812652587890625</v>
      </c>
    </row>
    <row r="537" spans="3:28">
      <c r="C537" s="27"/>
      <c r="Y537" s="207">
        <f t="shared" si="24"/>
        <v>0</v>
      </c>
      <c r="Z537" s="207">
        <f t="shared" si="24"/>
        <v>0</v>
      </c>
      <c r="AA537" s="207">
        <f t="shared" si="25"/>
        <v>61.18043327331543</v>
      </c>
      <c r="AB537" s="207">
        <f t="shared" si="26"/>
        <v>47.812652587890625</v>
      </c>
    </row>
    <row r="538" spans="3:28">
      <c r="C538" s="27"/>
      <c r="Y538" s="207">
        <f t="shared" si="24"/>
        <v>0</v>
      </c>
      <c r="Z538" s="207">
        <f t="shared" si="24"/>
        <v>0</v>
      </c>
      <c r="AA538" s="207">
        <f t="shared" si="25"/>
        <v>61.18043327331543</v>
      </c>
      <c r="AB538" s="207">
        <f t="shared" si="26"/>
        <v>47.812652587890625</v>
      </c>
    </row>
    <row r="539" spans="3:28">
      <c r="C539" s="27"/>
      <c r="Y539" s="207">
        <f t="shared" si="24"/>
        <v>0</v>
      </c>
      <c r="Z539" s="207">
        <f t="shared" si="24"/>
        <v>0</v>
      </c>
      <c r="AA539" s="207">
        <f t="shared" si="25"/>
        <v>61.18043327331543</v>
      </c>
      <c r="AB539" s="207">
        <f t="shared" si="26"/>
        <v>47.812652587890625</v>
      </c>
    </row>
    <row r="540" spans="3:28">
      <c r="C540" s="27"/>
      <c r="Y540" s="207">
        <f t="shared" si="24"/>
        <v>0</v>
      </c>
      <c r="Z540" s="207">
        <f t="shared" si="24"/>
        <v>0</v>
      </c>
      <c r="AA540" s="207">
        <f t="shared" si="25"/>
        <v>61.18043327331543</v>
      </c>
      <c r="AB540" s="207">
        <f t="shared" si="26"/>
        <v>47.812652587890625</v>
      </c>
    </row>
    <row r="541" spans="3:28">
      <c r="C541" s="27"/>
      <c r="Y541" s="207">
        <f t="shared" si="24"/>
        <v>0</v>
      </c>
      <c r="Z541" s="207">
        <f t="shared" si="24"/>
        <v>0</v>
      </c>
      <c r="AA541" s="207">
        <f t="shared" si="25"/>
        <v>61.18043327331543</v>
      </c>
      <c r="AB541" s="207">
        <f t="shared" si="26"/>
        <v>47.812652587890625</v>
      </c>
    </row>
    <row r="542" spans="3:28">
      <c r="C542" s="27"/>
      <c r="Y542" s="207">
        <f t="shared" si="24"/>
        <v>0</v>
      </c>
      <c r="Z542" s="207">
        <f t="shared" si="24"/>
        <v>0</v>
      </c>
      <c r="AA542" s="207">
        <f t="shared" si="25"/>
        <v>61.18043327331543</v>
      </c>
      <c r="AB542" s="207">
        <f t="shared" si="26"/>
        <v>47.812652587890625</v>
      </c>
    </row>
    <row r="543" spans="3:28">
      <c r="C543" s="27"/>
      <c r="Y543" s="207">
        <f t="shared" si="24"/>
        <v>0</v>
      </c>
      <c r="Z543" s="207">
        <f t="shared" si="24"/>
        <v>0</v>
      </c>
      <c r="AA543" s="207">
        <f t="shared" si="25"/>
        <v>61.18043327331543</v>
      </c>
      <c r="AB543" s="207">
        <f t="shared" si="26"/>
        <v>47.812652587890625</v>
      </c>
    </row>
    <row r="544" spans="3:28">
      <c r="C544" s="27"/>
      <c r="Y544" s="207">
        <f t="shared" si="24"/>
        <v>0</v>
      </c>
      <c r="Z544" s="207">
        <f t="shared" si="24"/>
        <v>0</v>
      </c>
      <c r="AA544" s="207">
        <f t="shared" si="25"/>
        <v>61.18043327331543</v>
      </c>
      <c r="AB544" s="207">
        <f t="shared" si="26"/>
        <v>47.812652587890625</v>
      </c>
    </row>
    <row r="545" spans="3:28">
      <c r="C545" s="27"/>
      <c r="Y545" s="207">
        <f t="shared" si="24"/>
        <v>0</v>
      </c>
      <c r="Z545" s="207">
        <f t="shared" si="24"/>
        <v>0</v>
      </c>
      <c r="AA545" s="207">
        <f t="shared" si="25"/>
        <v>61.18043327331543</v>
      </c>
      <c r="AB545" s="207">
        <f t="shared" si="26"/>
        <v>47.812652587890625</v>
      </c>
    </row>
    <row r="546" spans="3:28">
      <c r="C546" s="27"/>
      <c r="Y546" s="207">
        <f t="shared" si="24"/>
        <v>0</v>
      </c>
      <c r="Z546" s="207">
        <f t="shared" si="24"/>
        <v>0</v>
      </c>
      <c r="AA546" s="207">
        <f t="shared" si="25"/>
        <v>61.18043327331543</v>
      </c>
      <c r="AB546" s="207">
        <f t="shared" si="26"/>
        <v>47.812652587890625</v>
      </c>
    </row>
    <row r="547" spans="3:28">
      <c r="C547" s="27"/>
      <c r="Y547" s="207">
        <f t="shared" si="24"/>
        <v>0</v>
      </c>
      <c r="Z547" s="207">
        <f t="shared" si="24"/>
        <v>0</v>
      </c>
      <c r="AA547" s="207">
        <f t="shared" si="25"/>
        <v>61.18043327331543</v>
      </c>
      <c r="AB547" s="207">
        <f t="shared" si="26"/>
        <v>47.812652587890625</v>
      </c>
    </row>
    <row r="548" spans="3:28">
      <c r="C548" s="27"/>
      <c r="Y548" s="207">
        <f t="shared" si="24"/>
        <v>0</v>
      </c>
      <c r="Z548" s="207">
        <f t="shared" si="24"/>
        <v>0</v>
      </c>
      <c r="AA548" s="207">
        <f t="shared" si="25"/>
        <v>61.18043327331543</v>
      </c>
      <c r="AB548" s="207">
        <f t="shared" si="26"/>
        <v>47.812652587890625</v>
      </c>
    </row>
    <row r="549" spans="3:28">
      <c r="C549" s="27"/>
      <c r="Y549" s="207">
        <f t="shared" si="24"/>
        <v>0</v>
      </c>
      <c r="Z549" s="207">
        <f t="shared" si="24"/>
        <v>0</v>
      </c>
      <c r="AA549" s="207">
        <f t="shared" si="25"/>
        <v>61.18043327331543</v>
      </c>
      <c r="AB549" s="207">
        <f t="shared" si="26"/>
        <v>47.812652587890625</v>
      </c>
    </row>
    <row r="550" spans="3:28">
      <c r="C550" s="27"/>
      <c r="Y550" s="207">
        <f t="shared" si="24"/>
        <v>0</v>
      </c>
      <c r="Z550" s="207">
        <f t="shared" si="24"/>
        <v>0</v>
      </c>
      <c r="AA550" s="207">
        <f t="shared" si="25"/>
        <v>61.18043327331543</v>
      </c>
      <c r="AB550" s="207">
        <f t="shared" si="26"/>
        <v>47.812652587890625</v>
      </c>
    </row>
    <row r="551" spans="3:28">
      <c r="C551" s="27"/>
      <c r="Y551" s="207">
        <f t="shared" si="24"/>
        <v>0</v>
      </c>
      <c r="Z551" s="207">
        <f t="shared" si="24"/>
        <v>0</v>
      </c>
      <c r="AA551" s="207">
        <f t="shared" si="25"/>
        <v>61.18043327331543</v>
      </c>
      <c r="AB551" s="207">
        <f t="shared" si="26"/>
        <v>47.812652587890625</v>
      </c>
    </row>
    <row r="552" spans="3:28">
      <c r="C552" s="27"/>
      <c r="Y552" s="207">
        <f t="shared" si="24"/>
        <v>0</v>
      </c>
      <c r="Z552" s="207">
        <f t="shared" si="24"/>
        <v>0</v>
      </c>
      <c r="AA552" s="207">
        <f t="shared" si="25"/>
        <v>61.18043327331543</v>
      </c>
      <c r="AB552" s="207">
        <f t="shared" si="26"/>
        <v>47.812652587890625</v>
      </c>
    </row>
    <row r="553" spans="3:28">
      <c r="C553" s="27"/>
      <c r="Y553" s="207">
        <f t="shared" si="24"/>
        <v>0</v>
      </c>
      <c r="Z553" s="207">
        <f t="shared" si="24"/>
        <v>0</v>
      </c>
      <c r="AA553" s="207">
        <f t="shared" si="25"/>
        <v>61.18043327331543</v>
      </c>
      <c r="AB553" s="207">
        <f t="shared" si="26"/>
        <v>47.812652587890625</v>
      </c>
    </row>
    <row r="554" spans="3:28">
      <c r="C554" s="27"/>
      <c r="Y554" s="207">
        <f t="shared" si="24"/>
        <v>0</v>
      </c>
      <c r="Z554" s="207">
        <f t="shared" si="24"/>
        <v>0</v>
      </c>
      <c r="AA554" s="207">
        <f t="shared" si="25"/>
        <v>61.18043327331543</v>
      </c>
      <c r="AB554" s="207">
        <f t="shared" si="26"/>
        <v>47.812652587890625</v>
      </c>
    </row>
    <row r="555" spans="3:28">
      <c r="C555" s="27"/>
      <c r="Y555" s="207">
        <f t="shared" si="24"/>
        <v>0</v>
      </c>
      <c r="Z555" s="207">
        <f t="shared" si="24"/>
        <v>0</v>
      </c>
      <c r="AA555" s="207">
        <f t="shared" si="25"/>
        <v>61.18043327331543</v>
      </c>
      <c r="AB555" s="207">
        <f t="shared" si="26"/>
        <v>47.812652587890625</v>
      </c>
    </row>
    <row r="556" spans="3:28">
      <c r="C556" s="27"/>
      <c r="Y556" s="207">
        <f t="shared" si="24"/>
        <v>0</v>
      </c>
      <c r="Z556" s="207">
        <f t="shared" si="24"/>
        <v>0</v>
      </c>
      <c r="AA556" s="207">
        <f t="shared" si="25"/>
        <v>61.18043327331543</v>
      </c>
      <c r="AB556" s="207">
        <f t="shared" si="26"/>
        <v>47.812652587890625</v>
      </c>
    </row>
    <row r="557" spans="3:28">
      <c r="C557" s="27"/>
      <c r="Y557" s="207">
        <f t="shared" si="24"/>
        <v>0</v>
      </c>
      <c r="Z557" s="207">
        <f t="shared" si="24"/>
        <v>0</v>
      </c>
      <c r="AA557" s="207">
        <f t="shared" si="25"/>
        <v>61.18043327331543</v>
      </c>
      <c r="AB557" s="207">
        <f t="shared" si="26"/>
        <v>47.812652587890625</v>
      </c>
    </row>
    <row r="558" spans="3:28">
      <c r="C558" s="27"/>
      <c r="Y558" s="207">
        <f t="shared" si="24"/>
        <v>0</v>
      </c>
      <c r="Z558" s="207">
        <f t="shared" si="24"/>
        <v>0</v>
      </c>
      <c r="AA558" s="207">
        <f t="shared" si="25"/>
        <v>61.18043327331543</v>
      </c>
      <c r="AB558" s="207">
        <f t="shared" si="26"/>
        <v>47.812652587890625</v>
      </c>
    </row>
    <row r="559" spans="3:28">
      <c r="C559" s="27"/>
      <c r="Y559" s="207">
        <f t="shared" si="24"/>
        <v>0</v>
      </c>
      <c r="Z559" s="207">
        <f t="shared" si="24"/>
        <v>0</v>
      </c>
      <c r="AA559" s="207">
        <f t="shared" si="25"/>
        <v>61.18043327331543</v>
      </c>
      <c r="AB559" s="207">
        <f t="shared" si="26"/>
        <v>47.812652587890625</v>
      </c>
    </row>
    <row r="560" spans="3:28">
      <c r="C560" s="27"/>
      <c r="Y560" s="207">
        <f t="shared" si="24"/>
        <v>0</v>
      </c>
      <c r="Z560" s="207">
        <f t="shared" si="24"/>
        <v>0</v>
      </c>
      <c r="AA560" s="207">
        <f t="shared" si="25"/>
        <v>61.18043327331543</v>
      </c>
      <c r="AB560" s="207">
        <f t="shared" si="26"/>
        <v>47.812652587890625</v>
      </c>
    </row>
    <row r="561" spans="3:28">
      <c r="C561" s="27"/>
      <c r="Y561" s="207">
        <f t="shared" si="24"/>
        <v>0</v>
      </c>
      <c r="Z561" s="207">
        <f t="shared" si="24"/>
        <v>0</v>
      </c>
      <c r="AA561" s="207">
        <f t="shared" si="25"/>
        <v>61.18043327331543</v>
      </c>
      <c r="AB561" s="207">
        <f t="shared" si="26"/>
        <v>47.812652587890625</v>
      </c>
    </row>
    <row r="562" spans="3:28">
      <c r="C562" s="27"/>
      <c r="Y562" s="207">
        <f t="shared" si="24"/>
        <v>0</v>
      </c>
      <c r="Z562" s="207">
        <f t="shared" si="24"/>
        <v>0</v>
      </c>
      <c r="AA562" s="207">
        <f t="shared" si="25"/>
        <v>61.18043327331543</v>
      </c>
      <c r="AB562" s="207">
        <f t="shared" si="26"/>
        <v>47.812652587890625</v>
      </c>
    </row>
    <row r="563" spans="3:28">
      <c r="C563" s="27"/>
      <c r="Y563" s="207">
        <f t="shared" si="24"/>
        <v>0</v>
      </c>
      <c r="Z563" s="207">
        <f t="shared" si="24"/>
        <v>0</v>
      </c>
      <c r="AA563" s="207">
        <f t="shared" si="25"/>
        <v>61.18043327331543</v>
      </c>
      <c r="AB563" s="207">
        <f t="shared" si="26"/>
        <v>47.812652587890625</v>
      </c>
    </row>
    <row r="564" spans="3:28">
      <c r="C564" s="27"/>
      <c r="Y564" s="207">
        <f t="shared" si="24"/>
        <v>0</v>
      </c>
      <c r="Z564" s="207">
        <f t="shared" si="24"/>
        <v>0</v>
      </c>
      <c r="AA564" s="207">
        <f t="shared" si="25"/>
        <v>61.18043327331543</v>
      </c>
      <c r="AB564" s="207">
        <f t="shared" si="26"/>
        <v>47.812652587890625</v>
      </c>
    </row>
    <row r="565" spans="3:28">
      <c r="C565" s="27"/>
      <c r="Y565" s="207">
        <f t="shared" si="24"/>
        <v>0</v>
      </c>
      <c r="Z565" s="207">
        <f t="shared" si="24"/>
        <v>0</v>
      </c>
      <c r="AA565" s="207">
        <f t="shared" si="25"/>
        <v>61.18043327331543</v>
      </c>
      <c r="AB565" s="207">
        <f t="shared" si="26"/>
        <v>47.812652587890625</v>
      </c>
    </row>
    <row r="566" spans="3:28">
      <c r="C566" s="27"/>
      <c r="Y566" s="207">
        <f t="shared" si="24"/>
        <v>0</v>
      </c>
      <c r="Z566" s="207">
        <f t="shared" si="24"/>
        <v>0</v>
      </c>
      <c r="AA566" s="207">
        <f t="shared" si="25"/>
        <v>61.18043327331543</v>
      </c>
      <c r="AB566" s="207">
        <f t="shared" si="26"/>
        <v>47.812652587890625</v>
      </c>
    </row>
    <row r="567" spans="3:28">
      <c r="C567" s="27"/>
      <c r="Y567" s="207">
        <f t="shared" si="24"/>
        <v>0</v>
      </c>
      <c r="Z567" s="207">
        <f t="shared" si="24"/>
        <v>0</v>
      </c>
      <c r="AA567" s="207">
        <f t="shared" si="25"/>
        <v>61.18043327331543</v>
      </c>
      <c r="AB567" s="207">
        <f t="shared" si="26"/>
        <v>47.812652587890625</v>
      </c>
    </row>
    <row r="568" spans="3:28">
      <c r="C568" s="27"/>
      <c r="Y568" s="207">
        <f t="shared" si="24"/>
        <v>0</v>
      </c>
      <c r="Z568" s="207">
        <f t="shared" si="24"/>
        <v>0</v>
      </c>
      <c r="AA568" s="207">
        <f t="shared" si="25"/>
        <v>61.18043327331543</v>
      </c>
      <c r="AB568" s="207">
        <f t="shared" si="26"/>
        <v>47.812652587890625</v>
      </c>
    </row>
    <row r="569" spans="3:28">
      <c r="C569" s="27"/>
      <c r="Y569" s="207">
        <f t="shared" si="24"/>
        <v>0</v>
      </c>
      <c r="Z569" s="207">
        <f t="shared" si="24"/>
        <v>0</v>
      </c>
      <c r="AA569" s="207">
        <f t="shared" si="25"/>
        <v>61.18043327331543</v>
      </c>
      <c r="AB569" s="207">
        <f t="shared" si="26"/>
        <v>47.812652587890625</v>
      </c>
    </row>
    <row r="570" spans="3:28">
      <c r="C570" s="27"/>
      <c r="Y570" s="207">
        <f t="shared" si="24"/>
        <v>0</v>
      </c>
      <c r="Z570" s="207">
        <f t="shared" si="24"/>
        <v>0</v>
      </c>
      <c r="AA570" s="207">
        <f t="shared" si="25"/>
        <v>61.18043327331543</v>
      </c>
      <c r="AB570" s="207">
        <f t="shared" si="26"/>
        <v>47.812652587890625</v>
      </c>
    </row>
    <row r="571" spans="3:28">
      <c r="C571" s="27"/>
      <c r="Y571" s="207">
        <f t="shared" si="24"/>
        <v>0</v>
      </c>
      <c r="Z571" s="207">
        <f t="shared" si="24"/>
        <v>0</v>
      </c>
      <c r="AA571" s="207">
        <f t="shared" si="25"/>
        <v>61.18043327331543</v>
      </c>
      <c r="AB571" s="207">
        <f t="shared" si="26"/>
        <v>47.812652587890625</v>
      </c>
    </row>
    <row r="572" spans="3:28">
      <c r="C572" s="27"/>
      <c r="Y572" s="207">
        <f t="shared" si="24"/>
        <v>0</v>
      </c>
      <c r="Z572" s="207">
        <f t="shared" si="24"/>
        <v>0</v>
      </c>
      <c r="AA572" s="207">
        <f t="shared" si="25"/>
        <v>61.18043327331543</v>
      </c>
      <c r="AB572" s="207">
        <f t="shared" si="26"/>
        <v>47.812652587890625</v>
      </c>
    </row>
    <row r="573" spans="3:28">
      <c r="C573" s="27"/>
      <c r="Y573" s="207">
        <f t="shared" si="24"/>
        <v>0</v>
      </c>
      <c r="Z573" s="207">
        <f t="shared" si="24"/>
        <v>0</v>
      </c>
      <c r="AA573" s="207">
        <f t="shared" si="25"/>
        <v>61.18043327331543</v>
      </c>
      <c r="AB573" s="207">
        <f t="shared" si="26"/>
        <v>47.812652587890625</v>
      </c>
    </row>
    <row r="574" spans="3:28">
      <c r="C574" s="27"/>
      <c r="Y574" s="207">
        <f t="shared" si="24"/>
        <v>0</v>
      </c>
      <c r="Z574" s="207">
        <f t="shared" si="24"/>
        <v>0</v>
      </c>
      <c r="AA574" s="207">
        <f t="shared" si="25"/>
        <v>61.18043327331543</v>
      </c>
      <c r="AB574" s="207">
        <f t="shared" si="26"/>
        <v>47.812652587890625</v>
      </c>
    </row>
    <row r="575" spans="3:28">
      <c r="C575" s="27"/>
      <c r="Y575" s="207">
        <f t="shared" si="24"/>
        <v>0</v>
      </c>
      <c r="Z575" s="207">
        <f t="shared" si="24"/>
        <v>0</v>
      </c>
      <c r="AA575" s="207">
        <f t="shared" si="25"/>
        <v>61.18043327331543</v>
      </c>
      <c r="AB575" s="207">
        <f t="shared" si="26"/>
        <v>47.812652587890625</v>
      </c>
    </row>
    <row r="576" spans="3:28">
      <c r="C576" s="27"/>
      <c r="Y576" s="207">
        <f t="shared" si="24"/>
        <v>0</v>
      </c>
      <c r="Z576" s="207">
        <f t="shared" si="24"/>
        <v>0</v>
      </c>
      <c r="AA576" s="207">
        <f t="shared" si="25"/>
        <v>61.18043327331543</v>
      </c>
      <c r="AB576" s="207">
        <f t="shared" si="26"/>
        <v>47.812652587890625</v>
      </c>
    </row>
    <row r="577" spans="3:28">
      <c r="C577" s="27"/>
      <c r="Y577" s="207">
        <f t="shared" si="24"/>
        <v>0</v>
      </c>
      <c r="Z577" s="207">
        <f t="shared" si="24"/>
        <v>0</v>
      </c>
      <c r="AA577" s="207">
        <f t="shared" si="25"/>
        <v>61.18043327331543</v>
      </c>
      <c r="AB577" s="207">
        <f t="shared" si="26"/>
        <v>47.812652587890625</v>
      </c>
    </row>
    <row r="578" spans="3:28">
      <c r="C578" s="27"/>
      <c r="Y578" s="207">
        <f t="shared" si="24"/>
        <v>0</v>
      </c>
      <c r="Z578" s="207">
        <f t="shared" si="24"/>
        <v>0</v>
      </c>
      <c r="AA578" s="207">
        <f t="shared" si="25"/>
        <v>61.18043327331543</v>
      </c>
      <c r="AB578" s="207">
        <f t="shared" si="26"/>
        <v>47.812652587890625</v>
      </c>
    </row>
    <row r="579" spans="3:28">
      <c r="C579" s="27"/>
      <c r="Y579" s="207">
        <f t="shared" si="24"/>
        <v>0</v>
      </c>
      <c r="Z579" s="207">
        <f t="shared" si="24"/>
        <v>0</v>
      </c>
      <c r="AA579" s="207">
        <f t="shared" si="25"/>
        <v>61.18043327331543</v>
      </c>
      <c r="AB579" s="207">
        <f t="shared" si="26"/>
        <v>47.812652587890625</v>
      </c>
    </row>
    <row r="580" spans="3:28">
      <c r="C580" s="27"/>
      <c r="Y580" s="207">
        <f t="shared" si="24"/>
        <v>0</v>
      </c>
      <c r="Z580" s="207">
        <f t="shared" si="24"/>
        <v>0</v>
      </c>
      <c r="AA580" s="207">
        <f t="shared" si="25"/>
        <v>61.18043327331543</v>
      </c>
      <c r="AB580" s="207">
        <f t="shared" si="26"/>
        <v>47.812652587890625</v>
      </c>
    </row>
    <row r="581" spans="3:28">
      <c r="C581" s="27"/>
      <c r="Y581" s="207">
        <f t="shared" si="24"/>
        <v>0</v>
      </c>
      <c r="Z581" s="207">
        <f t="shared" si="24"/>
        <v>0</v>
      </c>
      <c r="AA581" s="207">
        <f t="shared" si="25"/>
        <v>61.18043327331543</v>
      </c>
      <c r="AB581" s="207">
        <f t="shared" si="26"/>
        <v>47.812652587890625</v>
      </c>
    </row>
    <row r="582" spans="3:28">
      <c r="C582" s="27"/>
      <c r="Y582" s="207">
        <f t="shared" si="24"/>
        <v>0</v>
      </c>
      <c r="Z582" s="207">
        <f t="shared" si="24"/>
        <v>0</v>
      </c>
      <c r="AA582" s="207">
        <f t="shared" si="25"/>
        <v>61.18043327331543</v>
      </c>
      <c r="AB582" s="207">
        <f t="shared" si="26"/>
        <v>47.812652587890625</v>
      </c>
    </row>
    <row r="583" spans="3:28">
      <c r="C583" s="27"/>
      <c r="Y583" s="207">
        <f t="shared" si="24"/>
        <v>0</v>
      </c>
      <c r="Z583" s="207">
        <f t="shared" si="24"/>
        <v>0</v>
      </c>
      <c r="AA583" s="207">
        <f t="shared" si="25"/>
        <v>61.18043327331543</v>
      </c>
      <c r="AB583" s="207">
        <f t="shared" si="26"/>
        <v>47.812652587890625</v>
      </c>
    </row>
    <row r="584" spans="3:28">
      <c r="C584" s="27"/>
      <c r="Y584" s="207">
        <f t="shared" si="24"/>
        <v>0</v>
      </c>
      <c r="Z584" s="207">
        <f t="shared" si="24"/>
        <v>0</v>
      </c>
      <c r="AA584" s="207">
        <f t="shared" si="25"/>
        <v>61.18043327331543</v>
      </c>
      <c r="AB584" s="207">
        <f t="shared" si="26"/>
        <v>47.812652587890625</v>
      </c>
    </row>
    <row r="585" spans="3:28">
      <c r="C585" s="27"/>
      <c r="Y585" s="207">
        <f t="shared" si="24"/>
        <v>0</v>
      </c>
      <c r="Z585" s="207">
        <f t="shared" si="24"/>
        <v>0</v>
      </c>
      <c r="AA585" s="207">
        <f t="shared" si="25"/>
        <v>61.18043327331543</v>
      </c>
      <c r="AB585" s="207">
        <f t="shared" si="26"/>
        <v>47.812652587890625</v>
      </c>
    </row>
    <row r="586" spans="3:28">
      <c r="C586" s="27"/>
      <c r="Y586" s="207">
        <f t="shared" si="24"/>
        <v>0</v>
      </c>
      <c r="Z586" s="207">
        <f t="shared" si="24"/>
        <v>0</v>
      </c>
      <c r="AA586" s="207">
        <f t="shared" si="25"/>
        <v>61.18043327331543</v>
      </c>
      <c r="AB586" s="207">
        <f t="shared" si="26"/>
        <v>47.812652587890625</v>
      </c>
    </row>
    <row r="587" spans="3:28">
      <c r="C587" s="27"/>
      <c r="Y587" s="207">
        <f t="shared" si="24"/>
        <v>0</v>
      </c>
      <c r="Z587" s="207">
        <f t="shared" si="24"/>
        <v>0</v>
      </c>
      <c r="AA587" s="207">
        <f t="shared" si="25"/>
        <v>61.18043327331543</v>
      </c>
      <c r="AB587" s="207">
        <f t="shared" si="26"/>
        <v>47.812652587890625</v>
      </c>
    </row>
    <row r="588" spans="3:28">
      <c r="C588" s="27"/>
      <c r="Y588" s="207">
        <f t="shared" si="24"/>
        <v>0</v>
      </c>
      <c r="Z588" s="207">
        <f t="shared" si="24"/>
        <v>0</v>
      </c>
      <c r="AA588" s="207">
        <f t="shared" si="25"/>
        <v>61.18043327331543</v>
      </c>
      <c r="AB588" s="207">
        <f t="shared" si="26"/>
        <v>47.812652587890625</v>
      </c>
    </row>
    <row r="589" spans="3:28">
      <c r="C589" s="27"/>
      <c r="Y589" s="207">
        <f t="shared" si="24"/>
        <v>0</v>
      </c>
      <c r="Z589" s="207">
        <f t="shared" si="24"/>
        <v>0</v>
      </c>
      <c r="AA589" s="207">
        <f t="shared" si="25"/>
        <v>61.18043327331543</v>
      </c>
      <c r="AB589" s="207">
        <f t="shared" si="26"/>
        <v>47.812652587890625</v>
      </c>
    </row>
    <row r="590" spans="3:28">
      <c r="C590" s="27"/>
      <c r="Y590" s="207">
        <f t="shared" si="24"/>
        <v>0</v>
      </c>
      <c r="Z590" s="207">
        <f t="shared" si="24"/>
        <v>0</v>
      </c>
      <c r="AA590" s="207">
        <f t="shared" si="25"/>
        <v>61.18043327331543</v>
      </c>
      <c r="AB590" s="207">
        <f t="shared" si="26"/>
        <v>47.812652587890625</v>
      </c>
    </row>
    <row r="591" spans="3:28">
      <c r="C591" s="27"/>
      <c r="Y591" s="207">
        <f t="shared" ref="Y591:Z614" si="27">B591</f>
        <v>0</v>
      </c>
      <c r="Z591" s="207">
        <f t="shared" si="27"/>
        <v>0</v>
      </c>
      <c r="AA591" s="207">
        <f t="shared" ref="AA591:AA614" si="28">I$26</f>
        <v>61.18043327331543</v>
      </c>
      <c r="AB591" s="207">
        <f t="shared" ref="AB591:AB614" si="29">I$23</f>
        <v>47.812652587890625</v>
      </c>
    </row>
    <row r="592" spans="3:28">
      <c r="C592" s="27"/>
      <c r="Y592" s="207">
        <f t="shared" si="27"/>
        <v>0</v>
      </c>
      <c r="Z592" s="207">
        <f t="shared" si="27"/>
        <v>0</v>
      </c>
      <c r="AA592" s="207">
        <f t="shared" si="28"/>
        <v>61.18043327331543</v>
      </c>
      <c r="AB592" s="207">
        <f t="shared" si="29"/>
        <v>47.812652587890625</v>
      </c>
    </row>
    <row r="593" spans="3:28">
      <c r="C593" s="27"/>
      <c r="Y593" s="207">
        <f t="shared" si="27"/>
        <v>0</v>
      </c>
      <c r="Z593" s="207">
        <f t="shared" si="27"/>
        <v>0</v>
      </c>
      <c r="AA593" s="207">
        <f t="shared" si="28"/>
        <v>61.18043327331543</v>
      </c>
      <c r="AB593" s="207">
        <f t="shared" si="29"/>
        <v>47.812652587890625</v>
      </c>
    </row>
    <row r="594" spans="3:28">
      <c r="C594" s="27"/>
      <c r="Y594" s="207">
        <f t="shared" si="27"/>
        <v>0</v>
      </c>
      <c r="Z594" s="207">
        <f t="shared" si="27"/>
        <v>0</v>
      </c>
      <c r="AA594" s="207">
        <f t="shared" si="28"/>
        <v>61.18043327331543</v>
      </c>
      <c r="AB594" s="207">
        <f t="shared" si="29"/>
        <v>47.812652587890625</v>
      </c>
    </row>
    <row r="595" spans="3:28">
      <c r="C595" s="27"/>
      <c r="Y595" s="207">
        <f t="shared" si="27"/>
        <v>0</v>
      </c>
      <c r="Z595" s="207">
        <f t="shared" si="27"/>
        <v>0</v>
      </c>
      <c r="AA595" s="207">
        <f t="shared" si="28"/>
        <v>61.18043327331543</v>
      </c>
      <c r="AB595" s="207">
        <f t="shared" si="29"/>
        <v>47.812652587890625</v>
      </c>
    </row>
    <row r="596" spans="3:28">
      <c r="C596" s="27"/>
      <c r="Y596" s="207">
        <f t="shared" si="27"/>
        <v>0</v>
      </c>
      <c r="Z596" s="207">
        <f t="shared" si="27"/>
        <v>0</v>
      </c>
      <c r="AA596" s="207">
        <f t="shared" si="28"/>
        <v>61.18043327331543</v>
      </c>
      <c r="AB596" s="207">
        <f t="shared" si="29"/>
        <v>47.812652587890625</v>
      </c>
    </row>
    <row r="597" spans="3:28">
      <c r="C597" s="27"/>
      <c r="Y597" s="207">
        <f t="shared" si="27"/>
        <v>0</v>
      </c>
      <c r="Z597" s="207">
        <f t="shared" si="27"/>
        <v>0</v>
      </c>
      <c r="AA597" s="207">
        <f t="shared" si="28"/>
        <v>61.18043327331543</v>
      </c>
      <c r="AB597" s="207">
        <f t="shared" si="29"/>
        <v>47.812652587890625</v>
      </c>
    </row>
    <row r="598" spans="3:28">
      <c r="C598" s="27"/>
      <c r="Y598" s="207">
        <f t="shared" si="27"/>
        <v>0</v>
      </c>
      <c r="Z598" s="207">
        <f t="shared" si="27"/>
        <v>0</v>
      </c>
      <c r="AA598" s="207">
        <f t="shared" si="28"/>
        <v>61.18043327331543</v>
      </c>
      <c r="AB598" s="207">
        <f t="shared" si="29"/>
        <v>47.812652587890625</v>
      </c>
    </row>
    <row r="599" spans="3:28">
      <c r="C599" s="27"/>
      <c r="Y599" s="207">
        <f t="shared" si="27"/>
        <v>0</v>
      </c>
      <c r="Z599" s="207">
        <f t="shared" si="27"/>
        <v>0</v>
      </c>
      <c r="AA599" s="207">
        <f t="shared" si="28"/>
        <v>61.18043327331543</v>
      </c>
      <c r="AB599" s="207">
        <f t="shared" si="29"/>
        <v>47.812652587890625</v>
      </c>
    </row>
    <row r="600" spans="3:28">
      <c r="C600" s="27"/>
      <c r="Y600" s="207">
        <f t="shared" si="27"/>
        <v>0</v>
      </c>
      <c r="Z600" s="207">
        <f t="shared" si="27"/>
        <v>0</v>
      </c>
      <c r="AA600" s="207">
        <f t="shared" si="28"/>
        <v>61.18043327331543</v>
      </c>
      <c r="AB600" s="207">
        <f t="shared" si="29"/>
        <v>47.812652587890625</v>
      </c>
    </row>
    <row r="601" spans="3:28">
      <c r="C601" s="27"/>
      <c r="Y601" s="207">
        <f t="shared" si="27"/>
        <v>0</v>
      </c>
      <c r="Z601" s="207">
        <f t="shared" si="27"/>
        <v>0</v>
      </c>
      <c r="AA601" s="207">
        <f t="shared" si="28"/>
        <v>61.18043327331543</v>
      </c>
      <c r="AB601" s="207">
        <f t="shared" si="29"/>
        <v>47.812652587890625</v>
      </c>
    </row>
    <row r="602" spans="3:28">
      <c r="C602" s="27"/>
      <c r="Y602" s="207">
        <f t="shared" si="27"/>
        <v>0</v>
      </c>
      <c r="Z602" s="207">
        <f t="shared" si="27"/>
        <v>0</v>
      </c>
      <c r="AA602" s="207">
        <f t="shared" si="28"/>
        <v>61.18043327331543</v>
      </c>
      <c r="AB602" s="207">
        <f t="shared" si="29"/>
        <v>47.812652587890625</v>
      </c>
    </row>
    <row r="603" spans="3:28">
      <c r="C603" s="27"/>
      <c r="Y603" s="207">
        <f t="shared" si="27"/>
        <v>0</v>
      </c>
      <c r="Z603" s="207">
        <f t="shared" si="27"/>
        <v>0</v>
      </c>
      <c r="AA603" s="207">
        <f t="shared" si="28"/>
        <v>61.18043327331543</v>
      </c>
      <c r="AB603" s="207">
        <f t="shared" si="29"/>
        <v>47.812652587890625</v>
      </c>
    </row>
    <row r="604" spans="3:28">
      <c r="C604" s="27"/>
      <c r="Y604" s="207">
        <f t="shared" si="27"/>
        <v>0</v>
      </c>
      <c r="Z604" s="207">
        <f t="shared" si="27"/>
        <v>0</v>
      </c>
      <c r="AA604" s="207">
        <f t="shared" si="28"/>
        <v>61.18043327331543</v>
      </c>
      <c r="AB604" s="207">
        <f t="shared" si="29"/>
        <v>47.812652587890625</v>
      </c>
    </row>
    <row r="605" spans="3:28">
      <c r="C605" s="27"/>
      <c r="Y605" s="207">
        <f t="shared" si="27"/>
        <v>0</v>
      </c>
      <c r="Z605" s="207">
        <f t="shared" si="27"/>
        <v>0</v>
      </c>
      <c r="AA605" s="207">
        <f t="shared" si="28"/>
        <v>61.18043327331543</v>
      </c>
      <c r="AB605" s="207">
        <f t="shared" si="29"/>
        <v>47.812652587890625</v>
      </c>
    </row>
    <row r="606" spans="3:28">
      <c r="C606" s="27"/>
      <c r="Y606" s="207">
        <f t="shared" si="27"/>
        <v>0</v>
      </c>
      <c r="Z606" s="207">
        <f t="shared" si="27"/>
        <v>0</v>
      </c>
      <c r="AA606" s="207">
        <f t="shared" si="28"/>
        <v>61.18043327331543</v>
      </c>
      <c r="AB606" s="207">
        <f t="shared" si="29"/>
        <v>47.812652587890625</v>
      </c>
    </row>
    <row r="607" spans="3:28">
      <c r="C607" s="27"/>
      <c r="Y607" s="207">
        <f t="shared" si="27"/>
        <v>0</v>
      </c>
      <c r="Z607" s="207">
        <f t="shared" si="27"/>
        <v>0</v>
      </c>
      <c r="AA607" s="207">
        <f t="shared" si="28"/>
        <v>61.18043327331543</v>
      </c>
      <c r="AB607" s="207">
        <f t="shared" si="29"/>
        <v>47.812652587890625</v>
      </c>
    </row>
    <row r="608" spans="3:28">
      <c r="C608" s="27"/>
      <c r="Y608" s="207">
        <f t="shared" si="27"/>
        <v>0</v>
      </c>
      <c r="Z608" s="207">
        <f t="shared" si="27"/>
        <v>0</v>
      </c>
      <c r="AA608" s="207">
        <f t="shared" si="28"/>
        <v>61.18043327331543</v>
      </c>
      <c r="AB608" s="207">
        <f t="shared" si="29"/>
        <v>47.812652587890625</v>
      </c>
    </row>
    <row r="609" spans="3:28">
      <c r="C609" s="27"/>
      <c r="Y609" s="207">
        <f t="shared" si="27"/>
        <v>0</v>
      </c>
      <c r="Z609" s="207">
        <f t="shared" si="27"/>
        <v>0</v>
      </c>
      <c r="AA609" s="207">
        <f t="shared" si="28"/>
        <v>61.18043327331543</v>
      </c>
      <c r="AB609" s="207">
        <f t="shared" si="29"/>
        <v>47.812652587890625</v>
      </c>
    </row>
    <row r="610" spans="3:28">
      <c r="C610" s="27"/>
      <c r="Y610" s="207">
        <f t="shared" si="27"/>
        <v>0</v>
      </c>
      <c r="Z610" s="207">
        <f t="shared" si="27"/>
        <v>0</v>
      </c>
      <c r="AA610" s="207">
        <f t="shared" si="28"/>
        <v>61.18043327331543</v>
      </c>
      <c r="AB610" s="207">
        <f t="shared" si="29"/>
        <v>47.812652587890625</v>
      </c>
    </row>
    <row r="611" spans="3:28">
      <c r="C611" s="27"/>
      <c r="Y611" s="207">
        <f t="shared" si="27"/>
        <v>0</v>
      </c>
      <c r="Z611" s="207">
        <f t="shared" si="27"/>
        <v>0</v>
      </c>
      <c r="AA611" s="207">
        <f t="shared" si="28"/>
        <v>61.18043327331543</v>
      </c>
      <c r="AB611" s="207">
        <f t="shared" si="29"/>
        <v>47.812652587890625</v>
      </c>
    </row>
    <row r="612" spans="3:28">
      <c r="C612" s="27"/>
      <c r="Y612" s="207">
        <f t="shared" si="27"/>
        <v>0</v>
      </c>
      <c r="Z612" s="207">
        <f t="shared" si="27"/>
        <v>0</v>
      </c>
      <c r="AA612" s="207">
        <f t="shared" si="28"/>
        <v>61.18043327331543</v>
      </c>
      <c r="AB612" s="207">
        <f t="shared" si="29"/>
        <v>47.812652587890625</v>
      </c>
    </row>
    <row r="613" spans="3:28">
      <c r="C613" s="27"/>
      <c r="Y613" s="207">
        <f t="shared" si="27"/>
        <v>0</v>
      </c>
      <c r="Z613" s="207">
        <f t="shared" si="27"/>
        <v>0</v>
      </c>
      <c r="AA613" s="207">
        <f t="shared" si="28"/>
        <v>61.18043327331543</v>
      </c>
      <c r="AB613" s="207">
        <f t="shared" si="29"/>
        <v>47.812652587890625</v>
      </c>
    </row>
    <row r="614" spans="3:28">
      <c r="C614" s="27"/>
      <c r="Y614" s="207">
        <f t="shared" si="27"/>
        <v>0</v>
      </c>
      <c r="Z614" s="207">
        <f t="shared" si="27"/>
        <v>0</v>
      </c>
      <c r="AA614" s="207">
        <f t="shared" si="28"/>
        <v>61.18043327331543</v>
      </c>
      <c r="AB614" s="207">
        <f t="shared" si="29"/>
        <v>47.812652587890625</v>
      </c>
    </row>
  </sheetData>
  <mergeCells count="31">
    <mergeCell ref="B2:D3"/>
    <mergeCell ref="B5:D5"/>
    <mergeCell ref="B6:D6"/>
    <mergeCell ref="E5:H5"/>
    <mergeCell ref="E6:H6"/>
    <mergeCell ref="E2:S2"/>
    <mergeCell ref="E3:S3"/>
    <mergeCell ref="B7:D7"/>
    <mergeCell ref="B11:C11"/>
    <mergeCell ref="E11:S11"/>
    <mergeCell ref="B12:B13"/>
    <mergeCell ref="E13:L18"/>
    <mergeCell ref="N13:S13"/>
    <mergeCell ref="N14:O14"/>
    <mergeCell ref="P14:Q14"/>
    <mergeCell ref="R14:S14"/>
    <mergeCell ref="E7:H7"/>
    <mergeCell ref="E8:H8"/>
    <mergeCell ref="E9:H9"/>
    <mergeCell ref="B8:D8"/>
    <mergeCell ref="B9:D9"/>
    <mergeCell ref="G30:H30"/>
    <mergeCell ref="G23:H23"/>
    <mergeCell ref="G24:H24"/>
    <mergeCell ref="G26:H26"/>
    <mergeCell ref="G20:J21"/>
    <mergeCell ref="G22:H22"/>
    <mergeCell ref="G25:H25"/>
    <mergeCell ref="G27:H27"/>
    <mergeCell ref="G28:H28"/>
    <mergeCell ref="G29:H29"/>
  </mergeCells>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AG614"/>
  <sheetViews>
    <sheetView showGridLines="0" zoomScale="75" zoomScaleNormal="75" workbookViewId="0">
      <selection activeCell="F3" sqref="F3:T3"/>
    </sheetView>
  </sheetViews>
  <sheetFormatPr baseColWidth="10" defaultRowHeight="12.5"/>
  <cols>
    <col min="1" max="1" width="2.54296875" customWidth="1"/>
    <col min="2" max="2" width="16.1796875" customWidth="1"/>
    <col min="3" max="4" width="15.81640625" customWidth="1"/>
    <col min="5" max="5" width="10" customWidth="1"/>
    <col min="6" max="6" width="5.81640625" customWidth="1"/>
    <col min="7" max="7" width="3" customWidth="1"/>
    <col min="8" max="8" width="18.1796875" customWidth="1"/>
    <col min="10" max="10" width="15.453125" customWidth="1"/>
    <col min="11" max="11" width="16.453125" customWidth="1"/>
    <col min="12" max="12" width="4.1796875" customWidth="1"/>
    <col min="13" max="13" width="9.1796875" customWidth="1"/>
    <col min="14" max="14" width="3" customWidth="1"/>
    <col min="15" max="15" width="8.81640625" customWidth="1"/>
    <col min="16" max="16" width="14.81640625" customWidth="1"/>
    <col min="17" max="17" width="8.81640625" customWidth="1"/>
    <col min="18" max="18" width="14.1796875" customWidth="1"/>
    <col min="19" max="19" width="8" customWidth="1"/>
    <col min="20" max="20" width="14.453125" customWidth="1"/>
    <col min="26" max="33" width="11.453125" style="48" customWidth="1"/>
  </cols>
  <sheetData>
    <row r="1" spans="1:32">
      <c r="A1" s="41"/>
      <c r="B1" s="41"/>
      <c r="C1" s="41"/>
      <c r="D1" s="41"/>
      <c r="E1" s="429"/>
      <c r="F1" s="429"/>
      <c r="G1" s="429"/>
      <c r="H1" s="429"/>
      <c r="I1" s="429"/>
      <c r="J1" s="429"/>
      <c r="K1" s="429"/>
      <c r="L1" s="429"/>
      <c r="M1" s="429"/>
      <c r="N1" s="41"/>
      <c r="O1" s="41"/>
      <c r="P1" s="41"/>
      <c r="Q1" s="41"/>
      <c r="R1" s="41"/>
      <c r="S1" s="41"/>
      <c r="T1" s="41"/>
    </row>
    <row r="2" spans="1:32" ht="18" customHeight="1">
      <c r="A2" s="41"/>
      <c r="B2" s="588" t="s">
        <v>179</v>
      </c>
      <c r="C2" s="588"/>
      <c r="D2" s="588"/>
      <c r="E2" s="588"/>
      <c r="F2" s="590" t="str">
        <f>CONCATENATE(UPPER(REPORTS!$AB$1)," Y ",UPPER(REPORTS!$AB$2))</f>
        <v>NATURAL FLOW Y ALTERED FLOW</v>
      </c>
      <c r="G2" s="590"/>
      <c r="H2" s="590"/>
      <c r="I2" s="590"/>
      <c r="J2" s="590"/>
      <c r="K2" s="590"/>
      <c r="L2" s="590"/>
      <c r="M2" s="590"/>
      <c r="N2" s="590"/>
      <c r="O2" s="590"/>
      <c r="P2" s="590"/>
      <c r="Q2" s="590"/>
      <c r="R2" s="590"/>
      <c r="S2" s="590"/>
      <c r="T2" s="590"/>
      <c r="U2" s="42"/>
      <c r="V2" s="42"/>
      <c r="W2" s="42"/>
    </row>
    <row r="3" spans="1:32" ht="18">
      <c r="A3" s="41"/>
      <c r="B3" s="588"/>
      <c r="C3" s="588"/>
      <c r="D3" s="588"/>
      <c r="E3" s="588"/>
      <c r="F3" s="591" t="s">
        <v>154</v>
      </c>
      <c r="G3" s="591"/>
      <c r="H3" s="591"/>
      <c r="I3" s="591"/>
      <c r="J3" s="591"/>
      <c r="K3" s="591"/>
      <c r="L3" s="591"/>
      <c r="M3" s="591"/>
      <c r="N3" s="591"/>
      <c r="O3" s="591"/>
      <c r="P3" s="591"/>
      <c r="Q3" s="591"/>
      <c r="R3" s="591"/>
      <c r="S3" s="591"/>
      <c r="T3" s="591"/>
      <c r="U3" s="42"/>
      <c r="V3" s="42"/>
      <c r="W3" s="42"/>
    </row>
    <row r="5" spans="1:32" ht="15.75" customHeight="1">
      <c r="B5" s="593" t="s">
        <v>1</v>
      </c>
      <c r="C5" s="593"/>
      <c r="D5" s="593"/>
      <c r="E5" s="593"/>
      <c r="F5" s="589" t="str">
        <f>REPORTS!E7</f>
        <v>Natural Flow (Nat_F)</v>
      </c>
      <c r="G5" s="589"/>
      <c r="H5" s="589"/>
    </row>
    <row r="6" spans="1:32" ht="15.75" customHeight="1">
      <c r="B6" s="593" t="s">
        <v>2</v>
      </c>
      <c r="C6" s="593"/>
      <c r="D6" s="593"/>
      <c r="E6" s="593"/>
      <c r="F6" s="589" t="str">
        <f>REPORTS!E8</f>
        <v>Altered Flow (Alt_F)</v>
      </c>
      <c r="G6" s="589"/>
      <c r="H6" s="589"/>
      <c r="I6" s="294" t="s">
        <v>180</v>
      </c>
      <c r="U6" s="48" t="str">
        <f>CONCATENATE("ANNUAL CONTRIBUTIONS IN ",UPPER(REPORTS!$AB$1)," Y ",UPPER(REPORTS!$AB$2)," (hm³)")</f>
        <v>ANNUAL CONTRIBUTIONS IN NATURAL FLOW Y ALTERED FLOW (hm³)</v>
      </c>
    </row>
    <row r="7" spans="1:32" ht="15" customHeight="1">
      <c r="B7" s="602" t="s">
        <v>3</v>
      </c>
      <c r="C7" s="602"/>
      <c r="D7" s="602"/>
      <c r="E7" s="602"/>
      <c r="F7" s="587" t="s">
        <v>4</v>
      </c>
      <c r="G7" s="587"/>
      <c r="H7" s="587"/>
    </row>
    <row r="8" spans="1:32" ht="15" customHeight="1">
      <c r="B8" s="478"/>
      <c r="C8" s="478"/>
      <c r="D8" s="478"/>
      <c r="E8" s="478"/>
      <c r="F8" s="477"/>
      <c r="G8" s="480"/>
      <c r="H8" s="480"/>
    </row>
    <row r="9" spans="1:32" ht="15" customHeight="1">
      <c r="B9" s="478"/>
      <c r="C9" s="478"/>
      <c r="D9" s="478"/>
      <c r="E9" s="478"/>
      <c r="F9" s="480"/>
      <c r="G9" s="480"/>
      <c r="H9" s="480"/>
    </row>
    <row r="11" spans="1:32" ht="18">
      <c r="B11" s="603" t="s">
        <v>181</v>
      </c>
      <c r="C11" s="603"/>
      <c r="D11" s="603"/>
      <c r="F11" s="592" t="s">
        <v>156</v>
      </c>
      <c r="G11" s="592"/>
      <c r="H11" s="592"/>
      <c r="I11" s="592"/>
      <c r="J11" s="592"/>
      <c r="K11" s="592"/>
      <c r="L11" s="592"/>
      <c r="M11" s="592"/>
      <c r="N11" s="592"/>
      <c r="O11" s="592"/>
      <c r="P11" s="592"/>
      <c r="Q11" s="592"/>
      <c r="R11" s="592"/>
      <c r="S11" s="592"/>
      <c r="T11" s="592"/>
    </row>
    <row r="12" spans="1:32" ht="16.5" customHeight="1">
      <c r="B12" s="604" t="s">
        <v>32</v>
      </c>
      <c r="C12" s="430" t="str">
        <f>REPORTS!$AA$1</f>
        <v>Nat_F</v>
      </c>
      <c r="D12" s="431" t="str">
        <f>REPORTS!$AA$2</f>
        <v>Alt_F</v>
      </c>
    </row>
    <row r="13" spans="1:32" ht="16.5" customHeight="1">
      <c r="B13" s="605"/>
      <c r="C13" s="432" t="s">
        <v>182</v>
      </c>
      <c r="D13" s="432" t="s">
        <v>182</v>
      </c>
      <c r="F13" s="606" t="s">
        <v>183</v>
      </c>
      <c r="G13" s="582"/>
      <c r="H13" s="582"/>
      <c r="I13" s="582"/>
      <c r="J13" s="582"/>
      <c r="K13" s="582"/>
      <c r="L13" s="582"/>
      <c r="M13" s="582"/>
      <c r="O13" s="426"/>
      <c r="P13" s="426"/>
      <c r="Q13" s="426"/>
      <c r="R13" s="426"/>
      <c r="S13" s="426"/>
      <c r="T13" s="426"/>
      <c r="Z13" s="48" t="s">
        <v>161</v>
      </c>
      <c r="AA13" s="48" t="str">
        <f>UPPER(REPORTS!$AA$1)</f>
        <v>NAT_F</v>
      </c>
      <c r="AB13" s="48" t="str">
        <f>CONCATENATE("UMBRAL HÚMEDO ", UPPER(REPORTS!$AA$1))</f>
        <v>UMBRAL HÚMEDO NAT_F</v>
      </c>
      <c r="AC13" s="48" t="str">
        <f>CONCATENATE("UMBRAL SECO ", UPPER(REPORTS!$AA$1))</f>
        <v>UMBRAL SECO NAT_F</v>
      </c>
      <c r="AD13" s="48" t="str">
        <f>UPPER(REPORTS!$AA$2)</f>
        <v>ALT_F</v>
      </c>
      <c r="AE13" s="48" t="str">
        <f>CONCATENATE("UMBRAL HÚMEDO ", UPPER(REPORTS!$AA$2))</f>
        <v>UMBRAL HÚMEDO ALT_F</v>
      </c>
      <c r="AF13" s="48" t="str">
        <f>CONCATENATE("UMBRAL SECO ", UPPER(REPORTS!$AA$2))</f>
        <v>UMBRAL SECO ALT_F</v>
      </c>
    </row>
    <row r="14" spans="1:32" ht="16.5" customHeight="1">
      <c r="B14" s="527" t="s">
        <v>38</v>
      </c>
      <c r="C14" s="528">
        <v>92.2076416015625</v>
      </c>
      <c r="D14" s="529"/>
      <c r="F14" s="582"/>
      <c r="G14" s="582"/>
      <c r="H14" s="582"/>
      <c r="I14" s="582"/>
      <c r="J14" s="582"/>
      <c r="K14" s="582"/>
      <c r="L14" s="582"/>
      <c r="M14" s="582"/>
      <c r="O14" s="427"/>
      <c r="P14" s="438" t="str">
        <f>UPPER(REPORTS!$AA$1)</f>
        <v>NAT_F</v>
      </c>
      <c r="Q14" s="438" t="str">
        <f>UPPER(REPORTS!$AA$2)</f>
        <v>ALT_F</v>
      </c>
      <c r="R14" s="427"/>
      <c r="S14" s="427"/>
      <c r="T14" s="427"/>
      <c r="Z14" s="206" t="str">
        <f>B14</f>
        <v>1990-91</v>
      </c>
      <c r="AA14" s="207">
        <f>C14</f>
        <v>92.2076416015625</v>
      </c>
      <c r="AB14" s="207">
        <f>$J$24</f>
        <v>105.73929214477539</v>
      </c>
      <c r="AC14" s="207">
        <f>$J$25</f>
        <v>89.406955718994141</v>
      </c>
      <c r="AD14" s="207">
        <f>D14</f>
        <v>0</v>
      </c>
      <c r="AE14" s="207">
        <f>$K$24</f>
        <v>61.18043327331543</v>
      </c>
      <c r="AF14" s="207">
        <f>$K$25</f>
        <v>47.812652587890625</v>
      </c>
    </row>
    <row r="15" spans="1:32" ht="16.5" customHeight="1">
      <c r="A15" s="27"/>
      <c r="B15" s="530" t="s">
        <v>40</v>
      </c>
      <c r="C15" s="525">
        <v>97.979019165039063</v>
      </c>
      <c r="D15" s="525"/>
      <c r="E15" s="27"/>
      <c r="F15" s="582"/>
      <c r="G15" s="582"/>
      <c r="H15" s="582"/>
      <c r="I15" s="582"/>
      <c r="J15" s="582"/>
      <c r="K15" s="582"/>
      <c r="L15" s="582"/>
      <c r="M15" s="582"/>
      <c r="O15" s="433"/>
      <c r="P15" s="433"/>
      <c r="Q15" s="433"/>
      <c r="R15" s="433"/>
      <c r="S15" s="433"/>
      <c r="T15" s="433"/>
      <c r="Z15" s="206" t="str">
        <f t="shared" ref="Z15:AA78" si="0">B15</f>
        <v>1991-92</v>
      </c>
      <c r="AA15" s="207">
        <f t="shared" si="0"/>
        <v>97.979019165039063</v>
      </c>
      <c r="AB15" s="207">
        <f t="shared" ref="AB15:AB78" si="1">$J$24</f>
        <v>105.73929214477539</v>
      </c>
      <c r="AC15" s="207">
        <f t="shared" ref="AC15:AC78" si="2">$J$25</f>
        <v>89.406955718994141</v>
      </c>
      <c r="AD15" s="207">
        <f t="shared" ref="AD15:AD78" si="3">D15</f>
        <v>0</v>
      </c>
      <c r="AE15" s="207">
        <f t="shared" ref="AE15:AE78" si="4">$K$24</f>
        <v>61.18043327331543</v>
      </c>
      <c r="AF15" s="207">
        <f t="shared" ref="AF15:AF78" si="5">$K$25</f>
        <v>47.812652587890625</v>
      </c>
    </row>
    <row r="16" spans="1:32">
      <c r="A16" s="27"/>
      <c r="B16" s="530" t="s">
        <v>41</v>
      </c>
      <c r="C16" s="525">
        <v>100.94139862060547</v>
      </c>
      <c r="D16" s="525"/>
      <c r="E16" s="27"/>
      <c r="F16" s="582"/>
      <c r="G16" s="582"/>
      <c r="H16" s="582"/>
      <c r="I16" s="582"/>
      <c r="J16" s="582"/>
      <c r="K16" s="582"/>
      <c r="L16" s="582"/>
      <c r="M16" s="582"/>
      <c r="O16" s="434"/>
      <c r="P16" s="434"/>
      <c r="Q16" s="434"/>
      <c r="R16" s="434"/>
      <c r="S16" s="434"/>
      <c r="T16" s="434"/>
      <c r="Z16" s="206" t="str">
        <f t="shared" si="0"/>
        <v>1992-93</v>
      </c>
      <c r="AA16" s="207">
        <f t="shared" si="0"/>
        <v>100.94139862060547</v>
      </c>
      <c r="AB16" s="207">
        <f t="shared" si="1"/>
        <v>105.73929214477539</v>
      </c>
      <c r="AC16" s="207">
        <f t="shared" si="2"/>
        <v>89.406955718994141</v>
      </c>
      <c r="AD16" s="207">
        <f t="shared" si="3"/>
        <v>0</v>
      </c>
      <c r="AE16" s="207">
        <f t="shared" si="4"/>
        <v>61.18043327331543</v>
      </c>
      <c r="AF16" s="207">
        <f t="shared" si="5"/>
        <v>47.812652587890625</v>
      </c>
    </row>
    <row r="17" spans="1:32" ht="14.25" customHeight="1">
      <c r="A17" s="27"/>
      <c r="B17" s="530" t="s">
        <v>42</v>
      </c>
      <c r="C17" s="525">
        <v>99.479499816894531</v>
      </c>
      <c r="D17" s="525"/>
      <c r="E17" s="27"/>
      <c r="F17" s="582"/>
      <c r="G17" s="582"/>
      <c r="H17" s="582"/>
      <c r="I17" s="582"/>
      <c r="J17" s="582"/>
      <c r="K17" s="582"/>
      <c r="L17" s="582"/>
      <c r="M17" s="582"/>
      <c r="O17" s="110"/>
      <c r="P17" s="110"/>
      <c r="Q17" s="110"/>
      <c r="R17" s="110"/>
      <c r="S17" s="110"/>
      <c r="T17" s="110"/>
      <c r="Z17" s="206" t="str">
        <f t="shared" si="0"/>
        <v>1993-94</v>
      </c>
      <c r="AA17" s="207">
        <f t="shared" si="0"/>
        <v>99.479499816894531</v>
      </c>
      <c r="AB17" s="207">
        <f t="shared" si="1"/>
        <v>105.73929214477539</v>
      </c>
      <c r="AC17" s="207">
        <f t="shared" si="2"/>
        <v>89.406955718994141</v>
      </c>
      <c r="AD17" s="207">
        <f t="shared" si="3"/>
        <v>0</v>
      </c>
      <c r="AE17" s="207">
        <f t="shared" si="4"/>
        <v>61.18043327331543</v>
      </c>
      <c r="AF17" s="207">
        <f t="shared" si="5"/>
        <v>47.812652587890625</v>
      </c>
    </row>
    <row r="18" spans="1:32">
      <c r="A18" s="27"/>
      <c r="B18" s="530" t="s">
        <v>43</v>
      </c>
      <c r="C18" s="525">
        <v>103.67398834228516</v>
      </c>
      <c r="D18" s="525"/>
      <c r="E18" s="27"/>
      <c r="F18" s="582"/>
      <c r="G18" s="582"/>
      <c r="H18" s="582"/>
      <c r="I18" s="582"/>
      <c r="J18" s="582"/>
      <c r="K18" s="582"/>
      <c r="L18" s="582"/>
      <c r="M18" s="582"/>
      <c r="O18" s="110"/>
      <c r="P18" s="110"/>
      <c r="Q18" s="110"/>
      <c r="R18" s="110"/>
      <c r="S18" s="110"/>
      <c r="T18" s="110"/>
      <c r="Z18" s="206" t="str">
        <f t="shared" si="0"/>
        <v>1994-95</v>
      </c>
      <c r="AA18" s="207">
        <f t="shared" si="0"/>
        <v>103.67398834228516</v>
      </c>
      <c r="AB18" s="207">
        <f t="shared" si="1"/>
        <v>105.73929214477539</v>
      </c>
      <c r="AC18" s="207">
        <f t="shared" si="2"/>
        <v>89.406955718994141</v>
      </c>
      <c r="AD18" s="207">
        <f t="shared" si="3"/>
        <v>0</v>
      </c>
      <c r="AE18" s="207">
        <f t="shared" si="4"/>
        <v>61.18043327331543</v>
      </c>
      <c r="AF18" s="207">
        <f t="shared" si="5"/>
        <v>47.812652587890625</v>
      </c>
    </row>
    <row r="19" spans="1:32">
      <c r="A19" s="27"/>
      <c r="B19" s="530" t="s">
        <v>44</v>
      </c>
      <c r="C19" s="525">
        <v>109.82182312011719</v>
      </c>
      <c r="D19" s="525"/>
      <c r="E19" s="27"/>
      <c r="O19" s="110"/>
      <c r="P19" s="110"/>
      <c r="Q19" s="110"/>
      <c r="R19" s="110"/>
      <c r="S19" s="110"/>
      <c r="T19" s="110"/>
      <c r="Z19" s="206" t="str">
        <f t="shared" si="0"/>
        <v>1995-96</v>
      </c>
      <c r="AA19" s="207">
        <f t="shared" si="0"/>
        <v>109.82182312011719</v>
      </c>
      <c r="AB19" s="207">
        <f t="shared" si="1"/>
        <v>105.73929214477539</v>
      </c>
      <c r="AC19" s="207">
        <f t="shared" si="2"/>
        <v>89.406955718994141</v>
      </c>
      <c r="AD19" s="207">
        <f t="shared" si="3"/>
        <v>0</v>
      </c>
      <c r="AE19" s="207">
        <f t="shared" si="4"/>
        <v>61.18043327331543</v>
      </c>
      <c r="AF19" s="207">
        <f t="shared" si="5"/>
        <v>47.812652587890625</v>
      </c>
    </row>
    <row r="20" spans="1:32">
      <c r="A20" s="27"/>
      <c r="B20" s="530" t="s">
        <v>45</v>
      </c>
      <c r="C20" s="525">
        <v>118.52344512939453</v>
      </c>
      <c r="D20" s="525"/>
      <c r="E20" s="27"/>
      <c r="H20" s="595"/>
      <c r="I20" s="596"/>
      <c r="J20" s="596"/>
      <c r="K20" s="596"/>
      <c r="Q20" s="110"/>
      <c r="R20" s="110"/>
      <c r="Z20" s="206" t="str">
        <f t="shared" si="0"/>
        <v>1996-97</v>
      </c>
      <c r="AA20" s="207">
        <f t="shared" si="0"/>
        <v>118.52344512939453</v>
      </c>
      <c r="AB20" s="207">
        <f t="shared" si="1"/>
        <v>105.73929214477539</v>
      </c>
      <c r="AC20" s="207">
        <f t="shared" si="2"/>
        <v>89.406955718994141</v>
      </c>
      <c r="AD20" s="207">
        <f t="shared" si="3"/>
        <v>0</v>
      </c>
      <c r="AE20" s="207">
        <f t="shared" si="4"/>
        <v>61.18043327331543</v>
      </c>
      <c r="AF20" s="207">
        <f t="shared" si="5"/>
        <v>47.812652587890625</v>
      </c>
    </row>
    <row r="21" spans="1:32">
      <c r="A21" s="27"/>
      <c r="B21" s="530" t="s">
        <v>46</v>
      </c>
      <c r="C21" s="525">
        <v>116.83329772949219</v>
      </c>
      <c r="D21" s="525"/>
      <c r="E21" s="27"/>
      <c r="H21" s="597"/>
      <c r="I21" s="597"/>
      <c r="J21" s="597"/>
      <c r="K21" s="597"/>
      <c r="Q21" s="110"/>
      <c r="R21" s="110"/>
      <c r="Z21" s="206" t="str">
        <f t="shared" si="0"/>
        <v>1997-98</v>
      </c>
      <c r="AA21" s="207">
        <f t="shared" si="0"/>
        <v>116.83329772949219</v>
      </c>
      <c r="AB21" s="207">
        <f t="shared" si="1"/>
        <v>105.73929214477539</v>
      </c>
      <c r="AC21" s="207">
        <f t="shared" si="2"/>
        <v>89.406955718994141</v>
      </c>
      <c r="AD21" s="207">
        <f t="shared" si="3"/>
        <v>0</v>
      </c>
      <c r="AE21" s="207">
        <f t="shared" si="4"/>
        <v>61.18043327331543</v>
      </c>
      <c r="AF21" s="207">
        <f t="shared" si="5"/>
        <v>47.812652587890625</v>
      </c>
    </row>
    <row r="22" spans="1:32">
      <c r="A22" s="27"/>
      <c r="B22" s="530" t="s">
        <v>47</v>
      </c>
      <c r="C22" s="525">
        <v>102.62631225585938</v>
      </c>
      <c r="D22" s="525"/>
      <c r="E22" s="27"/>
      <c r="H22" s="572" t="s">
        <v>184</v>
      </c>
      <c r="I22" s="572"/>
      <c r="J22" s="435" t="str">
        <f>REPORTS!$AA$1</f>
        <v>Nat_F</v>
      </c>
      <c r="K22" s="435" t="str">
        <f>REPORTS!$AA$2</f>
        <v>Alt_F</v>
      </c>
      <c r="Q22" s="110"/>
      <c r="R22" s="110"/>
      <c r="Z22" s="206" t="str">
        <f t="shared" si="0"/>
        <v>1998-99</v>
      </c>
      <c r="AA22" s="207">
        <f t="shared" si="0"/>
        <v>102.62631225585938</v>
      </c>
      <c r="AB22" s="207">
        <f t="shared" si="1"/>
        <v>105.73929214477539</v>
      </c>
      <c r="AC22" s="207">
        <f t="shared" si="2"/>
        <v>89.406955718994141</v>
      </c>
      <c r="AD22" s="207">
        <f t="shared" si="3"/>
        <v>0</v>
      </c>
      <c r="AE22" s="207">
        <f t="shared" si="4"/>
        <v>61.18043327331543</v>
      </c>
      <c r="AF22" s="207">
        <f t="shared" si="5"/>
        <v>47.812652587890625</v>
      </c>
    </row>
    <row r="23" spans="1:32" ht="15" customHeight="1">
      <c r="A23" s="27"/>
      <c r="B23" s="530" t="s">
        <v>48</v>
      </c>
      <c r="C23" s="525">
        <v>82.448440551757813</v>
      </c>
      <c r="D23" s="525"/>
      <c r="E23" s="27"/>
      <c r="H23" s="598"/>
      <c r="I23" s="598"/>
      <c r="J23" s="436" t="s">
        <v>182</v>
      </c>
      <c r="K23" s="436" t="s">
        <v>182</v>
      </c>
      <c r="Q23" s="110"/>
      <c r="R23" s="110"/>
      <c r="Z23" s="206" t="str">
        <f t="shared" si="0"/>
        <v>1999-00</v>
      </c>
      <c r="AA23" s="207">
        <f t="shared" si="0"/>
        <v>82.448440551757813</v>
      </c>
      <c r="AB23" s="207">
        <f t="shared" si="1"/>
        <v>105.73929214477539</v>
      </c>
      <c r="AC23" s="207">
        <f t="shared" si="2"/>
        <v>89.406955718994141</v>
      </c>
      <c r="AD23" s="207">
        <f t="shared" si="3"/>
        <v>0</v>
      </c>
      <c r="AE23" s="207">
        <f t="shared" si="4"/>
        <v>61.18043327331543</v>
      </c>
      <c r="AF23" s="207">
        <f t="shared" si="5"/>
        <v>47.812652587890625</v>
      </c>
    </row>
    <row r="24" spans="1:32" ht="13">
      <c r="A24" s="27"/>
      <c r="B24" s="530" t="s">
        <v>49</v>
      </c>
      <c r="C24" s="525">
        <v>73.970100402832031</v>
      </c>
      <c r="D24" s="525"/>
      <c r="E24" s="27"/>
      <c r="H24" s="575" t="s">
        <v>185</v>
      </c>
      <c r="I24" s="575"/>
      <c r="J24" s="46">
        <f>_xlfn.PERCENTILE.EXC(C14:C614,0.75)</f>
        <v>105.73929214477539</v>
      </c>
      <c r="K24" s="249">
        <f>_xlfn.PERCENTILE.EXC(D14:D614,0.75)</f>
        <v>61.18043327331543</v>
      </c>
      <c r="Z24" s="206" t="str">
        <f t="shared" si="0"/>
        <v>2000-01</v>
      </c>
      <c r="AA24" s="207">
        <f t="shared" si="0"/>
        <v>73.970100402832031</v>
      </c>
      <c r="AB24" s="207">
        <f t="shared" si="1"/>
        <v>105.73929214477539</v>
      </c>
      <c r="AC24" s="207">
        <f t="shared" si="2"/>
        <v>89.406955718994141</v>
      </c>
      <c r="AD24" s="207">
        <f t="shared" si="3"/>
        <v>0</v>
      </c>
      <c r="AE24" s="207">
        <f t="shared" si="4"/>
        <v>61.18043327331543</v>
      </c>
      <c r="AF24" s="207">
        <f t="shared" si="5"/>
        <v>47.812652587890625</v>
      </c>
    </row>
    <row r="25" spans="1:32" ht="13">
      <c r="A25" s="27"/>
      <c r="B25" s="530" t="s">
        <v>50</v>
      </c>
      <c r="C25" s="525">
        <v>90.61065673828125</v>
      </c>
      <c r="D25" s="525"/>
      <c r="E25" s="27"/>
      <c r="H25" s="599" t="s">
        <v>186</v>
      </c>
      <c r="I25" s="599"/>
      <c r="J25" s="49">
        <f>_xlfn.PERCENTILE.EXC(C14:C615,0.25)</f>
        <v>89.406955718994141</v>
      </c>
      <c r="K25" s="49">
        <f>_xlfn.PERCENTILE.EXC(D14:D615,0.25)</f>
        <v>47.812652587890625</v>
      </c>
      <c r="Z25" s="206" t="str">
        <f t="shared" si="0"/>
        <v>2001-02</v>
      </c>
      <c r="AA25" s="207">
        <f t="shared" si="0"/>
        <v>90.61065673828125</v>
      </c>
      <c r="AB25" s="207">
        <f t="shared" si="1"/>
        <v>105.73929214477539</v>
      </c>
      <c r="AC25" s="207">
        <f t="shared" si="2"/>
        <v>89.406955718994141</v>
      </c>
      <c r="AD25" s="207">
        <f t="shared" si="3"/>
        <v>0</v>
      </c>
      <c r="AE25" s="207">
        <f t="shared" si="4"/>
        <v>61.18043327331543</v>
      </c>
      <c r="AF25" s="207">
        <f t="shared" si="5"/>
        <v>47.812652587890625</v>
      </c>
    </row>
    <row r="26" spans="1:32" ht="14.5">
      <c r="A26" s="27"/>
      <c r="B26" s="530" t="s">
        <v>51</v>
      </c>
      <c r="C26" s="525">
        <v>93.292648315429688</v>
      </c>
      <c r="D26" s="525"/>
      <c r="E26" s="27"/>
      <c r="H26" s="106"/>
      <c r="I26" s="107"/>
      <c r="J26" s="108"/>
      <c r="K26" s="437"/>
      <c r="M26" s="48" t="str">
        <f>REPORTS!$AA$1</f>
        <v>Nat_F</v>
      </c>
      <c r="Z26" s="206" t="str">
        <f t="shared" si="0"/>
        <v>2002-03</v>
      </c>
      <c r="AA26" s="207">
        <f t="shared" si="0"/>
        <v>93.292648315429688</v>
      </c>
      <c r="AB26" s="207">
        <f t="shared" si="1"/>
        <v>105.73929214477539</v>
      </c>
      <c r="AC26" s="207">
        <f t="shared" si="2"/>
        <v>89.406955718994141</v>
      </c>
      <c r="AD26" s="207">
        <f t="shared" si="3"/>
        <v>0</v>
      </c>
      <c r="AE26" s="207">
        <f t="shared" si="4"/>
        <v>61.18043327331543</v>
      </c>
      <c r="AF26" s="207">
        <f t="shared" si="5"/>
        <v>47.812652587890625</v>
      </c>
    </row>
    <row r="27" spans="1:32" ht="13">
      <c r="A27" s="27"/>
      <c r="B27" s="530" t="s">
        <v>52</v>
      </c>
      <c r="C27" s="525">
        <v>107.80459594726563</v>
      </c>
      <c r="D27" s="525"/>
      <c r="E27" s="27"/>
      <c r="H27" s="600"/>
      <c r="I27" s="600"/>
      <c r="J27" s="46"/>
      <c r="K27" s="338"/>
      <c r="M27" s="48"/>
      <c r="Z27" s="206" t="str">
        <f t="shared" si="0"/>
        <v>2003-04</v>
      </c>
      <c r="AA27" s="207">
        <f t="shared" si="0"/>
        <v>107.80459594726563</v>
      </c>
      <c r="AB27" s="207">
        <f t="shared" si="1"/>
        <v>105.73929214477539</v>
      </c>
      <c r="AC27" s="207">
        <f t="shared" si="2"/>
        <v>89.406955718994141</v>
      </c>
      <c r="AD27" s="207">
        <f t="shared" si="3"/>
        <v>0</v>
      </c>
      <c r="AE27" s="207">
        <f t="shared" si="4"/>
        <v>61.18043327331543</v>
      </c>
      <c r="AF27" s="207">
        <f t="shared" si="5"/>
        <v>47.812652587890625</v>
      </c>
    </row>
    <row r="28" spans="1:32" ht="13">
      <c r="A28" s="27"/>
      <c r="B28" s="530" t="s">
        <v>53</v>
      </c>
      <c r="C28" s="525">
        <v>99.997283935546875</v>
      </c>
      <c r="D28" s="525"/>
      <c r="E28" s="27"/>
      <c r="H28" s="601"/>
      <c r="I28" s="601"/>
      <c r="J28" s="46"/>
      <c r="K28" s="338"/>
      <c r="Z28" s="206" t="str">
        <f t="shared" si="0"/>
        <v>2004-05</v>
      </c>
      <c r="AA28" s="207">
        <f t="shared" si="0"/>
        <v>99.997283935546875</v>
      </c>
      <c r="AB28" s="207">
        <f t="shared" si="1"/>
        <v>105.73929214477539</v>
      </c>
      <c r="AC28" s="207">
        <f t="shared" si="2"/>
        <v>89.406955718994141</v>
      </c>
      <c r="AD28" s="207">
        <f t="shared" si="3"/>
        <v>0</v>
      </c>
      <c r="AE28" s="207">
        <f t="shared" si="4"/>
        <v>61.18043327331543</v>
      </c>
      <c r="AF28" s="207">
        <f t="shared" si="5"/>
        <v>47.812652587890625</v>
      </c>
    </row>
    <row r="29" spans="1:32" ht="14.5">
      <c r="A29" s="27"/>
      <c r="B29" s="530" t="s">
        <v>54</v>
      </c>
      <c r="C29" s="525">
        <v>87.014266967773438</v>
      </c>
      <c r="D29" s="525"/>
      <c r="E29" s="27"/>
      <c r="H29" s="594"/>
      <c r="I29" s="594"/>
      <c r="J29" s="46"/>
      <c r="K29" s="109"/>
      <c r="Z29" s="206" t="str">
        <f t="shared" si="0"/>
        <v>2005-06</v>
      </c>
      <c r="AA29" s="207">
        <f t="shared" si="0"/>
        <v>87.014266967773438</v>
      </c>
      <c r="AB29" s="207">
        <f t="shared" si="1"/>
        <v>105.73929214477539</v>
      </c>
      <c r="AC29" s="207">
        <f t="shared" si="2"/>
        <v>89.406955718994141</v>
      </c>
      <c r="AD29" s="207">
        <f t="shared" si="3"/>
        <v>0</v>
      </c>
      <c r="AE29" s="207">
        <f t="shared" si="4"/>
        <v>61.18043327331543</v>
      </c>
      <c r="AF29" s="207">
        <f t="shared" si="5"/>
        <v>47.812652587890625</v>
      </c>
    </row>
    <row r="30" spans="1:32" ht="14.5">
      <c r="A30" s="27"/>
      <c r="B30" s="530" t="s">
        <v>55</v>
      </c>
      <c r="C30" s="525">
        <v>88.203254699707031</v>
      </c>
      <c r="D30" s="525"/>
      <c r="E30" s="27"/>
      <c r="H30" s="594"/>
      <c r="I30" s="594"/>
      <c r="J30" s="46"/>
      <c r="K30" s="109"/>
      <c r="Z30" s="206" t="str">
        <f t="shared" si="0"/>
        <v>2006-07</v>
      </c>
      <c r="AA30" s="207">
        <f t="shared" si="0"/>
        <v>88.203254699707031</v>
      </c>
      <c r="AB30" s="207">
        <f t="shared" si="1"/>
        <v>105.73929214477539</v>
      </c>
      <c r="AC30" s="207">
        <f t="shared" si="2"/>
        <v>89.406955718994141</v>
      </c>
      <c r="AD30" s="207">
        <f t="shared" si="3"/>
        <v>0</v>
      </c>
      <c r="AE30" s="207">
        <f t="shared" si="4"/>
        <v>61.18043327331543</v>
      </c>
      <c r="AF30" s="207">
        <f t="shared" si="5"/>
        <v>47.812652587890625</v>
      </c>
    </row>
    <row r="31" spans="1:32">
      <c r="A31" s="27"/>
      <c r="B31" s="530" t="s">
        <v>56</v>
      </c>
      <c r="C31" s="525">
        <v>93.575553894042969</v>
      </c>
      <c r="D31" s="525"/>
      <c r="E31" s="27"/>
      <c r="Z31" s="206" t="str">
        <f t="shared" si="0"/>
        <v>2007-08</v>
      </c>
      <c r="AA31" s="207">
        <f t="shared" si="0"/>
        <v>93.575553894042969</v>
      </c>
      <c r="AB31" s="207">
        <f t="shared" si="1"/>
        <v>105.73929214477539</v>
      </c>
      <c r="AC31" s="207">
        <f t="shared" si="2"/>
        <v>89.406955718994141</v>
      </c>
      <c r="AD31" s="207">
        <f t="shared" si="3"/>
        <v>0</v>
      </c>
      <c r="AE31" s="207">
        <f t="shared" si="4"/>
        <v>61.18043327331543</v>
      </c>
      <c r="AF31" s="207">
        <f t="shared" si="5"/>
        <v>47.812652587890625</v>
      </c>
    </row>
    <row r="32" spans="1:32">
      <c r="B32" s="531" t="s">
        <v>57</v>
      </c>
      <c r="C32" s="525">
        <v>114.83309936523438</v>
      </c>
      <c r="D32" s="525"/>
      <c r="Z32" s="206" t="str">
        <f t="shared" si="0"/>
        <v>2008-09</v>
      </c>
      <c r="AA32" s="207">
        <f t="shared" si="0"/>
        <v>114.83309936523438</v>
      </c>
      <c r="AB32" s="207">
        <f t="shared" si="1"/>
        <v>105.73929214477539</v>
      </c>
      <c r="AC32" s="207">
        <f t="shared" si="2"/>
        <v>89.406955718994141</v>
      </c>
      <c r="AD32" s="207">
        <f t="shared" si="3"/>
        <v>0</v>
      </c>
      <c r="AE32" s="207">
        <f t="shared" si="4"/>
        <v>61.18043327331543</v>
      </c>
      <c r="AF32" s="207">
        <f t="shared" si="5"/>
        <v>47.812652587890625</v>
      </c>
    </row>
    <row r="33" spans="2:32">
      <c r="B33" s="531" t="s">
        <v>58</v>
      </c>
      <c r="C33" s="525">
        <v>78.004104614257813</v>
      </c>
      <c r="D33" s="525"/>
      <c r="Z33" s="206" t="str">
        <f t="shared" si="0"/>
        <v>2009-10</v>
      </c>
      <c r="AA33" s="207">
        <f t="shared" si="0"/>
        <v>78.004104614257813</v>
      </c>
      <c r="AB33" s="207">
        <f t="shared" si="1"/>
        <v>105.73929214477539</v>
      </c>
      <c r="AC33" s="207">
        <f t="shared" si="2"/>
        <v>89.406955718994141</v>
      </c>
      <c r="AD33" s="207">
        <f t="shared" si="3"/>
        <v>0</v>
      </c>
      <c r="AE33" s="207">
        <f t="shared" si="4"/>
        <v>61.18043327331543</v>
      </c>
      <c r="AF33" s="207">
        <f t="shared" si="5"/>
        <v>47.812652587890625</v>
      </c>
    </row>
    <row r="34" spans="2:32">
      <c r="B34" s="531" t="s">
        <v>59</v>
      </c>
      <c r="C34" s="525">
        <v>100.32730865478516</v>
      </c>
      <c r="D34" s="525"/>
      <c r="Z34" s="206" t="str">
        <f t="shared" si="0"/>
        <v>2010-11</v>
      </c>
      <c r="AA34" s="207">
        <f t="shared" si="0"/>
        <v>100.32730865478516</v>
      </c>
      <c r="AB34" s="207">
        <f t="shared" si="1"/>
        <v>105.73929214477539</v>
      </c>
      <c r="AC34" s="207">
        <f t="shared" si="2"/>
        <v>89.406955718994141</v>
      </c>
      <c r="AD34" s="207">
        <f t="shared" si="3"/>
        <v>0</v>
      </c>
      <c r="AE34" s="207">
        <f t="shared" si="4"/>
        <v>61.18043327331543</v>
      </c>
      <c r="AF34" s="207">
        <f t="shared" si="5"/>
        <v>47.812652587890625</v>
      </c>
    </row>
    <row r="35" spans="2:32">
      <c r="B35" s="531" t="s">
        <v>129</v>
      </c>
      <c r="C35" s="525"/>
      <c r="D35" s="525">
        <v>63.072635650634766</v>
      </c>
      <c r="Z35" s="206" t="str">
        <f t="shared" si="0"/>
        <v>2080-81</v>
      </c>
      <c r="AA35" s="207">
        <f t="shared" si="0"/>
        <v>0</v>
      </c>
      <c r="AB35" s="207">
        <f t="shared" si="1"/>
        <v>105.73929214477539</v>
      </c>
      <c r="AC35" s="207">
        <f t="shared" si="2"/>
        <v>89.406955718994141</v>
      </c>
      <c r="AD35" s="207">
        <f t="shared" si="3"/>
        <v>63.072635650634766</v>
      </c>
      <c r="AE35" s="207">
        <f t="shared" si="4"/>
        <v>61.18043327331543</v>
      </c>
      <c r="AF35" s="207">
        <f t="shared" si="5"/>
        <v>47.812652587890625</v>
      </c>
    </row>
    <row r="36" spans="2:32">
      <c r="B36" s="531" t="s">
        <v>130</v>
      </c>
      <c r="C36" s="525"/>
      <c r="D36" s="525">
        <v>49.108882904052734</v>
      </c>
      <c r="Z36" s="206" t="str">
        <f t="shared" si="0"/>
        <v>2081-82</v>
      </c>
      <c r="AA36" s="207">
        <f t="shared" si="0"/>
        <v>0</v>
      </c>
      <c r="AB36" s="207">
        <f t="shared" si="1"/>
        <v>105.73929214477539</v>
      </c>
      <c r="AC36" s="207">
        <f t="shared" si="2"/>
        <v>89.406955718994141</v>
      </c>
      <c r="AD36" s="207">
        <f t="shared" si="3"/>
        <v>49.108882904052734</v>
      </c>
      <c r="AE36" s="207">
        <f t="shared" si="4"/>
        <v>61.18043327331543</v>
      </c>
      <c r="AF36" s="207">
        <f t="shared" si="5"/>
        <v>47.812652587890625</v>
      </c>
    </row>
    <row r="37" spans="2:32">
      <c r="B37" s="531" t="s">
        <v>131</v>
      </c>
      <c r="C37" s="525"/>
      <c r="D37" s="525">
        <v>53.830959320068359</v>
      </c>
      <c r="Z37" s="206" t="str">
        <f t="shared" si="0"/>
        <v>2082-83</v>
      </c>
      <c r="AA37" s="207">
        <f t="shared" si="0"/>
        <v>0</v>
      </c>
      <c r="AB37" s="207">
        <f t="shared" si="1"/>
        <v>105.73929214477539</v>
      </c>
      <c r="AC37" s="207">
        <f t="shared" si="2"/>
        <v>89.406955718994141</v>
      </c>
      <c r="AD37" s="207">
        <f t="shared" si="3"/>
        <v>53.830959320068359</v>
      </c>
      <c r="AE37" s="207">
        <f t="shared" si="4"/>
        <v>61.18043327331543</v>
      </c>
      <c r="AF37" s="207">
        <f t="shared" si="5"/>
        <v>47.812652587890625</v>
      </c>
    </row>
    <row r="38" spans="2:32">
      <c r="B38" s="531" t="s">
        <v>132</v>
      </c>
      <c r="C38" s="525"/>
      <c r="D38" s="525">
        <v>70.150871276855469</v>
      </c>
      <c r="Z38" s="206" t="str">
        <f t="shared" si="0"/>
        <v>2083-84</v>
      </c>
      <c r="AA38" s="207">
        <f t="shared" si="0"/>
        <v>0</v>
      </c>
      <c r="AB38" s="207">
        <f t="shared" si="1"/>
        <v>105.73929214477539</v>
      </c>
      <c r="AC38" s="207">
        <f t="shared" si="2"/>
        <v>89.406955718994141</v>
      </c>
      <c r="AD38" s="207">
        <f t="shared" si="3"/>
        <v>70.150871276855469</v>
      </c>
      <c r="AE38" s="207">
        <f t="shared" si="4"/>
        <v>61.18043327331543</v>
      </c>
      <c r="AF38" s="207">
        <f t="shared" si="5"/>
        <v>47.812652587890625</v>
      </c>
    </row>
    <row r="39" spans="2:32">
      <c r="B39" s="531" t="s">
        <v>133</v>
      </c>
      <c r="C39" s="525"/>
      <c r="D39" s="525">
        <v>70.7994384765625</v>
      </c>
      <c r="Z39" s="206" t="str">
        <f t="shared" si="0"/>
        <v>2084-85</v>
      </c>
      <c r="AA39" s="207">
        <f t="shared" si="0"/>
        <v>0</v>
      </c>
      <c r="AB39" s="207">
        <f t="shared" si="1"/>
        <v>105.73929214477539</v>
      </c>
      <c r="AC39" s="207">
        <f t="shared" si="2"/>
        <v>89.406955718994141</v>
      </c>
      <c r="AD39" s="207">
        <f t="shared" si="3"/>
        <v>70.7994384765625</v>
      </c>
      <c r="AE39" s="207">
        <f t="shared" si="4"/>
        <v>61.18043327331543</v>
      </c>
      <c r="AF39" s="207">
        <f t="shared" si="5"/>
        <v>47.812652587890625</v>
      </c>
    </row>
    <row r="40" spans="2:32">
      <c r="B40" s="531" t="s">
        <v>134</v>
      </c>
      <c r="C40" s="525"/>
      <c r="D40" s="525">
        <v>50.573440551757813</v>
      </c>
      <c r="Z40" s="206" t="str">
        <f t="shared" si="0"/>
        <v>2085-86</v>
      </c>
      <c r="AA40" s="207">
        <f t="shared" si="0"/>
        <v>0</v>
      </c>
      <c r="AB40" s="207">
        <f t="shared" si="1"/>
        <v>105.73929214477539</v>
      </c>
      <c r="AC40" s="207">
        <f t="shared" si="2"/>
        <v>89.406955718994141</v>
      </c>
      <c r="AD40" s="207">
        <f t="shared" si="3"/>
        <v>50.573440551757813</v>
      </c>
      <c r="AE40" s="207">
        <f t="shared" si="4"/>
        <v>61.18043327331543</v>
      </c>
      <c r="AF40" s="207">
        <f t="shared" si="5"/>
        <v>47.812652587890625</v>
      </c>
    </row>
    <row r="41" spans="2:32">
      <c r="B41" s="531" t="s">
        <v>135</v>
      </c>
      <c r="C41" s="525"/>
      <c r="D41" s="525">
        <v>59.040454864501953</v>
      </c>
      <c r="Z41" s="206" t="str">
        <f t="shared" si="0"/>
        <v>2086-87</v>
      </c>
      <c r="AA41" s="207">
        <f t="shared" si="0"/>
        <v>0</v>
      </c>
      <c r="AB41" s="207">
        <f t="shared" si="1"/>
        <v>105.73929214477539</v>
      </c>
      <c r="AC41" s="207">
        <f t="shared" si="2"/>
        <v>89.406955718994141</v>
      </c>
      <c r="AD41" s="207">
        <f t="shared" si="3"/>
        <v>59.040454864501953</v>
      </c>
      <c r="AE41" s="207">
        <f t="shared" si="4"/>
        <v>61.18043327331543</v>
      </c>
      <c r="AF41" s="207">
        <f t="shared" si="5"/>
        <v>47.812652587890625</v>
      </c>
    </row>
    <row r="42" spans="2:32">
      <c r="B42" s="531" t="s">
        <v>136</v>
      </c>
      <c r="C42" s="525"/>
      <c r="D42" s="525">
        <v>66.402969360351563</v>
      </c>
      <c r="Z42" s="206" t="str">
        <f t="shared" si="0"/>
        <v>2087-88</v>
      </c>
      <c r="AA42" s="207">
        <f t="shared" si="0"/>
        <v>0</v>
      </c>
      <c r="AB42" s="207">
        <f t="shared" si="1"/>
        <v>105.73929214477539</v>
      </c>
      <c r="AC42" s="207">
        <f t="shared" si="2"/>
        <v>89.406955718994141</v>
      </c>
      <c r="AD42" s="207">
        <f t="shared" si="3"/>
        <v>66.402969360351563</v>
      </c>
      <c r="AE42" s="207">
        <f t="shared" si="4"/>
        <v>61.18043327331543</v>
      </c>
      <c r="AF42" s="207">
        <f t="shared" si="5"/>
        <v>47.812652587890625</v>
      </c>
    </row>
    <row r="43" spans="2:32">
      <c r="B43" s="531" t="s">
        <v>137</v>
      </c>
      <c r="C43" s="525"/>
      <c r="D43" s="525">
        <v>53.614456176757813</v>
      </c>
      <c r="Z43" s="206" t="str">
        <f t="shared" si="0"/>
        <v>2088-89</v>
      </c>
      <c r="AA43" s="207">
        <f t="shared" si="0"/>
        <v>0</v>
      </c>
      <c r="AB43" s="207">
        <f t="shared" si="1"/>
        <v>105.73929214477539</v>
      </c>
      <c r="AC43" s="207">
        <f t="shared" si="2"/>
        <v>89.406955718994141</v>
      </c>
      <c r="AD43" s="207">
        <f t="shared" si="3"/>
        <v>53.614456176757813</v>
      </c>
      <c r="AE43" s="207">
        <f t="shared" si="4"/>
        <v>61.18043327331543</v>
      </c>
      <c r="AF43" s="207">
        <f t="shared" si="5"/>
        <v>47.812652587890625</v>
      </c>
    </row>
    <row r="44" spans="2:32">
      <c r="B44" s="531" t="s">
        <v>138</v>
      </c>
      <c r="C44" s="525"/>
      <c r="D44" s="525">
        <v>41.257530212402344</v>
      </c>
      <c r="Z44" s="206" t="str">
        <f t="shared" si="0"/>
        <v>2089-90</v>
      </c>
      <c r="AA44" s="207">
        <f t="shared" si="0"/>
        <v>0</v>
      </c>
      <c r="AB44" s="207">
        <f t="shared" si="1"/>
        <v>105.73929214477539</v>
      </c>
      <c r="AC44" s="207">
        <f t="shared" si="2"/>
        <v>89.406955718994141</v>
      </c>
      <c r="AD44" s="207">
        <f t="shared" si="3"/>
        <v>41.257530212402344</v>
      </c>
      <c r="AE44" s="207">
        <f t="shared" si="4"/>
        <v>61.18043327331543</v>
      </c>
      <c r="AF44" s="207">
        <f t="shared" si="5"/>
        <v>47.812652587890625</v>
      </c>
    </row>
    <row r="45" spans="2:32">
      <c r="B45" s="531" t="s">
        <v>139</v>
      </c>
      <c r="C45" s="525"/>
      <c r="D45" s="525">
        <v>62.096706390380859</v>
      </c>
      <c r="Z45" s="206" t="str">
        <f t="shared" si="0"/>
        <v>2090-91</v>
      </c>
      <c r="AA45" s="207">
        <f t="shared" si="0"/>
        <v>0</v>
      </c>
      <c r="AB45" s="207">
        <f t="shared" si="1"/>
        <v>105.73929214477539</v>
      </c>
      <c r="AC45" s="207">
        <f t="shared" si="2"/>
        <v>89.406955718994141</v>
      </c>
      <c r="AD45" s="207">
        <f t="shared" si="3"/>
        <v>62.096706390380859</v>
      </c>
      <c r="AE45" s="207">
        <f t="shared" si="4"/>
        <v>61.18043327331543</v>
      </c>
      <c r="AF45" s="207">
        <f t="shared" si="5"/>
        <v>47.812652587890625</v>
      </c>
    </row>
    <row r="46" spans="2:32">
      <c r="B46" s="531" t="s">
        <v>140</v>
      </c>
      <c r="C46" s="525"/>
      <c r="D46" s="525">
        <v>46.516422271728516</v>
      </c>
      <c r="Z46" s="206" t="str">
        <f t="shared" si="0"/>
        <v>2091-92</v>
      </c>
      <c r="AA46" s="207">
        <f t="shared" si="0"/>
        <v>0</v>
      </c>
      <c r="AB46" s="207">
        <f t="shared" si="1"/>
        <v>105.73929214477539</v>
      </c>
      <c r="AC46" s="207">
        <f t="shared" si="2"/>
        <v>89.406955718994141</v>
      </c>
      <c r="AD46" s="207">
        <f t="shared" si="3"/>
        <v>46.516422271728516</v>
      </c>
      <c r="AE46" s="207">
        <f t="shared" si="4"/>
        <v>61.18043327331543</v>
      </c>
      <c r="AF46" s="207">
        <f t="shared" si="5"/>
        <v>47.812652587890625</v>
      </c>
    </row>
    <row r="47" spans="2:32">
      <c r="B47" s="531" t="s">
        <v>141</v>
      </c>
      <c r="C47" s="525"/>
      <c r="D47" s="525">
        <v>46.315048217773438</v>
      </c>
      <c r="Z47" s="206" t="str">
        <f t="shared" si="0"/>
        <v>2092-93</v>
      </c>
      <c r="AA47" s="207">
        <f t="shared" si="0"/>
        <v>0</v>
      </c>
      <c r="AB47" s="207">
        <f t="shared" si="1"/>
        <v>105.73929214477539</v>
      </c>
      <c r="AC47" s="207">
        <f t="shared" si="2"/>
        <v>89.406955718994141</v>
      </c>
      <c r="AD47" s="207">
        <f t="shared" si="3"/>
        <v>46.315048217773438</v>
      </c>
      <c r="AE47" s="207">
        <f t="shared" si="4"/>
        <v>61.18043327331543</v>
      </c>
      <c r="AF47" s="207">
        <f t="shared" si="5"/>
        <v>47.812652587890625</v>
      </c>
    </row>
    <row r="48" spans="2:32">
      <c r="B48" s="531" t="s">
        <v>142</v>
      </c>
      <c r="C48" s="525"/>
      <c r="D48" s="525">
        <v>52.887718200683594</v>
      </c>
      <c r="Z48" s="206" t="str">
        <f t="shared" si="0"/>
        <v>2093-94</v>
      </c>
      <c r="AA48" s="207">
        <f t="shared" si="0"/>
        <v>0</v>
      </c>
      <c r="AB48" s="207">
        <f t="shared" si="1"/>
        <v>105.73929214477539</v>
      </c>
      <c r="AC48" s="207">
        <f t="shared" si="2"/>
        <v>89.406955718994141</v>
      </c>
      <c r="AD48" s="207">
        <f t="shared" si="3"/>
        <v>52.887718200683594</v>
      </c>
      <c r="AE48" s="207">
        <f t="shared" si="4"/>
        <v>61.18043327331543</v>
      </c>
      <c r="AF48" s="207">
        <f t="shared" si="5"/>
        <v>47.812652587890625</v>
      </c>
    </row>
    <row r="49" spans="2:32">
      <c r="B49" s="531" t="s">
        <v>143</v>
      </c>
      <c r="C49" s="525"/>
      <c r="D49" s="525">
        <v>50.793693542480469</v>
      </c>
      <c r="Z49" s="206" t="str">
        <f t="shared" si="0"/>
        <v>2094-95</v>
      </c>
      <c r="AA49" s="207">
        <f t="shared" si="0"/>
        <v>0</v>
      </c>
      <c r="AB49" s="207">
        <f t="shared" si="1"/>
        <v>105.73929214477539</v>
      </c>
      <c r="AC49" s="207">
        <f t="shared" si="2"/>
        <v>89.406955718994141</v>
      </c>
      <c r="AD49" s="207">
        <f t="shared" si="3"/>
        <v>50.793693542480469</v>
      </c>
      <c r="AE49" s="207">
        <f t="shared" si="4"/>
        <v>61.18043327331543</v>
      </c>
      <c r="AF49" s="207">
        <f t="shared" si="5"/>
        <v>47.812652587890625</v>
      </c>
    </row>
    <row r="50" spans="2:32">
      <c r="B50" s="531" t="s">
        <v>144</v>
      </c>
      <c r="C50" s="525"/>
      <c r="D50" s="525">
        <v>45.861164093017578</v>
      </c>
      <c r="Z50" s="206" t="str">
        <f t="shared" si="0"/>
        <v>2095-96</v>
      </c>
      <c r="AA50" s="207">
        <f t="shared" si="0"/>
        <v>0</v>
      </c>
      <c r="AB50" s="207">
        <f t="shared" si="1"/>
        <v>105.73929214477539</v>
      </c>
      <c r="AC50" s="207">
        <f t="shared" si="2"/>
        <v>89.406955718994141</v>
      </c>
      <c r="AD50" s="207">
        <f t="shared" si="3"/>
        <v>45.861164093017578</v>
      </c>
      <c r="AE50" s="207">
        <f t="shared" si="4"/>
        <v>61.18043327331543</v>
      </c>
      <c r="AF50" s="207">
        <f t="shared" si="5"/>
        <v>47.812652587890625</v>
      </c>
    </row>
    <row r="51" spans="2:32">
      <c r="B51" s="531" t="s">
        <v>145</v>
      </c>
      <c r="C51" s="525"/>
      <c r="D51" s="525">
        <v>55.026752471923828</v>
      </c>
      <c r="Z51" s="206" t="str">
        <f t="shared" si="0"/>
        <v>2096-97</v>
      </c>
      <c r="AA51" s="207">
        <f t="shared" si="0"/>
        <v>0</v>
      </c>
      <c r="AB51" s="207">
        <f t="shared" si="1"/>
        <v>105.73929214477539</v>
      </c>
      <c r="AC51" s="207">
        <f t="shared" si="2"/>
        <v>89.406955718994141</v>
      </c>
      <c r="AD51" s="207">
        <f t="shared" si="3"/>
        <v>55.026752471923828</v>
      </c>
      <c r="AE51" s="207">
        <f t="shared" si="4"/>
        <v>61.18043327331543</v>
      </c>
      <c r="AF51" s="207">
        <f t="shared" si="5"/>
        <v>47.812652587890625</v>
      </c>
    </row>
    <row r="52" spans="2:32">
      <c r="B52" s="531" t="s">
        <v>146</v>
      </c>
      <c r="C52" s="525"/>
      <c r="D52" s="525">
        <v>59.50457763671875</v>
      </c>
      <c r="Z52" s="206" t="str">
        <f t="shared" si="0"/>
        <v>2097-98</v>
      </c>
      <c r="AA52" s="207">
        <f t="shared" si="0"/>
        <v>0</v>
      </c>
      <c r="AB52" s="207">
        <f t="shared" si="1"/>
        <v>105.73929214477539</v>
      </c>
      <c r="AC52" s="207">
        <f t="shared" si="2"/>
        <v>89.406955718994141</v>
      </c>
      <c r="AD52" s="207">
        <f t="shared" si="3"/>
        <v>59.50457763671875</v>
      </c>
      <c r="AE52" s="207">
        <f t="shared" si="4"/>
        <v>61.18043327331543</v>
      </c>
      <c r="AF52" s="207">
        <f t="shared" si="5"/>
        <v>47.812652587890625</v>
      </c>
    </row>
    <row r="53" spans="2:32">
      <c r="B53" s="531" t="s">
        <v>147</v>
      </c>
      <c r="C53" s="525"/>
      <c r="D53" s="525">
        <v>60.26416015625</v>
      </c>
      <c r="Z53" s="206" t="str">
        <f t="shared" si="0"/>
        <v>2098-99</v>
      </c>
      <c r="AA53" s="207">
        <f t="shared" si="0"/>
        <v>0</v>
      </c>
      <c r="AB53" s="207">
        <f t="shared" si="1"/>
        <v>105.73929214477539</v>
      </c>
      <c r="AC53" s="207">
        <f t="shared" si="2"/>
        <v>89.406955718994141</v>
      </c>
      <c r="AD53" s="207">
        <f t="shared" si="3"/>
        <v>60.26416015625</v>
      </c>
      <c r="AE53" s="207">
        <f t="shared" si="4"/>
        <v>61.18043327331543</v>
      </c>
      <c r="AF53" s="207">
        <f t="shared" si="5"/>
        <v>47.812652587890625</v>
      </c>
    </row>
    <row r="54" spans="2:32">
      <c r="B54" s="531" t="s">
        <v>148</v>
      </c>
      <c r="C54" s="525"/>
      <c r="D54" s="525">
        <v>49.627510070800781</v>
      </c>
      <c r="Z54" s="206" t="str">
        <f t="shared" si="0"/>
        <v>2099-00</v>
      </c>
      <c r="AA54" s="207">
        <f t="shared" si="0"/>
        <v>0</v>
      </c>
      <c r="AB54" s="207">
        <f t="shared" si="1"/>
        <v>105.73929214477539</v>
      </c>
      <c r="AC54" s="207">
        <f t="shared" si="2"/>
        <v>89.406955718994141</v>
      </c>
      <c r="AD54" s="207">
        <f t="shared" si="3"/>
        <v>49.627510070800781</v>
      </c>
      <c r="AE54" s="207">
        <f t="shared" si="4"/>
        <v>61.18043327331543</v>
      </c>
      <c r="AF54" s="207">
        <f t="shared" si="5"/>
        <v>47.812652587890625</v>
      </c>
    </row>
    <row r="55" spans="2:32">
      <c r="B55" s="531" t="s">
        <v>149</v>
      </c>
      <c r="C55" s="525"/>
      <c r="D55" s="525">
        <v>37.575660705566406</v>
      </c>
      <c r="Z55" s="206" t="str">
        <f t="shared" si="0"/>
        <v>2100-01</v>
      </c>
      <c r="AA55" s="207">
        <f t="shared" si="0"/>
        <v>0</v>
      </c>
      <c r="AB55" s="207">
        <f t="shared" si="1"/>
        <v>105.73929214477539</v>
      </c>
      <c r="AC55" s="207">
        <f t="shared" si="2"/>
        <v>89.406955718994141</v>
      </c>
      <c r="AD55" s="207">
        <f t="shared" si="3"/>
        <v>37.575660705566406</v>
      </c>
      <c r="AE55" s="207">
        <f t="shared" si="4"/>
        <v>61.18043327331543</v>
      </c>
      <c r="AF55" s="207">
        <f t="shared" si="5"/>
        <v>47.812652587890625</v>
      </c>
    </row>
    <row r="56" spans="2:32">
      <c r="C56" s="43"/>
      <c r="D56" s="43"/>
      <c r="Z56" s="206">
        <f t="shared" si="0"/>
        <v>0</v>
      </c>
      <c r="AA56" s="207">
        <f t="shared" si="0"/>
        <v>0</v>
      </c>
      <c r="AB56" s="207">
        <f t="shared" si="1"/>
        <v>105.73929214477539</v>
      </c>
      <c r="AC56" s="207">
        <f t="shared" si="2"/>
        <v>89.406955718994141</v>
      </c>
      <c r="AD56" s="207">
        <f t="shared" si="3"/>
        <v>0</v>
      </c>
      <c r="AE56" s="207">
        <f t="shared" si="4"/>
        <v>61.18043327331543</v>
      </c>
      <c r="AF56" s="207">
        <f t="shared" si="5"/>
        <v>47.812652587890625</v>
      </c>
    </row>
    <row r="57" spans="2:32">
      <c r="C57" s="43"/>
      <c r="D57" s="43"/>
      <c r="Z57" s="206">
        <f t="shared" si="0"/>
        <v>0</v>
      </c>
      <c r="AA57" s="207">
        <f t="shared" si="0"/>
        <v>0</v>
      </c>
      <c r="AB57" s="207">
        <f t="shared" si="1"/>
        <v>105.73929214477539</v>
      </c>
      <c r="AC57" s="207">
        <f t="shared" si="2"/>
        <v>89.406955718994141</v>
      </c>
      <c r="AD57" s="207">
        <f t="shared" si="3"/>
        <v>0</v>
      </c>
      <c r="AE57" s="207">
        <f t="shared" si="4"/>
        <v>61.18043327331543</v>
      </c>
      <c r="AF57" s="207">
        <f t="shared" si="5"/>
        <v>47.812652587890625</v>
      </c>
    </row>
    <row r="58" spans="2:32">
      <c r="C58" s="43"/>
      <c r="D58" s="43"/>
      <c r="Z58" s="206">
        <f t="shared" si="0"/>
        <v>0</v>
      </c>
      <c r="AA58" s="207">
        <f t="shared" si="0"/>
        <v>0</v>
      </c>
      <c r="AB58" s="207">
        <f t="shared" si="1"/>
        <v>105.73929214477539</v>
      </c>
      <c r="AC58" s="207">
        <f t="shared" si="2"/>
        <v>89.406955718994141</v>
      </c>
      <c r="AD58" s="207">
        <f t="shared" si="3"/>
        <v>0</v>
      </c>
      <c r="AE58" s="207">
        <f t="shared" si="4"/>
        <v>61.18043327331543</v>
      </c>
      <c r="AF58" s="207">
        <f t="shared" si="5"/>
        <v>47.812652587890625</v>
      </c>
    </row>
    <row r="59" spans="2:32">
      <c r="C59" s="43"/>
      <c r="D59" s="43"/>
      <c r="Z59" s="206">
        <f t="shared" si="0"/>
        <v>0</v>
      </c>
      <c r="AA59" s="207">
        <f t="shared" si="0"/>
        <v>0</v>
      </c>
      <c r="AB59" s="207">
        <f t="shared" si="1"/>
        <v>105.73929214477539</v>
      </c>
      <c r="AC59" s="207">
        <f t="shared" si="2"/>
        <v>89.406955718994141</v>
      </c>
      <c r="AD59" s="207">
        <f t="shared" si="3"/>
        <v>0</v>
      </c>
      <c r="AE59" s="207">
        <f t="shared" si="4"/>
        <v>61.18043327331543</v>
      </c>
      <c r="AF59" s="207">
        <f t="shared" si="5"/>
        <v>47.812652587890625</v>
      </c>
    </row>
    <row r="60" spans="2:32">
      <c r="C60" s="43"/>
      <c r="D60" s="43"/>
      <c r="Z60" s="206">
        <f t="shared" si="0"/>
        <v>0</v>
      </c>
      <c r="AA60" s="207">
        <f t="shared" si="0"/>
        <v>0</v>
      </c>
      <c r="AB60" s="207">
        <f t="shared" si="1"/>
        <v>105.73929214477539</v>
      </c>
      <c r="AC60" s="207">
        <f t="shared" si="2"/>
        <v>89.406955718994141</v>
      </c>
      <c r="AD60" s="207">
        <f t="shared" si="3"/>
        <v>0</v>
      </c>
      <c r="AE60" s="207">
        <f t="shared" si="4"/>
        <v>61.18043327331543</v>
      </c>
      <c r="AF60" s="207">
        <f t="shared" si="5"/>
        <v>47.812652587890625</v>
      </c>
    </row>
    <row r="61" spans="2:32">
      <c r="C61" s="43"/>
      <c r="D61" s="43"/>
      <c r="Z61" s="206">
        <f t="shared" si="0"/>
        <v>0</v>
      </c>
      <c r="AA61" s="207">
        <f t="shared" si="0"/>
        <v>0</v>
      </c>
      <c r="AB61" s="207">
        <f t="shared" si="1"/>
        <v>105.73929214477539</v>
      </c>
      <c r="AC61" s="207">
        <f t="shared" si="2"/>
        <v>89.406955718994141</v>
      </c>
      <c r="AD61" s="207">
        <f t="shared" si="3"/>
        <v>0</v>
      </c>
      <c r="AE61" s="207">
        <f t="shared" si="4"/>
        <v>61.18043327331543</v>
      </c>
      <c r="AF61" s="207">
        <f t="shared" si="5"/>
        <v>47.812652587890625</v>
      </c>
    </row>
    <row r="62" spans="2:32">
      <c r="C62" s="43"/>
      <c r="D62" s="43"/>
      <c r="Z62" s="206">
        <f t="shared" si="0"/>
        <v>0</v>
      </c>
      <c r="AA62" s="207">
        <f t="shared" si="0"/>
        <v>0</v>
      </c>
      <c r="AB62" s="207">
        <f t="shared" si="1"/>
        <v>105.73929214477539</v>
      </c>
      <c r="AC62" s="207">
        <f t="shared" si="2"/>
        <v>89.406955718994141</v>
      </c>
      <c r="AD62" s="207">
        <f t="shared" si="3"/>
        <v>0</v>
      </c>
      <c r="AE62" s="207">
        <f t="shared" si="4"/>
        <v>61.18043327331543</v>
      </c>
      <c r="AF62" s="207">
        <f t="shared" si="5"/>
        <v>47.812652587890625</v>
      </c>
    </row>
    <row r="63" spans="2:32">
      <c r="C63" s="43"/>
      <c r="D63" s="43"/>
      <c r="Z63" s="206">
        <f t="shared" si="0"/>
        <v>0</v>
      </c>
      <c r="AA63" s="207">
        <f t="shared" si="0"/>
        <v>0</v>
      </c>
      <c r="AB63" s="207">
        <f t="shared" si="1"/>
        <v>105.73929214477539</v>
      </c>
      <c r="AC63" s="207">
        <f t="shared" si="2"/>
        <v>89.406955718994141</v>
      </c>
      <c r="AD63" s="207">
        <f t="shared" si="3"/>
        <v>0</v>
      </c>
      <c r="AE63" s="207">
        <f t="shared" si="4"/>
        <v>61.18043327331543</v>
      </c>
      <c r="AF63" s="207">
        <f t="shared" si="5"/>
        <v>47.812652587890625</v>
      </c>
    </row>
    <row r="64" spans="2:32">
      <c r="C64" s="43"/>
      <c r="D64" s="43"/>
      <c r="Z64" s="206">
        <f t="shared" si="0"/>
        <v>0</v>
      </c>
      <c r="AA64" s="207">
        <f t="shared" si="0"/>
        <v>0</v>
      </c>
      <c r="AB64" s="207">
        <f t="shared" si="1"/>
        <v>105.73929214477539</v>
      </c>
      <c r="AC64" s="207">
        <f t="shared" si="2"/>
        <v>89.406955718994141</v>
      </c>
      <c r="AD64" s="207">
        <f t="shared" si="3"/>
        <v>0</v>
      </c>
      <c r="AE64" s="207">
        <f t="shared" si="4"/>
        <v>61.18043327331543</v>
      </c>
      <c r="AF64" s="207">
        <f t="shared" si="5"/>
        <v>47.812652587890625</v>
      </c>
    </row>
    <row r="65" spans="3:32">
      <c r="C65" s="43"/>
      <c r="D65" s="43"/>
      <c r="Z65" s="206">
        <f t="shared" si="0"/>
        <v>0</v>
      </c>
      <c r="AA65" s="207">
        <f t="shared" si="0"/>
        <v>0</v>
      </c>
      <c r="AB65" s="207">
        <f t="shared" si="1"/>
        <v>105.73929214477539</v>
      </c>
      <c r="AC65" s="207">
        <f t="shared" si="2"/>
        <v>89.406955718994141</v>
      </c>
      <c r="AD65" s="207">
        <f t="shared" si="3"/>
        <v>0</v>
      </c>
      <c r="AE65" s="207">
        <f t="shared" si="4"/>
        <v>61.18043327331543</v>
      </c>
      <c r="AF65" s="207">
        <f t="shared" si="5"/>
        <v>47.812652587890625</v>
      </c>
    </row>
    <row r="66" spans="3:32">
      <c r="C66" s="43"/>
      <c r="D66" s="43"/>
      <c r="Z66" s="206">
        <f t="shared" si="0"/>
        <v>0</v>
      </c>
      <c r="AA66" s="207">
        <f t="shared" si="0"/>
        <v>0</v>
      </c>
      <c r="AB66" s="207">
        <f t="shared" si="1"/>
        <v>105.73929214477539</v>
      </c>
      <c r="AC66" s="207">
        <f t="shared" si="2"/>
        <v>89.406955718994141</v>
      </c>
      <c r="AD66" s="207">
        <f t="shared" si="3"/>
        <v>0</v>
      </c>
      <c r="AE66" s="207">
        <f t="shared" si="4"/>
        <v>61.18043327331543</v>
      </c>
      <c r="AF66" s="207">
        <f t="shared" si="5"/>
        <v>47.812652587890625</v>
      </c>
    </row>
    <row r="67" spans="3:32">
      <c r="C67" s="43"/>
      <c r="D67" s="43"/>
      <c r="Z67" s="206">
        <f t="shared" si="0"/>
        <v>0</v>
      </c>
      <c r="AA67" s="207">
        <f t="shared" si="0"/>
        <v>0</v>
      </c>
      <c r="AB67" s="207">
        <f t="shared" si="1"/>
        <v>105.73929214477539</v>
      </c>
      <c r="AC67" s="207">
        <f t="shared" si="2"/>
        <v>89.406955718994141</v>
      </c>
      <c r="AD67" s="207">
        <f t="shared" si="3"/>
        <v>0</v>
      </c>
      <c r="AE67" s="207">
        <f t="shared" si="4"/>
        <v>61.18043327331543</v>
      </c>
      <c r="AF67" s="207">
        <f t="shared" si="5"/>
        <v>47.812652587890625</v>
      </c>
    </row>
    <row r="68" spans="3:32">
      <c r="C68" s="43"/>
      <c r="D68" s="43"/>
      <c r="Z68" s="206">
        <f t="shared" si="0"/>
        <v>0</v>
      </c>
      <c r="AA68" s="207">
        <f t="shared" si="0"/>
        <v>0</v>
      </c>
      <c r="AB68" s="207">
        <f t="shared" si="1"/>
        <v>105.73929214477539</v>
      </c>
      <c r="AC68" s="207">
        <f t="shared" si="2"/>
        <v>89.406955718994141</v>
      </c>
      <c r="AD68" s="207">
        <f t="shared" si="3"/>
        <v>0</v>
      </c>
      <c r="AE68" s="207">
        <f t="shared" si="4"/>
        <v>61.18043327331543</v>
      </c>
      <c r="AF68" s="207">
        <f t="shared" si="5"/>
        <v>47.812652587890625</v>
      </c>
    </row>
    <row r="69" spans="3:32">
      <c r="C69" s="43"/>
      <c r="D69" s="43"/>
      <c r="Z69" s="206">
        <f t="shared" si="0"/>
        <v>0</v>
      </c>
      <c r="AA69" s="207">
        <f t="shared" si="0"/>
        <v>0</v>
      </c>
      <c r="AB69" s="207">
        <f t="shared" si="1"/>
        <v>105.73929214477539</v>
      </c>
      <c r="AC69" s="207">
        <f t="shared" si="2"/>
        <v>89.406955718994141</v>
      </c>
      <c r="AD69" s="207">
        <f t="shared" si="3"/>
        <v>0</v>
      </c>
      <c r="AE69" s="207">
        <f t="shared" si="4"/>
        <v>61.18043327331543</v>
      </c>
      <c r="AF69" s="207">
        <f t="shared" si="5"/>
        <v>47.812652587890625</v>
      </c>
    </row>
    <row r="70" spans="3:32">
      <c r="C70" s="43"/>
      <c r="D70" s="43"/>
      <c r="Z70" s="206">
        <f t="shared" si="0"/>
        <v>0</v>
      </c>
      <c r="AA70" s="207">
        <f t="shared" si="0"/>
        <v>0</v>
      </c>
      <c r="AB70" s="207">
        <f t="shared" si="1"/>
        <v>105.73929214477539</v>
      </c>
      <c r="AC70" s="207">
        <f t="shared" si="2"/>
        <v>89.406955718994141</v>
      </c>
      <c r="AD70" s="207">
        <f t="shared" si="3"/>
        <v>0</v>
      </c>
      <c r="AE70" s="207">
        <f t="shared" si="4"/>
        <v>61.18043327331543</v>
      </c>
      <c r="AF70" s="207">
        <f t="shared" si="5"/>
        <v>47.812652587890625</v>
      </c>
    </row>
    <row r="71" spans="3:32">
      <c r="C71" s="43"/>
      <c r="D71" s="43"/>
      <c r="Z71" s="206">
        <f t="shared" si="0"/>
        <v>0</v>
      </c>
      <c r="AA71" s="207">
        <f t="shared" si="0"/>
        <v>0</v>
      </c>
      <c r="AB71" s="207">
        <f t="shared" si="1"/>
        <v>105.73929214477539</v>
      </c>
      <c r="AC71" s="207">
        <f t="shared" si="2"/>
        <v>89.406955718994141</v>
      </c>
      <c r="AD71" s="207">
        <f t="shared" si="3"/>
        <v>0</v>
      </c>
      <c r="AE71" s="207">
        <f t="shared" si="4"/>
        <v>61.18043327331543</v>
      </c>
      <c r="AF71" s="207">
        <f t="shared" si="5"/>
        <v>47.812652587890625</v>
      </c>
    </row>
    <row r="72" spans="3:32">
      <c r="C72" s="43"/>
      <c r="D72" s="43"/>
      <c r="Z72" s="206">
        <f t="shared" si="0"/>
        <v>0</v>
      </c>
      <c r="AA72" s="207">
        <f t="shared" si="0"/>
        <v>0</v>
      </c>
      <c r="AB72" s="207">
        <f t="shared" si="1"/>
        <v>105.73929214477539</v>
      </c>
      <c r="AC72" s="207">
        <f t="shared" si="2"/>
        <v>89.406955718994141</v>
      </c>
      <c r="AD72" s="207">
        <f t="shared" si="3"/>
        <v>0</v>
      </c>
      <c r="AE72" s="207">
        <f t="shared" si="4"/>
        <v>61.18043327331543</v>
      </c>
      <c r="AF72" s="207">
        <f t="shared" si="5"/>
        <v>47.812652587890625</v>
      </c>
    </row>
    <row r="73" spans="3:32">
      <c r="C73" s="43"/>
      <c r="D73" s="43"/>
      <c r="Z73" s="206">
        <f t="shared" si="0"/>
        <v>0</v>
      </c>
      <c r="AA73" s="207">
        <f t="shared" si="0"/>
        <v>0</v>
      </c>
      <c r="AB73" s="207">
        <f t="shared" si="1"/>
        <v>105.73929214477539</v>
      </c>
      <c r="AC73" s="207">
        <f t="shared" si="2"/>
        <v>89.406955718994141</v>
      </c>
      <c r="AD73" s="207">
        <f t="shared" si="3"/>
        <v>0</v>
      </c>
      <c r="AE73" s="207">
        <f t="shared" si="4"/>
        <v>61.18043327331543</v>
      </c>
      <c r="AF73" s="207">
        <f t="shared" si="5"/>
        <v>47.812652587890625</v>
      </c>
    </row>
    <row r="74" spans="3:32">
      <c r="C74" s="43"/>
      <c r="D74" s="43"/>
      <c r="Z74" s="206">
        <f t="shared" si="0"/>
        <v>0</v>
      </c>
      <c r="AA74" s="207">
        <f t="shared" si="0"/>
        <v>0</v>
      </c>
      <c r="AB74" s="207">
        <f t="shared" si="1"/>
        <v>105.73929214477539</v>
      </c>
      <c r="AC74" s="207">
        <f t="shared" si="2"/>
        <v>89.406955718994141</v>
      </c>
      <c r="AD74" s="207">
        <f t="shared" si="3"/>
        <v>0</v>
      </c>
      <c r="AE74" s="207">
        <f t="shared" si="4"/>
        <v>61.18043327331543</v>
      </c>
      <c r="AF74" s="207">
        <f t="shared" si="5"/>
        <v>47.812652587890625</v>
      </c>
    </row>
    <row r="75" spans="3:32">
      <c r="C75" s="43"/>
      <c r="D75" s="43"/>
      <c r="Z75" s="206">
        <f t="shared" si="0"/>
        <v>0</v>
      </c>
      <c r="AA75" s="207">
        <f t="shared" si="0"/>
        <v>0</v>
      </c>
      <c r="AB75" s="207">
        <f t="shared" si="1"/>
        <v>105.73929214477539</v>
      </c>
      <c r="AC75" s="207">
        <f t="shared" si="2"/>
        <v>89.406955718994141</v>
      </c>
      <c r="AD75" s="207">
        <f t="shared" si="3"/>
        <v>0</v>
      </c>
      <c r="AE75" s="207">
        <f t="shared" si="4"/>
        <v>61.18043327331543</v>
      </c>
      <c r="AF75" s="207">
        <f t="shared" si="5"/>
        <v>47.812652587890625</v>
      </c>
    </row>
    <row r="76" spans="3:32">
      <c r="C76" s="43"/>
      <c r="D76" s="43"/>
      <c r="Z76" s="206">
        <f t="shared" si="0"/>
        <v>0</v>
      </c>
      <c r="AA76" s="207">
        <f t="shared" si="0"/>
        <v>0</v>
      </c>
      <c r="AB76" s="207">
        <f t="shared" si="1"/>
        <v>105.73929214477539</v>
      </c>
      <c r="AC76" s="207">
        <f t="shared" si="2"/>
        <v>89.406955718994141</v>
      </c>
      <c r="AD76" s="207">
        <f t="shared" si="3"/>
        <v>0</v>
      </c>
      <c r="AE76" s="207">
        <f t="shared" si="4"/>
        <v>61.18043327331543</v>
      </c>
      <c r="AF76" s="207">
        <f t="shared" si="5"/>
        <v>47.812652587890625</v>
      </c>
    </row>
    <row r="77" spans="3:32">
      <c r="C77" s="43"/>
      <c r="D77" s="43"/>
      <c r="Z77" s="206">
        <f t="shared" si="0"/>
        <v>0</v>
      </c>
      <c r="AA77" s="207">
        <f t="shared" si="0"/>
        <v>0</v>
      </c>
      <c r="AB77" s="207">
        <f t="shared" si="1"/>
        <v>105.73929214477539</v>
      </c>
      <c r="AC77" s="207">
        <f t="shared" si="2"/>
        <v>89.406955718994141</v>
      </c>
      <c r="AD77" s="207">
        <f t="shared" si="3"/>
        <v>0</v>
      </c>
      <c r="AE77" s="207">
        <f t="shared" si="4"/>
        <v>61.18043327331543</v>
      </c>
      <c r="AF77" s="207">
        <f t="shared" si="5"/>
        <v>47.812652587890625</v>
      </c>
    </row>
    <row r="78" spans="3:32">
      <c r="C78" s="43"/>
      <c r="D78" s="43"/>
      <c r="Z78" s="206">
        <f t="shared" si="0"/>
        <v>0</v>
      </c>
      <c r="AA78" s="207">
        <f t="shared" si="0"/>
        <v>0</v>
      </c>
      <c r="AB78" s="207">
        <f t="shared" si="1"/>
        <v>105.73929214477539</v>
      </c>
      <c r="AC78" s="207">
        <f t="shared" si="2"/>
        <v>89.406955718994141</v>
      </c>
      <c r="AD78" s="207">
        <f t="shared" si="3"/>
        <v>0</v>
      </c>
      <c r="AE78" s="207">
        <f t="shared" si="4"/>
        <v>61.18043327331543</v>
      </c>
      <c r="AF78" s="207">
        <f t="shared" si="5"/>
        <v>47.812652587890625</v>
      </c>
    </row>
    <row r="79" spans="3:32">
      <c r="C79" s="43"/>
      <c r="D79" s="43"/>
      <c r="Z79" s="206">
        <f t="shared" ref="Z79:AA142" si="6">B79</f>
        <v>0</v>
      </c>
      <c r="AA79" s="207">
        <f t="shared" si="6"/>
        <v>0</v>
      </c>
      <c r="AB79" s="207">
        <f t="shared" ref="AB79:AB142" si="7">$J$24</f>
        <v>105.73929214477539</v>
      </c>
      <c r="AC79" s="207">
        <f t="shared" ref="AC79:AC142" si="8">$J$25</f>
        <v>89.406955718994141</v>
      </c>
      <c r="AD79" s="207">
        <f t="shared" ref="AD79:AD142" si="9">D79</f>
        <v>0</v>
      </c>
      <c r="AE79" s="207">
        <f t="shared" ref="AE79:AE142" si="10">$K$24</f>
        <v>61.18043327331543</v>
      </c>
      <c r="AF79" s="207">
        <f t="shared" ref="AF79:AF142" si="11">$K$25</f>
        <v>47.812652587890625</v>
      </c>
    </row>
    <row r="80" spans="3:32">
      <c r="C80" s="43"/>
      <c r="D80" s="43"/>
      <c r="Z80" s="206">
        <f t="shared" si="6"/>
        <v>0</v>
      </c>
      <c r="AA80" s="207">
        <f t="shared" si="6"/>
        <v>0</v>
      </c>
      <c r="AB80" s="207">
        <f t="shared" si="7"/>
        <v>105.73929214477539</v>
      </c>
      <c r="AC80" s="207">
        <f t="shared" si="8"/>
        <v>89.406955718994141</v>
      </c>
      <c r="AD80" s="207">
        <f t="shared" si="9"/>
        <v>0</v>
      </c>
      <c r="AE80" s="207">
        <f t="shared" si="10"/>
        <v>61.18043327331543</v>
      </c>
      <c r="AF80" s="207">
        <f t="shared" si="11"/>
        <v>47.812652587890625</v>
      </c>
    </row>
    <row r="81" spans="3:32">
      <c r="C81" s="43"/>
      <c r="D81" s="43"/>
      <c r="Z81" s="206">
        <f t="shared" si="6"/>
        <v>0</v>
      </c>
      <c r="AA81" s="207">
        <f t="shared" si="6"/>
        <v>0</v>
      </c>
      <c r="AB81" s="207">
        <f t="shared" si="7"/>
        <v>105.73929214477539</v>
      </c>
      <c r="AC81" s="207">
        <f t="shared" si="8"/>
        <v>89.406955718994141</v>
      </c>
      <c r="AD81" s="207">
        <f t="shared" si="9"/>
        <v>0</v>
      </c>
      <c r="AE81" s="207">
        <f t="shared" si="10"/>
        <v>61.18043327331543</v>
      </c>
      <c r="AF81" s="207">
        <f t="shared" si="11"/>
        <v>47.812652587890625</v>
      </c>
    </row>
    <row r="82" spans="3:32">
      <c r="C82" s="43"/>
      <c r="D82" s="43"/>
      <c r="Z82" s="206">
        <f t="shared" si="6"/>
        <v>0</v>
      </c>
      <c r="AA82" s="207">
        <f t="shared" si="6"/>
        <v>0</v>
      </c>
      <c r="AB82" s="207">
        <f t="shared" si="7"/>
        <v>105.73929214477539</v>
      </c>
      <c r="AC82" s="207">
        <f t="shared" si="8"/>
        <v>89.406955718994141</v>
      </c>
      <c r="AD82" s="207">
        <f t="shared" si="9"/>
        <v>0</v>
      </c>
      <c r="AE82" s="207">
        <f t="shared" si="10"/>
        <v>61.18043327331543</v>
      </c>
      <c r="AF82" s="207">
        <f t="shared" si="11"/>
        <v>47.812652587890625</v>
      </c>
    </row>
    <row r="83" spans="3:32">
      <c r="C83" s="43"/>
      <c r="D83" s="43"/>
      <c r="Z83" s="206">
        <f t="shared" si="6"/>
        <v>0</v>
      </c>
      <c r="AA83" s="207">
        <f t="shared" si="6"/>
        <v>0</v>
      </c>
      <c r="AB83" s="207">
        <f t="shared" si="7"/>
        <v>105.73929214477539</v>
      </c>
      <c r="AC83" s="207">
        <f t="shared" si="8"/>
        <v>89.406955718994141</v>
      </c>
      <c r="AD83" s="207">
        <f t="shared" si="9"/>
        <v>0</v>
      </c>
      <c r="AE83" s="207">
        <f t="shared" si="10"/>
        <v>61.18043327331543</v>
      </c>
      <c r="AF83" s="207">
        <f t="shared" si="11"/>
        <v>47.812652587890625</v>
      </c>
    </row>
    <row r="84" spans="3:32">
      <c r="C84" s="43"/>
      <c r="D84" s="43"/>
      <c r="Z84" s="206">
        <f t="shared" si="6"/>
        <v>0</v>
      </c>
      <c r="AA84" s="207">
        <f t="shared" si="6"/>
        <v>0</v>
      </c>
      <c r="AB84" s="207">
        <f t="shared" si="7"/>
        <v>105.73929214477539</v>
      </c>
      <c r="AC84" s="207">
        <f t="shared" si="8"/>
        <v>89.406955718994141</v>
      </c>
      <c r="AD84" s="207">
        <f t="shared" si="9"/>
        <v>0</v>
      </c>
      <c r="AE84" s="207">
        <f t="shared" si="10"/>
        <v>61.18043327331543</v>
      </c>
      <c r="AF84" s="207">
        <f t="shared" si="11"/>
        <v>47.812652587890625</v>
      </c>
    </row>
    <row r="85" spans="3:32">
      <c r="C85" s="43"/>
      <c r="D85" s="43"/>
      <c r="Z85" s="206">
        <f t="shared" si="6"/>
        <v>0</v>
      </c>
      <c r="AA85" s="207">
        <f t="shared" si="6"/>
        <v>0</v>
      </c>
      <c r="AB85" s="207">
        <f t="shared" si="7"/>
        <v>105.73929214477539</v>
      </c>
      <c r="AC85" s="207">
        <f t="shared" si="8"/>
        <v>89.406955718994141</v>
      </c>
      <c r="AD85" s="207">
        <f t="shared" si="9"/>
        <v>0</v>
      </c>
      <c r="AE85" s="207">
        <f t="shared" si="10"/>
        <v>61.18043327331543</v>
      </c>
      <c r="AF85" s="207">
        <f t="shared" si="11"/>
        <v>47.812652587890625</v>
      </c>
    </row>
    <row r="86" spans="3:32">
      <c r="C86" s="43"/>
      <c r="D86" s="43"/>
      <c r="Z86" s="206">
        <f t="shared" si="6"/>
        <v>0</v>
      </c>
      <c r="AA86" s="207">
        <f t="shared" si="6"/>
        <v>0</v>
      </c>
      <c r="AB86" s="207">
        <f t="shared" si="7"/>
        <v>105.73929214477539</v>
      </c>
      <c r="AC86" s="207">
        <f t="shared" si="8"/>
        <v>89.406955718994141</v>
      </c>
      <c r="AD86" s="207">
        <f t="shared" si="9"/>
        <v>0</v>
      </c>
      <c r="AE86" s="207">
        <f t="shared" si="10"/>
        <v>61.18043327331543</v>
      </c>
      <c r="AF86" s="207">
        <f t="shared" si="11"/>
        <v>47.812652587890625</v>
      </c>
    </row>
    <row r="87" spans="3:32">
      <c r="C87" s="43"/>
      <c r="D87" s="43"/>
      <c r="Z87" s="206">
        <f t="shared" si="6"/>
        <v>0</v>
      </c>
      <c r="AA87" s="207">
        <f t="shared" si="6"/>
        <v>0</v>
      </c>
      <c r="AB87" s="207">
        <f t="shared" si="7"/>
        <v>105.73929214477539</v>
      </c>
      <c r="AC87" s="207">
        <f t="shared" si="8"/>
        <v>89.406955718994141</v>
      </c>
      <c r="AD87" s="207">
        <f t="shared" si="9"/>
        <v>0</v>
      </c>
      <c r="AE87" s="207">
        <f t="shared" si="10"/>
        <v>61.18043327331543</v>
      </c>
      <c r="AF87" s="207">
        <f t="shared" si="11"/>
        <v>47.812652587890625</v>
      </c>
    </row>
    <row r="88" spans="3:32">
      <c r="C88" s="43"/>
      <c r="D88" s="43"/>
      <c r="Z88" s="206">
        <f t="shared" si="6"/>
        <v>0</v>
      </c>
      <c r="AA88" s="207">
        <f t="shared" si="6"/>
        <v>0</v>
      </c>
      <c r="AB88" s="207">
        <f t="shared" si="7"/>
        <v>105.73929214477539</v>
      </c>
      <c r="AC88" s="207">
        <f t="shared" si="8"/>
        <v>89.406955718994141</v>
      </c>
      <c r="AD88" s="207">
        <f t="shared" si="9"/>
        <v>0</v>
      </c>
      <c r="AE88" s="207">
        <f t="shared" si="10"/>
        <v>61.18043327331543</v>
      </c>
      <c r="AF88" s="207">
        <f t="shared" si="11"/>
        <v>47.812652587890625</v>
      </c>
    </row>
    <row r="89" spans="3:32">
      <c r="C89" s="43"/>
      <c r="D89" s="43"/>
      <c r="Z89" s="206">
        <f t="shared" si="6"/>
        <v>0</v>
      </c>
      <c r="AA89" s="207">
        <f t="shared" si="6"/>
        <v>0</v>
      </c>
      <c r="AB89" s="207">
        <f t="shared" si="7"/>
        <v>105.73929214477539</v>
      </c>
      <c r="AC89" s="207">
        <f t="shared" si="8"/>
        <v>89.406955718994141</v>
      </c>
      <c r="AD89" s="207">
        <f t="shared" si="9"/>
        <v>0</v>
      </c>
      <c r="AE89" s="207">
        <f t="shared" si="10"/>
        <v>61.18043327331543</v>
      </c>
      <c r="AF89" s="207">
        <f t="shared" si="11"/>
        <v>47.812652587890625</v>
      </c>
    </row>
    <row r="90" spans="3:32">
      <c r="C90" s="43"/>
      <c r="D90" s="43"/>
      <c r="Z90" s="206">
        <f t="shared" si="6"/>
        <v>0</v>
      </c>
      <c r="AA90" s="207">
        <f t="shared" si="6"/>
        <v>0</v>
      </c>
      <c r="AB90" s="207">
        <f t="shared" si="7"/>
        <v>105.73929214477539</v>
      </c>
      <c r="AC90" s="207">
        <f t="shared" si="8"/>
        <v>89.406955718994141</v>
      </c>
      <c r="AD90" s="207">
        <f t="shared" si="9"/>
        <v>0</v>
      </c>
      <c r="AE90" s="207">
        <f t="shared" si="10"/>
        <v>61.18043327331543</v>
      </c>
      <c r="AF90" s="207">
        <f t="shared" si="11"/>
        <v>47.812652587890625</v>
      </c>
    </row>
    <row r="91" spans="3:32">
      <c r="C91" s="43"/>
      <c r="D91" s="43"/>
      <c r="Z91" s="206">
        <f t="shared" si="6"/>
        <v>0</v>
      </c>
      <c r="AA91" s="207">
        <f t="shared" si="6"/>
        <v>0</v>
      </c>
      <c r="AB91" s="207">
        <f t="shared" si="7"/>
        <v>105.73929214477539</v>
      </c>
      <c r="AC91" s="207">
        <f t="shared" si="8"/>
        <v>89.406955718994141</v>
      </c>
      <c r="AD91" s="207">
        <f t="shared" si="9"/>
        <v>0</v>
      </c>
      <c r="AE91" s="207">
        <f t="shared" si="10"/>
        <v>61.18043327331543</v>
      </c>
      <c r="AF91" s="207">
        <f t="shared" si="11"/>
        <v>47.812652587890625</v>
      </c>
    </row>
    <row r="92" spans="3:32">
      <c r="C92" s="43"/>
      <c r="D92" s="43"/>
      <c r="Z92" s="206">
        <f t="shared" si="6"/>
        <v>0</v>
      </c>
      <c r="AA92" s="207">
        <f t="shared" si="6"/>
        <v>0</v>
      </c>
      <c r="AB92" s="207">
        <f t="shared" si="7"/>
        <v>105.73929214477539</v>
      </c>
      <c r="AC92" s="207">
        <f t="shared" si="8"/>
        <v>89.406955718994141</v>
      </c>
      <c r="AD92" s="207">
        <f t="shared" si="9"/>
        <v>0</v>
      </c>
      <c r="AE92" s="207">
        <f t="shared" si="10"/>
        <v>61.18043327331543</v>
      </c>
      <c r="AF92" s="207">
        <f t="shared" si="11"/>
        <v>47.812652587890625</v>
      </c>
    </row>
    <row r="93" spans="3:32">
      <c r="C93" s="43"/>
      <c r="D93" s="43"/>
      <c r="Z93" s="206">
        <f t="shared" si="6"/>
        <v>0</v>
      </c>
      <c r="AA93" s="207">
        <f t="shared" si="6"/>
        <v>0</v>
      </c>
      <c r="AB93" s="207">
        <f t="shared" si="7"/>
        <v>105.73929214477539</v>
      </c>
      <c r="AC93" s="207">
        <f t="shared" si="8"/>
        <v>89.406955718994141</v>
      </c>
      <c r="AD93" s="207">
        <f t="shared" si="9"/>
        <v>0</v>
      </c>
      <c r="AE93" s="207">
        <f t="shared" si="10"/>
        <v>61.18043327331543</v>
      </c>
      <c r="AF93" s="207">
        <f t="shared" si="11"/>
        <v>47.812652587890625</v>
      </c>
    </row>
    <row r="94" spans="3:32">
      <c r="C94" s="43"/>
      <c r="D94" s="43"/>
      <c r="Z94" s="206">
        <f t="shared" si="6"/>
        <v>0</v>
      </c>
      <c r="AA94" s="207">
        <f t="shared" si="6"/>
        <v>0</v>
      </c>
      <c r="AB94" s="207">
        <f t="shared" si="7"/>
        <v>105.73929214477539</v>
      </c>
      <c r="AC94" s="207">
        <f t="shared" si="8"/>
        <v>89.406955718994141</v>
      </c>
      <c r="AD94" s="207">
        <f t="shared" si="9"/>
        <v>0</v>
      </c>
      <c r="AE94" s="207">
        <f t="shared" si="10"/>
        <v>61.18043327331543</v>
      </c>
      <c r="AF94" s="207">
        <f t="shared" si="11"/>
        <v>47.812652587890625</v>
      </c>
    </row>
    <row r="95" spans="3:32">
      <c r="C95" s="43"/>
      <c r="D95" s="43"/>
      <c r="Z95" s="206">
        <f t="shared" si="6"/>
        <v>0</v>
      </c>
      <c r="AA95" s="207">
        <f t="shared" si="6"/>
        <v>0</v>
      </c>
      <c r="AB95" s="207">
        <f t="shared" si="7"/>
        <v>105.73929214477539</v>
      </c>
      <c r="AC95" s="207">
        <f t="shared" si="8"/>
        <v>89.406955718994141</v>
      </c>
      <c r="AD95" s="207">
        <f t="shared" si="9"/>
        <v>0</v>
      </c>
      <c r="AE95" s="207">
        <f t="shared" si="10"/>
        <v>61.18043327331543</v>
      </c>
      <c r="AF95" s="207">
        <f t="shared" si="11"/>
        <v>47.812652587890625</v>
      </c>
    </row>
    <row r="96" spans="3:32">
      <c r="C96" s="43"/>
      <c r="D96" s="43"/>
      <c r="Z96" s="206">
        <f t="shared" si="6"/>
        <v>0</v>
      </c>
      <c r="AA96" s="207">
        <f t="shared" si="6"/>
        <v>0</v>
      </c>
      <c r="AB96" s="207">
        <f t="shared" si="7"/>
        <v>105.73929214477539</v>
      </c>
      <c r="AC96" s="207">
        <f t="shared" si="8"/>
        <v>89.406955718994141</v>
      </c>
      <c r="AD96" s="207">
        <f t="shared" si="9"/>
        <v>0</v>
      </c>
      <c r="AE96" s="207">
        <f t="shared" si="10"/>
        <v>61.18043327331543</v>
      </c>
      <c r="AF96" s="207">
        <f t="shared" si="11"/>
        <v>47.812652587890625</v>
      </c>
    </row>
    <row r="97" spans="3:32">
      <c r="C97" s="43"/>
      <c r="D97" s="43"/>
      <c r="Z97" s="206">
        <f t="shared" si="6"/>
        <v>0</v>
      </c>
      <c r="AA97" s="207">
        <f t="shared" si="6"/>
        <v>0</v>
      </c>
      <c r="AB97" s="207">
        <f t="shared" si="7"/>
        <v>105.73929214477539</v>
      </c>
      <c r="AC97" s="207">
        <f t="shared" si="8"/>
        <v>89.406955718994141</v>
      </c>
      <c r="AD97" s="207">
        <f t="shared" si="9"/>
        <v>0</v>
      </c>
      <c r="AE97" s="207">
        <f t="shared" si="10"/>
        <v>61.18043327331543</v>
      </c>
      <c r="AF97" s="207">
        <f t="shared" si="11"/>
        <v>47.812652587890625</v>
      </c>
    </row>
    <row r="98" spans="3:32">
      <c r="C98" s="43"/>
      <c r="D98" s="43"/>
      <c r="Z98" s="206">
        <f t="shared" si="6"/>
        <v>0</v>
      </c>
      <c r="AA98" s="207">
        <f t="shared" si="6"/>
        <v>0</v>
      </c>
      <c r="AB98" s="207">
        <f t="shared" si="7"/>
        <v>105.73929214477539</v>
      </c>
      <c r="AC98" s="207">
        <f t="shared" si="8"/>
        <v>89.406955718994141</v>
      </c>
      <c r="AD98" s="207">
        <f t="shared" si="9"/>
        <v>0</v>
      </c>
      <c r="AE98" s="207">
        <f t="shared" si="10"/>
        <v>61.18043327331543</v>
      </c>
      <c r="AF98" s="207">
        <f t="shared" si="11"/>
        <v>47.812652587890625</v>
      </c>
    </row>
    <row r="99" spans="3:32">
      <c r="C99" s="43"/>
      <c r="D99" s="43"/>
      <c r="Z99" s="206">
        <f t="shared" si="6"/>
        <v>0</v>
      </c>
      <c r="AA99" s="207">
        <f t="shared" si="6"/>
        <v>0</v>
      </c>
      <c r="AB99" s="207">
        <f t="shared" si="7"/>
        <v>105.73929214477539</v>
      </c>
      <c r="AC99" s="207">
        <f t="shared" si="8"/>
        <v>89.406955718994141</v>
      </c>
      <c r="AD99" s="207">
        <f t="shared" si="9"/>
        <v>0</v>
      </c>
      <c r="AE99" s="207">
        <f t="shared" si="10"/>
        <v>61.18043327331543</v>
      </c>
      <c r="AF99" s="207">
        <f t="shared" si="11"/>
        <v>47.812652587890625</v>
      </c>
    </row>
    <row r="100" spans="3:32">
      <c r="C100" s="43"/>
      <c r="D100" s="43"/>
      <c r="Z100" s="206">
        <f t="shared" si="6"/>
        <v>0</v>
      </c>
      <c r="AA100" s="207">
        <f t="shared" si="6"/>
        <v>0</v>
      </c>
      <c r="AB100" s="207">
        <f t="shared" si="7"/>
        <v>105.73929214477539</v>
      </c>
      <c r="AC100" s="207">
        <f t="shared" si="8"/>
        <v>89.406955718994141</v>
      </c>
      <c r="AD100" s="207">
        <f t="shared" si="9"/>
        <v>0</v>
      </c>
      <c r="AE100" s="207">
        <f t="shared" si="10"/>
        <v>61.18043327331543</v>
      </c>
      <c r="AF100" s="207">
        <f t="shared" si="11"/>
        <v>47.812652587890625</v>
      </c>
    </row>
    <row r="101" spans="3:32">
      <c r="C101" s="43"/>
      <c r="D101" s="43"/>
      <c r="Z101" s="206">
        <f t="shared" si="6"/>
        <v>0</v>
      </c>
      <c r="AA101" s="207">
        <f t="shared" si="6"/>
        <v>0</v>
      </c>
      <c r="AB101" s="207">
        <f t="shared" si="7"/>
        <v>105.73929214477539</v>
      </c>
      <c r="AC101" s="207">
        <f t="shared" si="8"/>
        <v>89.406955718994141</v>
      </c>
      <c r="AD101" s="207">
        <f t="shared" si="9"/>
        <v>0</v>
      </c>
      <c r="AE101" s="207">
        <f t="shared" si="10"/>
        <v>61.18043327331543</v>
      </c>
      <c r="AF101" s="207">
        <f t="shared" si="11"/>
        <v>47.812652587890625</v>
      </c>
    </row>
    <row r="102" spans="3:32">
      <c r="C102" s="43"/>
      <c r="D102" s="43"/>
      <c r="Z102" s="206">
        <f t="shared" si="6"/>
        <v>0</v>
      </c>
      <c r="AA102" s="207">
        <f t="shared" si="6"/>
        <v>0</v>
      </c>
      <c r="AB102" s="207">
        <f t="shared" si="7"/>
        <v>105.73929214477539</v>
      </c>
      <c r="AC102" s="207">
        <f t="shared" si="8"/>
        <v>89.406955718994141</v>
      </c>
      <c r="AD102" s="207">
        <f t="shared" si="9"/>
        <v>0</v>
      </c>
      <c r="AE102" s="207">
        <f t="shared" si="10"/>
        <v>61.18043327331543</v>
      </c>
      <c r="AF102" s="207">
        <f t="shared" si="11"/>
        <v>47.812652587890625</v>
      </c>
    </row>
    <row r="103" spans="3:32">
      <c r="C103" s="43"/>
      <c r="D103" s="43"/>
      <c r="Z103" s="206">
        <f t="shared" si="6"/>
        <v>0</v>
      </c>
      <c r="AA103" s="207">
        <f t="shared" si="6"/>
        <v>0</v>
      </c>
      <c r="AB103" s="207">
        <f t="shared" si="7"/>
        <v>105.73929214477539</v>
      </c>
      <c r="AC103" s="207">
        <f t="shared" si="8"/>
        <v>89.406955718994141</v>
      </c>
      <c r="AD103" s="207">
        <f t="shared" si="9"/>
        <v>0</v>
      </c>
      <c r="AE103" s="207">
        <f t="shared" si="10"/>
        <v>61.18043327331543</v>
      </c>
      <c r="AF103" s="207">
        <f t="shared" si="11"/>
        <v>47.812652587890625</v>
      </c>
    </row>
    <row r="104" spans="3:32">
      <c r="C104" s="43"/>
      <c r="D104" s="43"/>
      <c r="Z104" s="206">
        <f t="shared" si="6"/>
        <v>0</v>
      </c>
      <c r="AA104" s="207">
        <f t="shared" si="6"/>
        <v>0</v>
      </c>
      <c r="AB104" s="207">
        <f t="shared" si="7"/>
        <v>105.73929214477539</v>
      </c>
      <c r="AC104" s="207">
        <f t="shared" si="8"/>
        <v>89.406955718994141</v>
      </c>
      <c r="AD104" s="207">
        <f t="shared" si="9"/>
        <v>0</v>
      </c>
      <c r="AE104" s="207">
        <f t="shared" si="10"/>
        <v>61.18043327331543</v>
      </c>
      <c r="AF104" s="207">
        <f t="shared" si="11"/>
        <v>47.812652587890625</v>
      </c>
    </row>
    <row r="105" spans="3:32">
      <c r="C105" s="43"/>
      <c r="D105" s="43"/>
      <c r="Z105" s="206">
        <f t="shared" si="6"/>
        <v>0</v>
      </c>
      <c r="AA105" s="207">
        <f t="shared" si="6"/>
        <v>0</v>
      </c>
      <c r="AB105" s="207">
        <f t="shared" si="7"/>
        <v>105.73929214477539</v>
      </c>
      <c r="AC105" s="207">
        <f t="shared" si="8"/>
        <v>89.406955718994141</v>
      </c>
      <c r="AD105" s="207">
        <f t="shared" si="9"/>
        <v>0</v>
      </c>
      <c r="AE105" s="207">
        <f t="shared" si="10"/>
        <v>61.18043327331543</v>
      </c>
      <c r="AF105" s="207">
        <f t="shared" si="11"/>
        <v>47.812652587890625</v>
      </c>
    </row>
    <row r="106" spans="3:32">
      <c r="C106" s="43"/>
      <c r="D106" s="43"/>
      <c r="Z106" s="206">
        <f t="shared" si="6"/>
        <v>0</v>
      </c>
      <c r="AA106" s="207">
        <f t="shared" si="6"/>
        <v>0</v>
      </c>
      <c r="AB106" s="207">
        <f t="shared" si="7"/>
        <v>105.73929214477539</v>
      </c>
      <c r="AC106" s="207">
        <f t="shared" si="8"/>
        <v>89.406955718994141</v>
      </c>
      <c r="AD106" s="207">
        <f t="shared" si="9"/>
        <v>0</v>
      </c>
      <c r="AE106" s="207">
        <f t="shared" si="10"/>
        <v>61.18043327331543</v>
      </c>
      <c r="AF106" s="207">
        <f t="shared" si="11"/>
        <v>47.812652587890625</v>
      </c>
    </row>
    <row r="107" spans="3:32">
      <c r="C107" s="43"/>
      <c r="D107" s="43"/>
      <c r="Z107" s="206">
        <f t="shared" si="6"/>
        <v>0</v>
      </c>
      <c r="AA107" s="207">
        <f t="shared" si="6"/>
        <v>0</v>
      </c>
      <c r="AB107" s="207">
        <f t="shared" si="7"/>
        <v>105.73929214477539</v>
      </c>
      <c r="AC107" s="207">
        <f t="shared" si="8"/>
        <v>89.406955718994141</v>
      </c>
      <c r="AD107" s="207">
        <f t="shared" si="9"/>
        <v>0</v>
      </c>
      <c r="AE107" s="207">
        <f t="shared" si="10"/>
        <v>61.18043327331543</v>
      </c>
      <c r="AF107" s="207">
        <f t="shared" si="11"/>
        <v>47.812652587890625</v>
      </c>
    </row>
    <row r="108" spans="3:32">
      <c r="C108" s="43"/>
      <c r="D108" s="43"/>
      <c r="Z108" s="206">
        <f t="shared" si="6"/>
        <v>0</v>
      </c>
      <c r="AA108" s="207">
        <f t="shared" si="6"/>
        <v>0</v>
      </c>
      <c r="AB108" s="207">
        <f t="shared" si="7"/>
        <v>105.73929214477539</v>
      </c>
      <c r="AC108" s="207">
        <f t="shared" si="8"/>
        <v>89.406955718994141</v>
      </c>
      <c r="AD108" s="207">
        <f t="shared" si="9"/>
        <v>0</v>
      </c>
      <c r="AE108" s="207">
        <f t="shared" si="10"/>
        <v>61.18043327331543</v>
      </c>
      <c r="AF108" s="207">
        <f t="shared" si="11"/>
        <v>47.812652587890625</v>
      </c>
    </row>
    <row r="109" spans="3:32">
      <c r="C109" s="43"/>
      <c r="D109" s="43"/>
      <c r="Z109" s="206">
        <f t="shared" si="6"/>
        <v>0</v>
      </c>
      <c r="AA109" s="207">
        <f t="shared" si="6"/>
        <v>0</v>
      </c>
      <c r="AB109" s="207">
        <f t="shared" si="7"/>
        <v>105.73929214477539</v>
      </c>
      <c r="AC109" s="207">
        <f t="shared" si="8"/>
        <v>89.406955718994141</v>
      </c>
      <c r="AD109" s="207">
        <f t="shared" si="9"/>
        <v>0</v>
      </c>
      <c r="AE109" s="207">
        <f t="shared" si="10"/>
        <v>61.18043327331543</v>
      </c>
      <c r="AF109" s="207">
        <f t="shared" si="11"/>
        <v>47.812652587890625</v>
      </c>
    </row>
    <row r="110" spans="3:32">
      <c r="C110" s="43"/>
      <c r="D110" s="43"/>
      <c r="Z110" s="206">
        <f t="shared" si="6"/>
        <v>0</v>
      </c>
      <c r="AA110" s="207">
        <f t="shared" si="6"/>
        <v>0</v>
      </c>
      <c r="AB110" s="207">
        <f t="shared" si="7"/>
        <v>105.73929214477539</v>
      </c>
      <c r="AC110" s="207">
        <f t="shared" si="8"/>
        <v>89.406955718994141</v>
      </c>
      <c r="AD110" s="207">
        <f t="shared" si="9"/>
        <v>0</v>
      </c>
      <c r="AE110" s="207">
        <f t="shared" si="10"/>
        <v>61.18043327331543</v>
      </c>
      <c r="AF110" s="207">
        <f t="shared" si="11"/>
        <v>47.812652587890625</v>
      </c>
    </row>
    <row r="111" spans="3:32">
      <c r="C111" s="43"/>
      <c r="D111" s="43"/>
      <c r="Z111" s="206">
        <f t="shared" si="6"/>
        <v>0</v>
      </c>
      <c r="AA111" s="207">
        <f t="shared" si="6"/>
        <v>0</v>
      </c>
      <c r="AB111" s="207">
        <f t="shared" si="7"/>
        <v>105.73929214477539</v>
      </c>
      <c r="AC111" s="207">
        <f t="shared" si="8"/>
        <v>89.406955718994141</v>
      </c>
      <c r="AD111" s="207">
        <f t="shared" si="9"/>
        <v>0</v>
      </c>
      <c r="AE111" s="207">
        <f t="shared" si="10"/>
        <v>61.18043327331543</v>
      </c>
      <c r="AF111" s="207">
        <f t="shared" si="11"/>
        <v>47.812652587890625</v>
      </c>
    </row>
    <row r="112" spans="3:32">
      <c r="C112" s="43"/>
      <c r="D112" s="43"/>
      <c r="Z112" s="206">
        <f t="shared" si="6"/>
        <v>0</v>
      </c>
      <c r="AA112" s="207">
        <f t="shared" si="6"/>
        <v>0</v>
      </c>
      <c r="AB112" s="207">
        <f t="shared" si="7"/>
        <v>105.73929214477539</v>
      </c>
      <c r="AC112" s="207">
        <f t="shared" si="8"/>
        <v>89.406955718994141</v>
      </c>
      <c r="AD112" s="207">
        <f t="shared" si="9"/>
        <v>0</v>
      </c>
      <c r="AE112" s="207">
        <f t="shared" si="10"/>
        <v>61.18043327331543</v>
      </c>
      <c r="AF112" s="207">
        <f t="shared" si="11"/>
        <v>47.812652587890625</v>
      </c>
    </row>
    <row r="113" spans="3:32">
      <c r="C113" s="43"/>
      <c r="D113" s="43"/>
      <c r="Z113" s="206">
        <f t="shared" si="6"/>
        <v>0</v>
      </c>
      <c r="AA113" s="207">
        <f t="shared" si="6"/>
        <v>0</v>
      </c>
      <c r="AB113" s="207">
        <f t="shared" si="7"/>
        <v>105.73929214477539</v>
      </c>
      <c r="AC113" s="207">
        <f t="shared" si="8"/>
        <v>89.406955718994141</v>
      </c>
      <c r="AD113" s="207">
        <f t="shared" si="9"/>
        <v>0</v>
      </c>
      <c r="AE113" s="207">
        <f t="shared" si="10"/>
        <v>61.18043327331543</v>
      </c>
      <c r="AF113" s="207">
        <f t="shared" si="11"/>
        <v>47.812652587890625</v>
      </c>
    </row>
    <row r="114" spans="3:32">
      <c r="C114" s="43"/>
      <c r="D114" s="43"/>
      <c r="Z114" s="206">
        <f t="shared" si="6"/>
        <v>0</v>
      </c>
      <c r="AA114" s="207">
        <f t="shared" si="6"/>
        <v>0</v>
      </c>
      <c r="AB114" s="207">
        <f t="shared" si="7"/>
        <v>105.73929214477539</v>
      </c>
      <c r="AC114" s="207">
        <f t="shared" si="8"/>
        <v>89.406955718994141</v>
      </c>
      <c r="AD114" s="207">
        <f t="shared" si="9"/>
        <v>0</v>
      </c>
      <c r="AE114" s="207">
        <f t="shared" si="10"/>
        <v>61.18043327331543</v>
      </c>
      <c r="AF114" s="207">
        <f t="shared" si="11"/>
        <v>47.812652587890625</v>
      </c>
    </row>
    <row r="115" spans="3:32">
      <c r="C115" s="43"/>
      <c r="D115" s="43"/>
      <c r="Z115" s="206">
        <f t="shared" si="6"/>
        <v>0</v>
      </c>
      <c r="AA115" s="207">
        <f t="shared" si="6"/>
        <v>0</v>
      </c>
      <c r="AB115" s="207">
        <f t="shared" si="7"/>
        <v>105.73929214477539</v>
      </c>
      <c r="AC115" s="207">
        <f t="shared" si="8"/>
        <v>89.406955718994141</v>
      </c>
      <c r="AD115" s="207">
        <f t="shared" si="9"/>
        <v>0</v>
      </c>
      <c r="AE115" s="207">
        <f t="shared" si="10"/>
        <v>61.18043327331543</v>
      </c>
      <c r="AF115" s="207">
        <f t="shared" si="11"/>
        <v>47.812652587890625</v>
      </c>
    </row>
    <row r="116" spans="3:32">
      <c r="C116" s="43"/>
      <c r="D116" s="43"/>
      <c r="Z116" s="206">
        <f t="shared" si="6"/>
        <v>0</v>
      </c>
      <c r="AA116" s="207">
        <f t="shared" si="6"/>
        <v>0</v>
      </c>
      <c r="AB116" s="207">
        <f t="shared" si="7"/>
        <v>105.73929214477539</v>
      </c>
      <c r="AC116" s="207">
        <f t="shared" si="8"/>
        <v>89.406955718994141</v>
      </c>
      <c r="AD116" s="207">
        <f t="shared" si="9"/>
        <v>0</v>
      </c>
      <c r="AE116" s="207">
        <f t="shared" si="10"/>
        <v>61.18043327331543</v>
      </c>
      <c r="AF116" s="207">
        <f t="shared" si="11"/>
        <v>47.812652587890625</v>
      </c>
    </row>
    <row r="117" spans="3:32">
      <c r="C117" s="43"/>
      <c r="D117" s="43"/>
      <c r="Z117" s="206">
        <f t="shared" si="6"/>
        <v>0</v>
      </c>
      <c r="AA117" s="207">
        <f t="shared" si="6"/>
        <v>0</v>
      </c>
      <c r="AB117" s="207">
        <f t="shared" si="7"/>
        <v>105.73929214477539</v>
      </c>
      <c r="AC117" s="207">
        <f t="shared" si="8"/>
        <v>89.406955718994141</v>
      </c>
      <c r="AD117" s="207">
        <f t="shared" si="9"/>
        <v>0</v>
      </c>
      <c r="AE117" s="207">
        <f t="shared" si="10"/>
        <v>61.18043327331543</v>
      </c>
      <c r="AF117" s="207">
        <f t="shared" si="11"/>
        <v>47.812652587890625</v>
      </c>
    </row>
    <row r="118" spans="3:32">
      <c r="C118" s="43"/>
      <c r="D118" s="43"/>
      <c r="Z118" s="206">
        <f t="shared" si="6"/>
        <v>0</v>
      </c>
      <c r="AA118" s="207">
        <f t="shared" si="6"/>
        <v>0</v>
      </c>
      <c r="AB118" s="207">
        <f t="shared" si="7"/>
        <v>105.73929214477539</v>
      </c>
      <c r="AC118" s="207">
        <f t="shared" si="8"/>
        <v>89.406955718994141</v>
      </c>
      <c r="AD118" s="207">
        <f t="shared" si="9"/>
        <v>0</v>
      </c>
      <c r="AE118" s="207">
        <f t="shared" si="10"/>
        <v>61.18043327331543</v>
      </c>
      <c r="AF118" s="207">
        <f t="shared" si="11"/>
        <v>47.812652587890625</v>
      </c>
    </row>
    <row r="119" spans="3:32">
      <c r="C119" s="43"/>
      <c r="D119" s="43"/>
      <c r="Z119" s="206">
        <f t="shared" si="6"/>
        <v>0</v>
      </c>
      <c r="AA119" s="207">
        <f t="shared" si="6"/>
        <v>0</v>
      </c>
      <c r="AB119" s="207">
        <f t="shared" si="7"/>
        <v>105.73929214477539</v>
      </c>
      <c r="AC119" s="207">
        <f t="shared" si="8"/>
        <v>89.406955718994141</v>
      </c>
      <c r="AD119" s="207">
        <f t="shared" si="9"/>
        <v>0</v>
      </c>
      <c r="AE119" s="207">
        <f t="shared" si="10"/>
        <v>61.18043327331543</v>
      </c>
      <c r="AF119" s="207">
        <f t="shared" si="11"/>
        <v>47.812652587890625</v>
      </c>
    </row>
    <row r="120" spans="3:32">
      <c r="C120" s="43"/>
      <c r="D120" s="43"/>
      <c r="Z120" s="206">
        <f t="shared" si="6"/>
        <v>0</v>
      </c>
      <c r="AA120" s="207">
        <f t="shared" si="6"/>
        <v>0</v>
      </c>
      <c r="AB120" s="207">
        <f t="shared" si="7"/>
        <v>105.73929214477539</v>
      </c>
      <c r="AC120" s="207">
        <f t="shared" si="8"/>
        <v>89.406955718994141</v>
      </c>
      <c r="AD120" s="207">
        <f t="shared" si="9"/>
        <v>0</v>
      </c>
      <c r="AE120" s="207">
        <f t="shared" si="10"/>
        <v>61.18043327331543</v>
      </c>
      <c r="AF120" s="207">
        <f t="shared" si="11"/>
        <v>47.812652587890625</v>
      </c>
    </row>
    <row r="121" spans="3:32">
      <c r="C121" s="43"/>
      <c r="D121" s="43"/>
      <c r="Z121" s="206">
        <f t="shared" si="6"/>
        <v>0</v>
      </c>
      <c r="AA121" s="207">
        <f t="shared" si="6"/>
        <v>0</v>
      </c>
      <c r="AB121" s="207">
        <f t="shared" si="7"/>
        <v>105.73929214477539</v>
      </c>
      <c r="AC121" s="207">
        <f t="shared" si="8"/>
        <v>89.406955718994141</v>
      </c>
      <c r="AD121" s="207">
        <f t="shared" si="9"/>
        <v>0</v>
      </c>
      <c r="AE121" s="207">
        <f t="shared" si="10"/>
        <v>61.18043327331543</v>
      </c>
      <c r="AF121" s="207">
        <f t="shared" si="11"/>
        <v>47.812652587890625</v>
      </c>
    </row>
    <row r="122" spans="3:32">
      <c r="C122" s="43"/>
      <c r="D122" s="43"/>
      <c r="Z122" s="206">
        <f t="shared" si="6"/>
        <v>0</v>
      </c>
      <c r="AA122" s="207">
        <f t="shared" si="6"/>
        <v>0</v>
      </c>
      <c r="AB122" s="207">
        <f t="shared" si="7"/>
        <v>105.73929214477539</v>
      </c>
      <c r="AC122" s="207">
        <f t="shared" si="8"/>
        <v>89.406955718994141</v>
      </c>
      <c r="AD122" s="207">
        <f t="shared" si="9"/>
        <v>0</v>
      </c>
      <c r="AE122" s="207">
        <f t="shared" si="10"/>
        <v>61.18043327331543</v>
      </c>
      <c r="AF122" s="207">
        <f t="shared" si="11"/>
        <v>47.812652587890625</v>
      </c>
    </row>
    <row r="123" spans="3:32">
      <c r="C123" s="43"/>
      <c r="D123" s="43"/>
      <c r="Z123" s="206">
        <f t="shared" si="6"/>
        <v>0</v>
      </c>
      <c r="AA123" s="207">
        <f t="shared" si="6"/>
        <v>0</v>
      </c>
      <c r="AB123" s="207">
        <f t="shared" si="7"/>
        <v>105.73929214477539</v>
      </c>
      <c r="AC123" s="207">
        <f t="shared" si="8"/>
        <v>89.406955718994141</v>
      </c>
      <c r="AD123" s="207">
        <f t="shared" si="9"/>
        <v>0</v>
      </c>
      <c r="AE123" s="207">
        <f t="shared" si="10"/>
        <v>61.18043327331543</v>
      </c>
      <c r="AF123" s="207">
        <f t="shared" si="11"/>
        <v>47.812652587890625</v>
      </c>
    </row>
    <row r="124" spans="3:32">
      <c r="C124" s="43"/>
      <c r="D124" s="43"/>
      <c r="Z124" s="206">
        <f t="shared" si="6"/>
        <v>0</v>
      </c>
      <c r="AA124" s="207">
        <f t="shared" si="6"/>
        <v>0</v>
      </c>
      <c r="AB124" s="207">
        <f t="shared" si="7"/>
        <v>105.73929214477539</v>
      </c>
      <c r="AC124" s="207">
        <f t="shared" si="8"/>
        <v>89.406955718994141</v>
      </c>
      <c r="AD124" s="207">
        <f t="shared" si="9"/>
        <v>0</v>
      </c>
      <c r="AE124" s="207">
        <f t="shared" si="10"/>
        <v>61.18043327331543</v>
      </c>
      <c r="AF124" s="207">
        <f t="shared" si="11"/>
        <v>47.812652587890625</v>
      </c>
    </row>
    <row r="125" spans="3:32">
      <c r="C125" s="43"/>
      <c r="D125" s="43"/>
      <c r="Z125" s="206">
        <f t="shared" si="6"/>
        <v>0</v>
      </c>
      <c r="AA125" s="207">
        <f t="shared" si="6"/>
        <v>0</v>
      </c>
      <c r="AB125" s="207">
        <f t="shared" si="7"/>
        <v>105.73929214477539</v>
      </c>
      <c r="AC125" s="207">
        <f t="shared" si="8"/>
        <v>89.406955718994141</v>
      </c>
      <c r="AD125" s="207">
        <f t="shared" si="9"/>
        <v>0</v>
      </c>
      <c r="AE125" s="207">
        <f t="shared" si="10"/>
        <v>61.18043327331543</v>
      </c>
      <c r="AF125" s="207">
        <f t="shared" si="11"/>
        <v>47.812652587890625</v>
      </c>
    </row>
    <row r="126" spans="3:32">
      <c r="C126" s="43"/>
      <c r="D126" s="43"/>
      <c r="Z126" s="206">
        <f t="shared" si="6"/>
        <v>0</v>
      </c>
      <c r="AA126" s="207">
        <f t="shared" si="6"/>
        <v>0</v>
      </c>
      <c r="AB126" s="207">
        <f t="shared" si="7"/>
        <v>105.73929214477539</v>
      </c>
      <c r="AC126" s="207">
        <f t="shared" si="8"/>
        <v>89.406955718994141</v>
      </c>
      <c r="AD126" s="207">
        <f t="shared" si="9"/>
        <v>0</v>
      </c>
      <c r="AE126" s="207">
        <f t="shared" si="10"/>
        <v>61.18043327331543</v>
      </c>
      <c r="AF126" s="207">
        <f t="shared" si="11"/>
        <v>47.812652587890625</v>
      </c>
    </row>
    <row r="127" spans="3:32">
      <c r="C127" s="43"/>
      <c r="D127" s="43"/>
      <c r="Z127" s="206">
        <f t="shared" si="6"/>
        <v>0</v>
      </c>
      <c r="AA127" s="207">
        <f t="shared" si="6"/>
        <v>0</v>
      </c>
      <c r="AB127" s="207">
        <f t="shared" si="7"/>
        <v>105.73929214477539</v>
      </c>
      <c r="AC127" s="207">
        <f t="shared" si="8"/>
        <v>89.406955718994141</v>
      </c>
      <c r="AD127" s="207">
        <f t="shared" si="9"/>
        <v>0</v>
      </c>
      <c r="AE127" s="207">
        <f t="shared" si="10"/>
        <v>61.18043327331543</v>
      </c>
      <c r="AF127" s="207">
        <f t="shared" si="11"/>
        <v>47.812652587890625</v>
      </c>
    </row>
    <row r="128" spans="3:32">
      <c r="C128" s="43"/>
      <c r="D128" s="43"/>
      <c r="Z128" s="206">
        <f t="shared" si="6"/>
        <v>0</v>
      </c>
      <c r="AA128" s="207">
        <f t="shared" si="6"/>
        <v>0</v>
      </c>
      <c r="AB128" s="207">
        <f t="shared" si="7"/>
        <v>105.73929214477539</v>
      </c>
      <c r="AC128" s="207">
        <f t="shared" si="8"/>
        <v>89.406955718994141</v>
      </c>
      <c r="AD128" s="207">
        <f t="shared" si="9"/>
        <v>0</v>
      </c>
      <c r="AE128" s="207">
        <f t="shared" si="10"/>
        <v>61.18043327331543</v>
      </c>
      <c r="AF128" s="207">
        <f t="shared" si="11"/>
        <v>47.812652587890625</v>
      </c>
    </row>
    <row r="129" spans="3:32">
      <c r="C129" s="43"/>
      <c r="D129" s="43"/>
      <c r="Z129" s="206">
        <f t="shared" si="6"/>
        <v>0</v>
      </c>
      <c r="AA129" s="207">
        <f t="shared" si="6"/>
        <v>0</v>
      </c>
      <c r="AB129" s="207">
        <f t="shared" si="7"/>
        <v>105.73929214477539</v>
      </c>
      <c r="AC129" s="207">
        <f t="shared" si="8"/>
        <v>89.406955718994141</v>
      </c>
      <c r="AD129" s="207">
        <f t="shared" si="9"/>
        <v>0</v>
      </c>
      <c r="AE129" s="207">
        <f t="shared" si="10"/>
        <v>61.18043327331543</v>
      </c>
      <c r="AF129" s="207">
        <f t="shared" si="11"/>
        <v>47.812652587890625</v>
      </c>
    </row>
    <row r="130" spans="3:32">
      <c r="C130" s="43"/>
      <c r="D130" s="43"/>
      <c r="Z130" s="206">
        <f t="shared" si="6"/>
        <v>0</v>
      </c>
      <c r="AA130" s="207">
        <f t="shared" si="6"/>
        <v>0</v>
      </c>
      <c r="AB130" s="207">
        <f t="shared" si="7"/>
        <v>105.73929214477539</v>
      </c>
      <c r="AC130" s="207">
        <f t="shared" si="8"/>
        <v>89.406955718994141</v>
      </c>
      <c r="AD130" s="207">
        <f t="shared" si="9"/>
        <v>0</v>
      </c>
      <c r="AE130" s="207">
        <f t="shared" si="10"/>
        <v>61.18043327331543</v>
      </c>
      <c r="AF130" s="207">
        <f t="shared" si="11"/>
        <v>47.812652587890625</v>
      </c>
    </row>
    <row r="131" spans="3:32">
      <c r="C131" s="43"/>
      <c r="D131" s="43"/>
      <c r="Z131" s="206">
        <f t="shared" si="6"/>
        <v>0</v>
      </c>
      <c r="AA131" s="207">
        <f t="shared" si="6"/>
        <v>0</v>
      </c>
      <c r="AB131" s="207">
        <f t="shared" si="7"/>
        <v>105.73929214477539</v>
      </c>
      <c r="AC131" s="207">
        <f t="shared" si="8"/>
        <v>89.406955718994141</v>
      </c>
      <c r="AD131" s="207">
        <f t="shared" si="9"/>
        <v>0</v>
      </c>
      <c r="AE131" s="207">
        <f t="shared" si="10"/>
        <v>61.18043327331543</v>
      </c>
      <c r="AF131" s="207">
        <f t="shared" si="11"/>
        <v>47.812652587890625</v>
      </c>
    </row>
    <row r="132" spans="3:32">
      <c r="C132" s="43"/>
      <c r="D132" s="43"/>
      <c r="Z132" s="206">
        <f t="shared" si="6"/>
        <v>0</v>
      </c>
      <c r="AA132" s="207">
        <f t="shared" si="6"/>
        <v>0</v>
      </c>
      <c r="AB132" s="207">
        <f t="shared" si="7"/>
        <v>105.73929214477539</v>
      </c>
      <c r="AC132" s="207">
        <f t="shared" si="8"/>
        <v>89.406955718994141</v>
      </c>
      <c r="AD132" s="207">
        <f t="shared" si="9"/>
        <v>0</v>
      </c>
      <c r="AE132" s="207">
        <f t="shared" si="10"/>
        <v>61.18043327331543</v>
      </c>
      <c r="AF132" s="207">
        <f t="shared" si="11"/>
        <v>47.812652587890625</v>
      </c>
    </row>
    <row r="133" spans="3:32">
      <c r="C133" s="43"/>
      <c r="D133" s="43"/>
      <c r="Z133" s="206">
        <f t="shared" si="6"/>
        <v>0</v>
      </c>
      <c r="AA133" s="207">
        <f t="shared" si="6"/>
        <v>0</v>
      </c>
      <c r="AB133" s="207">
        <f t="shared" si="7"/>
        <v>105.73929214477539</v>
      </c>
      <c r="AC133" s="207">
        <f t="shared" si="8"/>
        <v>89.406955718994141</v>
      </c>
      <c r="AD133" s="207">
        <f t="shared" si="9"/>
        <v>0</v>
      </c>
      <c r="AE133" s="207">
        <f t="shared" si="10"/>
        <v>61.18043327331543</v>
      </c>
      <c r="AF133" s="207">
        <f t="shared" si="11"/>
        <v>47.812652587890625</v>
      </c>
    </row>
    <row r="134" spans="3:32">
      <c r="C134" s="43"/>
      <c r="D134" s="43"/>
      <c r="Z134" s="206">
        <f t="shared" si="6"/>
        <v>0</v>
      </c>
      <c r="AA134" s="207">
        <f t="shared" si="6"/>
        <v>0</v>
      </c>
      <c r="AB134" s="207">
        <f t="shared" si="7"/>
        <v>105.73929214477539</v>
      </c>
      <c r="AC134" s="207">
        <f t="shared" si="8"/>
        <v>89.406955718994141</v>
      </c>
      <c r="AD134" s="207">
        <f t="shared" si="9"/>
        <v>0</v>
      </c>
      <c r="AE134" s="207">
        <f t="shared" si="10"/>
        <v>61.18043327331543</v>
      </c>
      <c r="AF134" s="207">
        <f t="shared" si="11"/>
        <v>47.812652587890625</v>
      </c>
    </row>
    <row r="135" spans="3:32">
      <c r="C135" s="43"/>
      <c r="D135" s="43"/>
      <c r="Z135" s="206">
        <f t="shared" si="6"/>
        <v>0</v>
      </c>
      <c r="AA135" s="207">
        <f t="shared" si="6"/>
        <v>0</v>
      </c>
      <c r="AB135" s="207">
        <f t="shared" si="7"/>
        <v>105.73929214477539</v>
      </c>
      <c r="AC135" s="207">
        <f t="shared" si="8"/>
        <v>89.406955718994141</v>
      </c>
      <c r="AD135" s="207">
        <f t="shared" si="9"/>
        <v>0</v>
      </c>
      <c r="AE135" s="207">
        <f t="shared" si="10"/>
        <v>61.18043327331543</v>
      </c>
      <c r="AF135" s="207">
        <f t="shared" si="11"/>
        <v>47.812652587890625</v>
      </c>
    </row>
    <row r="136" spans="3:32">
      <c r="C136" s="43"/>
      <c r="D136" s="43"/>
      <c r="Z136" s="206">
        <f t="shared" si="6"/>
        <v>0</v>
      </c>
      <c r="AA136" s="207">
        <f t="shared" si="6"/>
        <v>0</v>
      </c>
      <c r="AB136" s="207">
        <f t="shared" si="7"/>
        <v>105.73929214477539</v>
      </c>
      <c r="AC136" s="207">
        <f t="shared" si="8"/>
        <v>89.406955718994141</v>
      </c>
      <c r="AD136" s="207">
        <f t="shared" si="9"/>
        <v>0</v>
      </c>
      <c r="AE136" s="207">
        <f t="shared" si="10"/>
        <v>61.18043327331543</v>
      </c>
      <c r="AF136" s="207">
        <f t="shared" si="11"/>
        <v>47.812652587890625</v>
      </c>
    </row>
    <row r="137" spans="3:32">
      <c r="C137" s="43"/>
      <c r="D137" s="43"/>
      <c r="Z137" s="206">
        <f t="shared" si="6"/>
        <v>0</v>
      </c>
      <c r="AA137" s="207">
        <f t="shared" si="6"/>
        <v>0</v>
      </c>
      <c r="AB137" s="207">
        <f t="shared" si="7"/>
        <v>105.73929214477539</v>
      </c>
      <c r="AC137" s="207">
        <f t="shared" si="8"/>
        <v>89.406955718994141</v>
      </c>
      <c r="AD137" s="207">
        <f t="shared" si="9"/>
        <v>0</v>
      </c>
      <c r="AE137" s="207">
        <f t="shared" si="10"/>
        <v>61.18043327331543</v>
      </c>
      <c r="AF137" s="207">
        <f t="shared" si="11"/>
        <v>47.812652587890625</v>
      </c>
    </row>
    <row r="138" spans="3:32">
      <c r="C138" s="43"/>
      <c r="D138" s="43"/>
      <c r="Z138" s="206">
        <f t="shared" si="6"/>
        <v>0</v>
      </c>
      <c r="AA138" s="207">
        <f t="shared" si="6"/>
        <v>0</v>
      </c>
      <c r="AB138" s="207">
        <f t="shared" si="7"/>
        <v>105.73929214477539</v>
      </c>
      <c r="AC138" s="207">
        <f t="shared" si="8"/>
        <v>89.406955718994141</v>
      </c>
      <c r="AD138" s="207">
        <f t="shared" si="9"/>
        <v>0</v>
      </c>
      <c r="AE138" s="207">
        <f t="shared" si="10"/>
        <v>61.18043327331543</v>
      </c>
      <c r="AF138" s="207">
        <f t="shared" si="11"/>
        <v>47.812652587890625</v>
      </c>
    </row>
    <row r="139" spans="3:32">
      <c r="C139" s="43"/>
      <c r="D139" s="43"/>
      <c r="Z139" s="206">
        <f t="shared" si="6"/>
        <v>0</v>
      </c>
      <c r="AA139" s="207">
        <f t="shared" si="6"/>
        <v>0</v>
      </c>
      <c r="AB139" s="207">
        <f t="shared" si="7"/>
        <v>105.73929214477539</v>
      </c>
      <c r="AC139" s="207">
        <f t="shared" si="8"/>
        <v>89.406955718994141</v>
      </c>
      <c r="AD139" s="207">
        <f t="shared" si="9"/>
        <v>0</v>
      </c>
      <c r="AE139" s="207">
        <f t="shared" si="10"/>
        <v>61.18043327331543</v>
      </c>
      <c r="AF139" s="207">
        <f t="shared" si="11"/>
        <v>47.812652587890625</v>
      </c>
    </row>
    <row r="140" spans="3:32">
      <c r="C140" s="43"/>
      <c r="D140" s="43"/>
      <c r="Z140" s="206">
        <f t="shared" si="6"/>
        <v>0</v>
      </c>
      <c r="AA140" s="207">
        <f t="shared" si="6"/>
        <v>0</v>
      </c>
      <c r="AB140" s="207">
        <f t="shared" si="7"/>
        <v>105.73929214477539</v>
      </c>
      <c r="AC140" s="207">
        <f t="shared" si="8"/>
        <v>89.406955718994141</v>
      </c>
      <c r="AD140" s="207">
        <f t="shared" si="9"/>
        <v>0</v>
      </c>
      <c r="AE140" s="207">
        <f t="shared" si="10"/>
        <v>61.18043327331543</v>
      </c>
      <c r="AF140" s="207">
        <f t="shared" si="11"/>
        <v>47.812652587890625</v>
      </c>
    </row>
    <row r="141" spans="3:32">
      <c r="C141" s="43"/>
      <c r="D141" s="43"/>
      <c r="Z141" s="206">
        <f t="shared" si="6"/>
        <v>0</v>
      </c>
      <c r="AA141" s="207">
        <f t="shared" si="6"/>
        <v>0</v>
      </c>
      <c r="AB141" s="207">
        <f t="shared" si="7"/>
        <v>105.73929214477539</v>
      </c>
      <c r="AC141" s="207">
        <f t="shared" si="8"/>
        <v>89.406955718994141</v>
      </c>
      <c r="AD141" s="207">
        <f t="shared" si="9"/>
        <v>0</v>
      </c>
      <c r="AE141" s="207">
        <f t="shared" si="10"/>
        <v>61.18043327331543</v>
      </c>
      <c r="AF141" s="207">
        <f t="shared" si="11"/>
        <v>47.812652587890625</v>
      </c>
    </row>
    <row r="142" spans="3:32">
      <c r="C142" s="43"/>
      <c r="D142" s="43"/>
      <c r="Z142" s="206">
        <f t="shared" si="6"/>
        <v>0</v>
      </c>
      <c r="AA142" s="207">
        <f t="shared" si="6"/>
        <v>0</v>
      </c>
      <c r="AB142" s="207">
        <f t="shared" si="7"/>
        <v>105.73929214477539</v>
      </c>
      <c r="AC142" s="207">
        <f t="shared" si="8"/>
        <v>89.406955718994141</v>
      </c>
      <c r="AD142" s="207">
        <f t="shared" si="9"/>
        <v>0</v>
      </c>
      <c r="AE142" s="207">
        <f t="shared" si="10"/>
        <v>61.18043327331543</v>
      </c>
      <c r="AF142" s="207">
        <f t="shared" si="11"/>
        <v>47.812652587890625</v>
      </c>
    </row>
    <row r="143" spans="3:32">
      <c r="C143" s="43"/>
      <c r="D143" s="43"/>
      <c r="Z143" s="206">
        <f t="shared" ref="Z143:AA206" si="12">B143</f>
        <v>0</v>
      </c>
      <c r="AA143" s="207">
        <f t="shared" si="12"/>
        <v>0</v>
      </c>
      <c r="AB143" s="207">
        <f t="shared" ref="AB143:AB206" si="13">$J$24</f>
        <v>105.73929214477539</v>
      </c>
      <c r="AC143" s="207">
        <f t="shared" ref="AC143:AC206" si="14">$J$25</f>
        <v>89.406955718994141</v>
      </c>
      <c r="AD143" s="207">
        <f t="shared" ref="AD143:AD206" si="15">D143</f>
        <v>0</v>
      </c>
      <c r="AE143" s="207">
        <f t="shared" ref="AE143:AE206" si="16">$K$24</f>
        <v>61.18043327331543</v>
      </c>
      <c r="AF143" s="207">
        <f t="shared" ref="AF143:AF206" si="17">$K$25</f>
        <v>47.812652587890625</v>
      </c>
    </row>
    <row r="144" spans="3:32">
      <c r="C144" s="43"/>
      <c r="D144" s="43"/>
      <c r="Z144" s="206">
        <f t="shared" si="12"/>
        <v>0</v>
      </c>
      <c r="AA144" s="207">
        <f t="shared" si="12"/>
        <v>0</v>
      </c>
      <c r="AB144" s="207">
        <f t="shared" si="13"/>
        <v>105.73929214477539</v>
      </c>
      <c r="AC144" s="207">
        <f t="shared" si="14"/>
        <v>89.406955718994141</v>
      </c>
      <c r="AD144" s="207">
        <f t="shared" si="15"/>
        <v>0</v>
      </c>
      <c r="AE144" s="207">
        <f t="shared" si="16"/>
        <v>61.18043327331543</v>
      </c>
      <c r="AF144" s="207">
        <f t="shared" si="17"/>
        <v>47.812652587890625</v>
      </c>
    </row>
    <row r="145" spans="3:32">
      <c r="C145" s="43"/>
      <c r="D145" s="43"/>
      <c r="Z145" s="206">
        <f t="shared" si="12"/>
        <v>0</v>
      </c>
      <c r="AA145" s="207">
        <f t="shared" si="12"/>
        <v>0</v>
      </c>
      <c r="AB145" s="207">
        <f t="shared" si="13"/>
        <v>105.73929214477539</v>
      </c>
      <c r="AC145" s="207">
        <f t="shared" si="14"/>
        <v>89.406955718994141</v>
      </c>
      <c r="AD145" s="207">
        <f t="shared" si="15"/>
        <v>0</v>
      </c>
      <c r="AE145" s="207">
        <f t="shared" si="16"/>
        <v>61.18043327331543</v>
      </c>
      <c r="AF145" s="207">
        <f t="shared" si="17"/>
        <v>47.812652587890625</v>
      </c>
    </row>
    <row r="146" spans="3:32">
      <c r="C146" s="43"/>
      <c r="D146" s="43"/>
      <c r="Z146" s="206">
        <f t="shared" si="12"/>
        <v>0</v>
      </c>
      <c r="AA146" s="207">
        <f t="shared" si="12"/>
        <v>0</v>
      </c>
      <c r="AB146" s="207">
        <f t="shared" si="13"/>
        <v>105.73929214477539</v>
      </c>
      <c r="AC146" s="207">
        <f t="shared" si="14"/>
        <v>89.406955718994141</v>
      </c>
      <c r="AD146" s="207">
        <f t="shared" si="15"/>
        <v>0</v>
      </c>
      <c r="AE146" s="207">
        <f t="shared" si="16"/>
        <v>61.18043327331543</v>
      </c>
      <c r="AF146" s="207">
        <f t="shared" si="17"/>
        <v>47.812652587890625</v>
      </c>
    </row>
    <row r="147" spans="3:32">
      <c r="C147" s="43"/>
      <c r="D147" s="43"/>
      <c r="Z147" s="206">
        <f t="shared" si="12"/>
        <v>0</v>
      </c>
      <c r="AA147" s="207">
        <f t="shared" si="12"/>
        <v>0</v>
      </c>
      <c r="AB147" s="207">
        <f t="shared" si="13"/>
        <v>105.73929214477539</v>
      </c>
      <c r="AC147" s="207">
        <f t="shared" si="14"/>
        <v>89.406955718994141</v>
      </c>
      <c r="AD147" s="207">
        <f t="shared" si="15"/>
        <v>0</v>
      </c>
      <c r="AE147" s="207">
        <f t="shared" si="16"/>
        <v>61.18043327331543</v>
      </c>
      <c r="AF147" s="207">
        <f t="shared" si="17"/>
        <v>47.812652587890625</v>
      </c>
    </row>
    <row r="148" spans="3:32">
      <c r="C148" s="43"/>
      <c r="D148" s="43"/>
      <c r="Z148" s="206">
        <f t="shared" si="12"/>
        <v>0</v>
      </c>
      <c r="AA148" s="207">
        <f t="shared" si="12"/>
        <v>0</v>
      </c>
      <c r="AB148" s="207">
        <f t="shared" si="13"/>
        <v>105.73929214477539</v>
      </c>
      <c r="AC148" s="207">
        <f t="shared" si="14"/>
        <v>89.406955718994141</v>
      </c>
      <c r="AD148" s="207">
        <f t="shared" si="15"/>
        <v>0</v>
      </c>
      <c r="AE148" s="207">
        <f t="shared" si="16"/>
        <v>61.18043327331543</v>
      </c>
      <c r="AF148" s="207">
        <f t="shared" si="17"/>
        <v>47.812652587890625</v>
      </c>
    </row>
    <row r="149" spans="3:32">
      <c r="C149" s="43"/>
      <c r="D149" s="43"/>
      <c r="Z149" s="206">
        <f t="shared" si="12"/>
        <v>0</v>
      </c>
      <c r="AA149" s="207">
        <f t="shared" si="12"/>
        <v>0</v>
      </c>
      <c r="AB149" s="207">
        <f t="shared" si="13"/>
        <v>105.73929214477539</v>
      </c>
      <c r="AC149" s="207">
        <f t="shared" si="14"/>
        <v>89.406955718994141</v>
      </c>
      <c r="AD149" s="207">
        <f t="shared" si="15"/>
        <v>0</v>
      </c>
      <c r="AE149" s="207">
        <f t="shared" si="16"/>
        <v>61.18043327331543</v>
      </c>
      <c r="AF149" s="207">
        <f t="shared" si="17"/>
        <v>47.812652587890625</v>
      </c>
    </row>
    <row r="150" spans="3:32">
      <c r="C150" s="43"/>
      <c r="D150" s="43"/>
      <c r="Z150" s="206">
        <f t="shared" si="12"/>
        <v>0</v>
      </c>
      <c r="AA150" s="207">
        <f t="shared" si="12"/>
        <v>0</v>
      </c>
      <c r="AB150" s="207">
        <f t="shared" si="13"/>
        <v>105.73929214477539</v>
      </c>
      <c r="AC150" s="207">
        <f t="shared" si="14"/>
        <v>89.406955718994141</v>
      </c>
      <c r="AD150" s="207">
        <f t="shared" si="15"/>
        <v>0</v>
      </c>
      <c r="AE150" s="207">
        <f t="shared" si="16"/>
        <v>61.18043327331543</v>
      </c>
      <c r="AF150" s="207">
        <f t="shared" si="17"/>
        <v>47.812652587890625</v>
      </c>
    </row>
    <row r="151" spans="3:32">
      <c r="C151" s="43"/>
      <c r="D151" s="43"/>
      <c r="Z151" s="206">
        <f t="shared" si="12"/>
        <v>0</v>
      </c>
      <c r="AA151" s="207">
        <f t="shared" si="12"/>
        <v>0</v>
      </c>
      <c r="AB151" s="207">
        <f t="shared" si="13"/>
        <v>105.73929214477539</v>
      </c>
      <c r="AC151" s="207">
        <f t="shared" si="14"/>
        <v>89.406955718994141</v>
      </c>
      <c r="AD151" s="207">
        <f t="shared" si="15"/>
        <v>0</v>
      </c>
      <c r="AE151" s="207">
        <f t="shared" si="16"/>
        <v>61.18043327331543</v>
      </c>
      <c r="AF151" s="207">
        <f t="shared" si="17"/>
        <v>47.812652587890625</v>
      </c>
    </row>
    <row r="152" spans="3:32">
      <c r="C152" s="43"/>
      <c r="D152" s="43"/>
      <c r="Z152" s="206">
        <f t="shared" si="12"/>
        <v>0</v>
      </c>
      <c r="AA152" s="207">
        <f t="shared" si="12"/>
        <v>0</v>
      </c>
      <c r="AB152" s="207">
        <f t="shared" si="13"/>
        <v>105.73929214477539</v>
      </c>
      <c r="AC152" s="207">
        <f t="shared" si="14"/>
        <v>89.406955718994141</v>
      </c>
      <c r="AD152" s="207">
        <f t="shared" si="15"/>
        <v>0</v>
      </c>
      <c r="AE152" s="207">
        <f t="shared" si="16"/>
        <v>61.18043327331543</v>
      </c>
      <c r="AF152" s="207">
        <f t="shared" si="17"/>
        <v>47.812652587890625</v>
      </c>
    </row>
    <row r="153" spans="3:32">
      <c r="C153" s="43"/>
      <c r="D153" s="43"/>
      <c r="Z153" s="206">
        <f t="shared" si="12"/>
        <v>0</v>
      </c>
      <c r="AA153" s="207">
        <f t="shared" si="12"/>
        <v>0</v>
      </c>
      <c r="AB153" s="207">
        <f t="shared" si="13"/>
        <v>105.73929214477539</v>
      </c>
      <c r="AC153" s="207">
        <f t="shared" si="14"/>
        <v>89.406955718994141</v>
      </c>
      <c r="AD153" s="207">
        <f t="shared" si="15"/>
        <v>0</v>
      </c>
      <c r="AE153" s="207">
        <f t="shared" si="16"/>
        <v>61.18043327331543</v>
      </c>
      <c r="AF153" s="207">
        <f t="shared" si="17"/>
        <v>47.812652587890625</v>
      </c>
    </row>
    <row r="154" spans="3:32">
      <c r="C154" s="43"/>
      <c r="D154" s="43"/>
      <c r="Z154" s="206">
        <f t="shared" si="12"/>
        <v>0</v>
      </c>
      <c r="AA154" s="207">
        <f t="shared" si="12"/>
        <v>0</v>
      </c>
      <c r="AB154" s="207">
        <f t="shared" si="13"/>
        <v>105.73929214477539</v>
      </c>
      <c r="AC154" s="207">
        <f t="shared" si="14"/>
        <v>89.406955718994141</v>
      </c>
      <c r="AD154" s="207">
        <f t="shared" si="15"/>
        <v>0</v>
      </c>
      <c r="AE154" s="207">
        <f t="shared" si="16"/>
        <v>61.18043327331543</v>
      </c>
      <c r="AF154" s="207">
        <f t="shared" si="17"/>
        <v>47.812652587890625</v>
      </c>
    </row>
    <row r="155" spans="3:32">
      <c r="C155" s="43"/>
      <c r="D155" s="43"/>
      <c r="Z155" s="206">
        <f t="shared" si="12"/>
        <v>0</v>
      </c>
      <c r="AA155" s="207">
        <f t="shared" si="12"/>
        <v>0</v>
      </c>
      <c r="AB155" s="207">
        <f t="shared" si="13"/>
        <v>105.73929214477539</v>
      </c>
      <c r="AC155" s="207">
        <f t="shared" si="14"/>
        <v>89.406955718994141</v>
      </c>
      <c r="AD155" s="207">
        <f t="shared" si="15"/>
        <v>0</v>
      </c>
      <c r="AE155" s="207">
        <f t="shared" si="16"/>
        <v>61.18043327331543</v>
      </c>
      <c r="AF155" s="207">
        <f t="shared" si="17"/>
        <v>47.812652587890625</v>
      </c>
    </row>
    <row r="156" spans="3:32">
      <c r="C156" s="43"/>
      <c r="D156" s="43"/>
      <c r="Z156" s="206">
        <f t="shared" si="12"/>
        <v>0</v>
      </c>
      <c r="AA156" s="207">
        <f t="shared" si="12"/>
        <v>0</v>
      </c>
      <c r="AB156" s="207">
        <f t="shared" si="13"/>
        <v>105.73929214477539</v>
      </c>
      <c r="AC156" s="207">
        <f t="shared" si="14"/>
        <v>89.406955718994141</v>
      </c>
      <c r="AD156" s="207">
        <f t="shared" si="15"/>
        <v>0</v>
      </c>
      <c r="AE156" s="207">
        <f t="shared" si="16"/>
        <v>61.18043327331543</v>
      </c>
      <c r="AF156" s="207">
        <f t="shared" si="17"/>
        <v>47.812652587890625</v>
      </c>
    </row>
    <row r="157" spans="3:32">
      <c r="C157" s="43"/>
      <c r="D157" s="43"/>
      <c r="Z157" s="206">
        <f t="shared" si="12"/>
        <v>0</v>
      </c>
      <c r="AA157" s="207">
        <f t="shared" si="12"/>
        <v>0</v>
      </c>
      <c r="AB157" s="207">
        <f t="shared" si="13"/>
        <v>105.73929214477539</v>
      </c>
      <c r="AC157" s="207">
        <f t="shared" si="14"/>
        <v>89.406955718994141</v>
      </c>
      <c r="AD157" s="207">
        <f t="shared" si="15"/>
        <v>0</v>
      </c>
      <c r="AE157" s="207">
        <f t="shared" si="16"/>
        <v>61.18043327331543</v>
      </c>
      <c r="AF157" s="207">
        <f t="shared" si="17"/>
        <v>47.812652587890625</v>
      </c>
    </row>
    <row r="158" spans="3:32">
      <c r="C158" s="43"/>
      <c r="D158" s="43"/>
      <c r="Z158" s="206">
        <f t="shared" si="12"/>
        <v>0</v>
      </c>
      <c r="AA158" s="207">
        <f t="shared" si="12"/>
        <v>0</v>
      </c>
      <c r="AB158" s="207">
        <f t="shared" si="13"/>
        <v>105.73929214477539</v>
      </c>
      <c r="AC158" s="207">
        <f t="shared" si="14"/>
        <v>89.406955718994141</v>
      </c>
      <c r="AD158" s="207">
        <f t="shared" si="15"/>
        <v>0</v>
      </c>
      <c r="AE158" s="207">
        <f t="shared" si="16"/>
        <v>61.18043327331543</v>
      </c>
      <c r="AF158" s="207">
        <f t="shared" si="17"/>
        <v>47.812652587890625</v>
      </c>
    </row>
    <row r="159" spans="3:32">
      <c r="C159" s="43"/>
      <c r="D159" s="43"/>
      <c r="Z159" s="206">
        <f t="shared" si="12"/>
        <v>0</v>
      </c>
      <c r="AA159" s="207">
        <f t="shared" si="12"/>
        <v>0</v>
      </c>
      <c r="AB159" s="207">
        <f t="shared" si="13"/>
        <v>105.73929214477539</v>
      </c>
      <c r="AC159" s="207">
        <f t="shared" si="14"/>
        <v>89.406955718994141</v>
      </c>
      <c r="AD159" s="207">
        <f t="shared" si="15"/>
        <v>0</v>
      </c>
      <c r="AE159" s="207">
        <f t="shared" si="16"/>
        <v>61.18043327331543</v>
      </c>
      <c r="AF159" s="207">
        <f t="shared" si="17"/>
        <v>47.812652587890625</v>
      </c>
    </row>
    <row r="160" spans="3:32">
      <c r="C160" s="43"/>
      <c r="D160" s="43"/>
      <c r="Z160" s="206">
        <f t="shared" si="12"/>
        <v>0</v>
      </c>
      <c r="AA160" s="207">
        <f t="shared" si="12"/>
        <v>0</v>
      </c>
      <c r="AB160" s="207">
        <f t="shared" si="13"/>
        <v>105.73929214477539</v>
      </c>
      <c r="AC160" s="207">
        <f t="shared" si="14"/>
        <v>89.406955718994141</v>
      </c>
      <c r="AD160" s="207">
        <f t="shared" si="15"/>
        <v>0</v>
      </c>
      <c r="AE160" s="207">
        <f t="shared" si="16"/>
        <v>61.18043327331543</v>
      </c>
      <c r="AF160" s="207">
        <f t="shared" si="17"/>
        <v>47.812652587890625</v>
      </c>
    </row>
    <row r="161" spans="3:32">
      <c r="C161" s="43"/>
      <c r="D161" s="43"/>
      <c r="Z161" s="206">
        <f t="shared" si="12"/>
        <v>0</v>
      </c>
      <c r="AA161" s="207">
        <f t="shared" si="12"/>
        <v>0</v>
      </c>
      <c r="AB161" s="207">
        <f t="shared" si="13"/>
        <v>105.73929214477539</v>
      </c>
      <c r="AC161" s="207">
        <f t="shared" si="14"/>
        <v>89.406955718994141</v>
      </c>
      <c r="AD161" s="207">
        <f t="shared" si="15"/>
        <v>0</v>
      </c>
      <c r="AE161" s="207">
        <f t="shared" si="16"/>
        <v>61.18043327331543</v>
      </c>
      <c r="AF161" s="207">
        <f t="shared" si="17"/>
        <v>47.812652587890625</v>
      </c>
    </row>
    <row r="162" spans="3:32">
      <c r="C162" s="43"/>
      <c r="D162" s="43"/>
      <c r="Z162" s="206">
        <f t="shared" si="12"/>
        <v>0</v>
      </c>
      <c r="AA162" s="207">
        <f t="shared" si="12"/>
        <v>0</v>
      </c>
      <c r="AB162" s="207">
        <f t="shared" si="13"/>
        <v>105.73929214477539</v>
      </c>
      <c r="AC162" s="207">
        <f t="shared" si="14"/>
        <v>89.406955718994141</v>
      </c>
      <c r="AD162" s="207">
        <f t="shared" si="15"/>
        <v>0</v>
      </c>
      <c r="AE162" s="207">
        <f t="shared" si="16"/>
        <v>61.18043327331543</v>
      </c>
      <c r="AF162" s="207">
        <f t="shared" si="17"/>
        <v>47.812652587890625</v>
      </c>
    </row>
    <row r="163" spans="3:32">
      <c r="C163" s="43"/>
      <c r="D163" s="43"/>
      <c r="Z163" s="206">
        <f t="shared" si="12"/>
        <v>0</v>
      </c>
      <c r="AA163" s="207">
        <f t="shared" si="12"/>
        <v>0</v>
      </c>
      <c r="AB163" s="207">
        <f t="shared" si="13"/>
        <v>105.73929214477539</v>
      </c>
      <c r="AC163" s="207">
        <f t="shared" si="14"/>
        <v>89.406955718994141</v>
      </c>
      <c r="AD163" s="207">
        <f t="shared" si="15"/>
        <v>0</v>
      </c>
      <c r="AE163" s="207">
        <f t="shared" si="16"/>
        <v>61.18043327331543</v>
      </c>
      <c r="AF163" s="207">
        <f t="shared" si="17"/>
        <v>47.812652587890625</v>
      </c>
    </row>
    <row r="164" spans="3:32">
      <c r="C164" s="43"/>
      <c r="D164" s="43"/>
      <c r="Z164" s="206">
        <f t="shared" si="12"/>
        <v>0</v>
      </c>
      <c r="AA164" s="207">
        <f t="shared" si="12"/>
        <v>0</v>
      </c>
      <c r="AB164" s="207">
        <f t="shared" si="13"/>
        <v>105.73929214477539</v>
      </c>
      <c r="AC164" s="207">
        <f t="shared" si="14"/>
        <v>89.406955718994141</v>
      </c>
      <c r="AD164" s="207">
        <f t="shared" si="15"/>
        <v>0</v>
      </c>
      <c r="AE164" s="207">
        <f t="shared" si="16"/>
        <v>61.18043327331543</v>
      </c>
      <c r="AF164" s="207">
        <f t="shared" si="17"/>
        <v>47.812652587890625</v>
      </c>
    </row>
    <row r="165" spans="3:32">
      <c r="C165" s="43"/>
      <c r="D165" s="43"/>
      <c r="Z165" s="206">
        <f t="shared" si="12"/>
        <v>0</v>
      </c>
      <c r="AA165" s="207">
        <f t="shared" si="12"/>
        <v>0</v>
      </c>
      <c r="AB165" s="207">
        <f t="shared" si="13"/>
        <v>105.73929214477539</v>
      </c>
      <c r="AC165" s="207">
        <f t="shared" si="14"/>
        <v>89.406955718994141</v>
      </c>
      <c r="AD165" s="207">
        <f t="shared" si="15"/>
        <v>0</v>
      </c>
      <c r="AE165" s="207">
        <f t="shared" si="16"/>
        <v>61.18043327331543</v>
      </c>
      <c r="AF165" s="207">
        <f t="shared" si="17"/>
        <v>47.812652587890625</v>
      </c>
    </row>
    <row r="166" spans="3:32">
      <c r="C166" s="43"/>
      <c r="D166" s="43"/>
      <c r="Z166" s="206">
        <f t="shared" si="12"/>
        <v>0</v>
      </c>
      <c r="AA166" s="207">
        <f t="shared" si="12"/>
        <v>0</v>
      </c>
      <c r="AB166" s="207">
        <f t="shared" si="13"/>
        <v>105.73929214477539</v>
      </c>
      <c r="AC166" s="207">
        <f t="shared" si="14"/>
        <v>89.406955718994141</v>
      </c>
      <c r="AD166" s="207">
        <f t="shared" si="15"/>
        <v>0</v>
      </c>
      <c r="AE166" s="207">
        <f t="shared" si="16"/>
        <v>61.18043327331543</v>
      </c>
      <c r="AF166" s="207">
        <f t="shared" si="17"/>
        <v>47.812652587890625</v>
      </c>
    </row>
    <row r="167" spans="3:32">
      <c r="C167" s="43"/>
      <c r="D167" s="43"/>
      <c r="Z167" s="206">
        <f t="shared" si="12"/>
        <v>0</v>
      </c>
      <c r="AA167" s="207">
        <f t="shared" si="12"/>
        <v>0</v>
      </c>
      <c r="AB167" s="207">
        <f t="shared" si="13"/>
        <v>105.73929214477539</v>
      </c>
      <c r="AC167" s="207">
        <f t="shared" si="14"/>
        <v>89.406955718994141</v>
      </c>
      <c r="AD167" s="207">
        <f t="shared" si="15"/>
        <v>0</v>
      </c>
      <c r="AE167" s="207">
        <f t="shared" si="16"/>
        <v>61.18043327331543</v>
      </c>
      <c r="AF167" s="207">
        <f t="shared" si="17"/>
        <v>47.812652587890625</v>
      </c>
    </row>
    <row r="168" spans="3:32">
      <c r="C168" s="43"/>
      <c r="D168" s="43"/>
      <c r="Z168" s="206">
        <f t="shared" si="12"/>
        <v>0</v>
      </c>
      <c r="AA168" s="207">
        <f t="shared" si="12"/>
        <v>0</v>
      </c>
      <c r="AB168" s="207">
        <f t="shared" si="13"/>
        <v>105.73929214477539</v>
      </c>
      <c r="AC168" s="207">
        <f t="shared" si="14"/>
        <v>89.406955718994141</v>
      </c>
      <c r="AD168" s="207">
        <f t="shared" si="15"/>
        <v>0</v>
      </c>
      <c r="AE168" s="207">
        <f t="shared" si="16"/>
        <v>61.18043327331543</v>
      </c>
      <c r="AF168" s="207">
        <f t="shared" si="17"/>
        <v>47.812652587890625</v>
      </c>
    </row>
    <row r="169" spans="3:32">
      <c r="C169" s="43"/>
      <c r="D169" s="43"/>
      <c r="Z169" s="206">
        <f t="shared" si="12"/>
        <v>0</v>
      </c>
      <c r="AA169" s="207">
        <f t="shared" si="12"/>
        <v>0</v>
      </c>
      <c r="AB169" s="207">
        <f t="shared" si="13"/>
        <v>105.73929214477539</v>
      </c>
      <c r="AC169" s="207">
        <f t="shared" si="14"/>
        <v>89.406955718994141</v>
      </c>
      <c r="AD169" s="207">
        <f t="shared" si="15"/>
        <v>0</v>
      </c>
      <c r="AE169" s="207">
        <f t="shared" si="16"/>
        <v>61.18043327331543</v>
      </c>
      <c r="AF169" s="207">
        <f t="shared" si="17"/>
        <v>47.812652587890625</v>
      </c>
    </row>
    <row r="170" spans="3:32">
      <c r="C170" s="43"/>
      <c r="D170" s="43"/>
      <c r="Z170" s="206">
        <f t="shared" si="12"/>
        <v>0</v>
      </c>
      <c r="AA170" s="207">
        <f t="shared" si="12"/>
        <v>0</v>
      </c>
      <c r="AB170" s="207">
        <f t="shared" si="13"/>
        <v>105.73929214477539</v>
      </c>
      <c r="AC170" s="207">
        <f t="shared" si="14"/>
        <v>89.406955718994141</v>
      </c>
      <c r="AD170" s="207">
        <f t="shared" si="15"/>
        <v>0</v>
      </c>
      <c r="AE170" s="207">
        <f t="shared" si="16"/>
        <v>61.18043327331543</v>
      </c>
      <c r="AF170" s="207">
        <f t="shared" si="17"/>
        <v>47.812652587890625</v>
      </c>
    </row>
    <row r="171" spans="3:32">
      <c r="C171" s="43"/>
      <c r="D171" s="43"/>
      <c r="Z171" s="206">
        <f t="shared" si="12"/>
        <v>0</v>
      </c>
      <c r="AA171" s="207">
        <f t="shared" si="12"/>
        <v>0</v>
      </c>
      <c r="AB171" s="207">
        <f t="shared" si="13"/>
        <v>105.73929214477539</v>
      </c>
      <c r="AC171" s="207">
        <f t="shared" si="14"/>
        <v>89.406955718994141</v>
      </c>
      <c r="AD171" s="207">
        <f t="shared" si="15"/>
        <v>0</v>
      </c>
      <c r="AE171" s="207">
        <f t="shared" si="16"/>
        <v>61.18043327331543</v>
      </c>
      <c r="AF171" s="207">
        <f t="shared" si="17"/>
        <v>47.812652587890625</v>
      </c>
    </row>
    <row r="172" spans="3:32">
      <c r="C172" s="43"/>
      <c r="D172" s="43"/>
      <c r="Z172" s="206">
        <f t="shared" si="12"/>
        <v>0</v>
      </c>
      <c r="AA172" s="207">
        <f t="shared" si="12"/>
        <v>0</v>
      </c>
      <c r="AB172" s="207">
        <f t="shared" si="13"/>
        <v>105.73929214477539</v>
      </c>
      <c r="AC172" s="207">
        <f t="shared" si="14"/>
        <v>89.406955718994141</v>
      </c>
      <c r="AD172" s="207">
        <f t="shared" si="15"/>
        <v>0</v>
      </c>
      <c r="AE172" s="207">
        <f t="shared" si="16"/>
        <v>61.18043327331543</v>
      </c>
      <c r="AF172" s="207">
        <f t="shared" si="17"/>
        <v>47.812652587890625</v>
      </c>
    </row>
    <row r="173" spans="3:32">
      <c r="C173" s="43"/>
      <c r="D173" s="43"/>
      <c r="Z173" s="206">
        <f t="shared" si="12"/>
        <v>0</v>
      </c>
      <c r="AA173" s="207">
        <f t="shared" si="12"/>
        <v>0</v>
      </c>
      <c r="AB173" s="207">
        <f t="shared" si="13"/>
        <v>105.73929214477539</v>
      </c>
      <c r="AC173" s="207">
        <f t="shared" si="14"/>
        <v>89.406955718994141</v>
      </c>
      <c r="AD173" s="207">
        <f t="shared" si="15"/>
        <v>0</v>
      </c>
      <c r="AE173" s="207">
        <f t="shared" si="16"/>
        <v>61.18043327331543</v>
      </c>
      <c r="AF173" s="207">
        <f t="shared" si="17"/>
        <v>47.812652587890625</v>
      </c>
    </row>
    <row r="174" spans="3:32">
      <c r="C174" s="43"/>
      <c r="D174" s="43"/>
      <c r="Z174" s="206">
        <f t="shared" si="12"/>
        <v>0</v>
      </c>
      <c r="AA174" s="207">
        <f t="shared" si="12"/>
        <v>0</v>
      </c>
      <c r="AB174" s="207">
        <f t="shared" si="13"/>
        <v>105.73929214477539</v>
      </c>
      <c r="AC174" s="207">
        <f t="shared" si="14"/>
        <v>89.406955718994141</v>
      </c>
      <c r="AD174" s="207">
        <f t="shared" si="15"/>
        <v>0</v>
      </c>
      <c r="AE174" s="207">
        <f t="shared" si="16"/>
        <v>61.18043327331543</v>
      </c>
      <c r="AF174" s="207">
        <f t="shared" si="17"/>
        <v>47.812652587890625</v>
      </c>
    </row>
    <row r="175" spans="3:32">
      <c r="C175" s="43"/>
      <c r="D175" s="43"/>
      <c r="Z175" s="206">
        <f t="shared" si="12"/>
        <v>0</v>
      </c>
      <c r="AA175" s="207">
        <f t="shared" si="12"/>
        <v>0</v>
      </c>
      <c r="AB175" s="207">
        <f t="shared" si="13"/>
        <v>105.73929214477539</v>
      </c>
      <c r="AC175" s="207">
        <f t="shared" si="14"/>
        <v>89.406955718994141</v>
      </c>
      <c r="AD175" s="207">
        <f t="shared" si="15"/>
        <v>0</v>
      </c>
      <c r="AE175" s="207">
        <f t="shared" si="16"/>
        <v>61.18043327331543</v>
      </c>
      <c r="AF175" s="207">
        <f t="shared" si="17"/>
        <v>47.812652587890625</v>
      </c>
    </row>
    <row r="176" spans="3:32">
      <c r="C176" s="43"/>
      <c r="D176" s="43"/>
      <c r="Z176" s="206">
        <f t="shared" si="12"/>
        <v>0</v>
      </c>
      <c r="AA176" s="207">
        <f t="shared" si="12"/>
        <v>0</v>
      </c>
      <c r="AB176" s="207">
        <f t="shared" si="13"/>
        <v>105.73929214477539</v>
      </c>
      <c r="AC176" s="207">
        <f t="shared" si="14"/>
        <v>89.406955718994141</v>
      </c>
      <c r="AD176" s="207">
        <f t="shared" si="15"/>
        <v>0</v>
      </c>
      <c r="AE176" s="207">
        <f t="shared" si="16"/>
        <v>61.18043327331543</v>
      </c>
      <c r="AF176" s="207">
        <f t="shared" si="17"/>
        <v>47.812652587890625</v>
      </c>
    </row>
    <row r="177" spans="3:32">
      <c r="C177" s="43"/>
      <c r="D177" s="43"/>
      <c r="Z177" s="206">
        <f t="shared" si="12"/>
        <v>0</v>
      </c>
      <c r="AA177" s="207">
        <f t="shared" si="12"/>
        <v>0</v>
      </c>
      <c r="AB177" s="207">
        <f t="shared" si="13"/>
        <v>105.73929214477539</v>
      </c>
      <c r="AC177" s="207">
        <f t="shared" si="14"/>
        <v>89.406955718994141</v>
      </c>
      <c r="AD177" s="207">
        <f t="shared" si="15"/>
        <v>0</v>
      </c>
      <c r="AE177" s="207">
        <f t="shared" si="16"/>
        <v>61.18043327331543</v>
      </c>
      <c r="AF177" s="207">
        <f t="shared" si="17"/>
        <v>47.812652587890625</v>
      </c>
    </row>
    <row r="178" spans="3:32">
      <c r="C178" s="43"/>
      <c r="D178" s="43"/>
      <c r="Z178" s="206">
        <f t="shared" si="12"/>
        <v>0</v>
      </c>
      <c r="AA178" s="207">
        <f t="shared" si="12"/>
        <v>0</v>
      </c>
      <c r="AB178" s="207">
        <f t="shared" si="13"/>
        <v>105.73929214477539</v>
      </c>
      <c r="AC178" s="207">
        <f t="shared" si="14"/>
        <v>89.406955718994141</v>
      </c>
      <c r="AD178" s="207">
        <f t="shared" si="15"/>
        <v>0</v>
      </c>
      <c r="AE178" s="207">
        <f t="shared" si="16"/>
        <v>61.18043327331543</v>
      </c>
      <c r="AF178" s="207">
        <f t="shared" si="17"/>
        <v>47.812652587890625</v>
      </c>
    </row>
    <row r="179" spans="3:32">
      <c r="C179" s="43"/>
      <c r="D179" s="43"/>
      <c r="Z179" s="206">
        <f t="shared" si="12"/>
        <v>0</v>
      </c>
      <c r="AA179" s="207">
        <f t="shared" si="12"/>
        <v>0</v>
      </c>
      <c r="AB179" s="207">
        <f t="shared" si="13"/>
        <v>105.73929214477539</v>
      </c>
      <c r="AC179" s="207">
        <f t="shared" si="14"/>
        <v>89.406955718994141</v>
      </c>
      <c r="AD179" s="207">
        <f t="shared" si="15"/>
        <v>0</v>
      </c>
      <c r="AE179" s="207">
        <f t="shared" si="16"/>
        <v>61.18043327331543</v>
      </c>
      <c r="AF179" s="207">
        <f t="shared" si="17"/>
        <v>47.812652587890625</v>
      </c>
    </row>
    <row r="180" spans="3:32">
      <c r="C180" s="43"/>
      <c r="D180" s="43"/>
      <c r="Z180" s="206">
        <f t="shared" si="12"/>
        <v>0</v>
      </c>
      <c r="AA180" s="207">
        <f t="shared" si="12"/>
        <v>0</v>
      </c>
      <c r="AB180" s="207">
        <f t="shared" si="13"/>
        <v>105.73929214477539</v>
      </c>
      <c r="AC180" s="207">
        <f t="shared" si="14"/>
        <v>89.406955718994141</v>
      </c>
      <c r="AD180" s="207">
        <f t="shared" si="15"/>
        <v>0</v>
      </c>
      <c r="AE180" s="207">
        <f t="shared" si="16"/>
        <v>61.18043327331543</v>
      </c>
      <c r="AF180" s="207">
        <f t="shared" si="17"/>
        <v>47.812652587890625</v>
      </c>
    </row>
    <row r="181" spans="3:32">
      <c r="C181" s="43"/>
      <c r="D181" s="43"/>
      <c r="Z181" s="206">
        <f t="shared" si="12"/>
        <v>0</v>
      </c>
      <c r="AA181" s="207">
        <f t="shared" si="12"/>
        <v>0</v>
      </c>
      <c r="AB181" s="207">
        <f t="shared" si="13"/>
        <v>105.73929214477539</v>
      </c>
      <c r="AC181" s="207">
        <f t="shared" si="14"/>
        <v>89.406955718994141</v>
      </c>
      <c r="AD181" s="207">
        <f t="shared" si="15"/>
        <v>0</v>
      </c>
      <c r="AE181" s="207">
        <f t="shared" si="16"/>
        <v>61.18043327331543</v>
      </c>
      <c r="AF181" s="207">
        <f t="shared" si="17"/>
        <v>47.812652587890625</v>
      </c>
    </row>
    <row r="182" spans="3:32">
      <c r="C182" s="43"/>
      <c r="D182" s="43"/>
      <c r="Z182" s="206">
        <f t="shared" si="12"/>
        <v>0</v>
      </c>
      <c r="AA182" s="207">
        <f t="shared" si="12"/>
        <v>0</v>
      </c>
      <c r="AB182" s="207">
        <f t="shared" si="13"/>
        <v>105.73929214477539</v>
      </c>
      <c r="AC182" s="207">
        <f t="shared" si="14"/>
        <v>89.406955718994141</v>
      </c>
      <c r="AD182" s="207">
        <f t="shared" si="15"/>
        <v>0</v>
      </c>
      <c r="AE182" s="207">
        <f t="shared" si="16"/>
        <v>61.18043327331543</v>
      </c>
      <c r="AF182" s="207">
        <f t="shared" si="17"/>
        <v>47.812652587890625</v>
      </c>
    </row>
    <row r="183" spans="3:32">
      <c r="C183" s="43"/>
      <c r="D183" s="43"/>
      <c r="Z183" s="206">
        <f t="shared" si="12"/>
        <v>0</v>
      </c>
      <c r="AA183" s="207">
        <f t="shared" si="12"/>
        <v>0</v>
      </c>
      <c r="AB183" s="207">
        <f t="shared" si="13"/>
        <v>105.73929214477539</v>
      </c>
      <c r="AC183" s="207">
        <f t="shared" si="14"/>
        <v>89.406955718994141</v>
      </c>
      <c r="AD183" s="207">
        <f t="shared" si="15"/>
        <v>0</v>
      </c>
      <c r="AE183" s="207">
        <f t="shared" si="16"/>
        <v>61.18043327331543</v>
      </c>
      <c r="AF183" s="207">
        <f t="shared" si="17"/>
        <v>47.812652587890625</v>
      </c>
    </row>
    <row r="184" spans="3:32">
      <c r="C184" s="43"/>
      <c r="D184" s="43"/>
      <c r="Z184" s="206">
        <f t="shared" si="12"/>
        <v>0</v>
      </c>
      <c r="AA184" s="207">
        <f t="shared" si="12"/>
        <v>0</v>
      </c>
      <c r="AB184" s="207">
        <f t="shared" si="13"/>
        <v>105.73929214477539</v>
      </c>
      <c r="AC184" s="207">
        <f t="shared" si="14"/>
        <v>89.406955718994141</v>
      </c>
      <c r="AD184" s="207">
        <f t="shared" si="15"/>
        <v>0</v>
      </c>
      <c r="AE184" s="207">
        <f t="shared" si="16"/>
        <v>61.18043327331543</v>
      </c>
      <c r="AF184" s="207">
        <f t="shared" si="17"/>
        <v>47.812652587890625</v>
      </c>
    </row>
    <row r="185" spans="3:32">
      <c r="C185" s="43"/>
      <c r="D185" s="43"/>
      <c r="Z185" s="206">
        <f t="shared" si="12"/>
        <v>0</v>
      </c>
      <c r="AA185" s="207">
        <f t="shared" si="12"/>
        <v>0</v>
      </c>
      <c r="AB185" s="207">
        <f t="shared" si="13"/>
        <v>105.73929214477539</v>
      </c>
      <c r="AC185" s="207">
        <f t="shared" si="14"/>
        <v>89.406955718994141</v>
      </c>
      <c r="AD185" s="207">
        <f t="shared" si="15"/>
        <v>0</v>
      </c>
      <c r="AE185" s="207">
        <f t="shared" si="16"/>
        <v>61.18043327331543</v>
      </c>
      <c r="AF185" s="207">
        <f t="shared" si="17"/>
        <v>47.812652587890625</v>
      </c>
    </row>
    <row r="186" spans="3:32">
      <c r="C186" s="43"/>
      <c r="D186" s="43"/>
      <c r="Z186" s="206">
        <f t="shared" si="12"/>
        <v>0</v>
      </c>
      <c r="AA186" s="207">
        <f t="shared" si="12"/>
        <v>0</v>
      </c>
      <c r="AB186" s="207">
        <f t="shared" si="13"/>
        <v>105.73929214477539</v>
      </c>
      <c r="AC186" s="207">
        <f t="shared" si="14"/>
        <v>89.406955718994141</v>
      </c>
      <c r="AD186" s="207">
        <f t="shared" si="15"/>
        <v>0</v>
      </c>
      <c r="AE186" s="207">
        <f t="shared" si="16"/>
        <v>61.18043327331543</v>
      </c>
      <c r="AF186" s="207">
        <f t="shared" si="17"/>
        <v>47.812652587890625</v>
      </c>
    </row>
    <row r="187" spans="3:32">
      <c r="C187" s="43"/>
      <c r="D187" s="43"/>
      <c r="Z187" s="206">
        <f t="shared" si="12"/>
        <v>0</v>
      </c>
      <c r="AA187" s="207">
        <f t="shared" si="12"/>
        <v>0</v>
      </c>
      <c r="AB187" s="207">
        <f t="shared" si="13"/>
        <v>105.73929214477539</v>
      </c>
      <c r="AC187" s="207">
        <f t="shared" si="14"/>
        <v>89.406955718994141</v>
      </c>
      <c r="AD187" s="207">
        <f t="shared" si="15"/>
        <v>0</v>
      </c>
      <c r="AE187" s="207">
        <f t="shared" si="16"/>
        <v>61.18043327331543</v>
      </c>
      <c r="AF187" s="207">
        <f t="shared" si="17"/>
        <v>47.812652587890625</v>
      </c>
    </row>
    <row r="188" spans="3:32">
      <c r="C188" s="43"/>
      <c r="D188" s="43"/>
      <c r="Z188" s="206">
        <f t="shared" si="12"/>
        <v>0</v>
      </c>
      <c r="AA188" s="207">
        <f t="shared" si="12"/>
        <v>0</v>
      </c>
      <c r="AB188" s="207">
        <f t="shared" si="13"/>
        <v>105.73929214477539</v>
      </c>
      <c r="AC188" s="207">
        <f t="shared" si="14"/>
        <v>89.406955718994141</v>
      </c>
      <c r="AD188" s="207">
        <f t="shared" si="15"/>
        <v>0</v>
      </c>
      <c r="AE188" s="207">
        <f t="shared" si="16"/>
        <v>61.18043327331543</v>
      </c>
      <c r="AF188" s="207">
        <f t="shared" si="17"/>
        <v>47.812652587890625</v>
      </c>
    </row>
    <row r="189" spans="3:32">
      <c r="C189" s="43"/>
      <c r="D189" s="43"/>
      <c r="Z189" s="206">
        <f t="shared" si="12"/>
        <v>0</v>
      </c>
      <c r="AA189" s="207">
        <f t="shared" si="12"/>
        <v>0</v>
      </c>
      <c r="AB189" s="207">
        <f t="shared" si="13"/>
        <v>105.73929214477539</v>
      </c>
      <c r="AC189" s="207">
        <f t="shared" si="14"/>
        <v>89.406955718994141</v>
      </c>
      <c r="AD189" s="207">
        <f t="shared" si="15"/>
        <v>0</v>
      </c>
      <c r="AE189" s="207">
        <f t="shared" si="16"/>
        <v>61.18043327331543</v>
      </c>
      <c r="AF189" s="207">
        <f t="shared" si="17"/>
        <v>47.812652587890625</v>
      </c>
    </row>
    <row r="190" spans="3:32">
      <c r="C190" s="43"/>
      <c r="D190" s="43"/>
      <c r="Z190" s="206">
        <f t="shared" si="12"/>
        <v>0</v>
      </c>
      <c r="AA190" s="207">
        <f t="shared" si="12"/>
        <v>0</v>
      </c>
      <c r="AB190" s="207">
        <f t="shared" si="13"/>
        <v>105.73929214477539</v>
      </c>
      <c r="AC190" s="207">
        <f t="shared" si="14"/>
        <v>89.406955718994141</v>
      </c>
      <c r="AD190" s="207">
        <f t="shared" si="15"/>
        <v>0</v>
      </c>
      <c r="AE190" s="207">
        <f t="shared" si="16"/>
        <v>61.18043327331543</v>
      </c>
      <c r="AF190" s="207">
        <f t="shared" si="17"/>
        <v>47.812652587890625</v>
      </c>
    </row>
    <row r="191" spans="3:32">
      <c r="C191" s="43"/>
      <c r="D191" s="43"/>
      <c r="Z191" s="206">
        <f t="shared" si="12"/>
        <v>0</v>
      </c>
      <c r="AA191" s="207">
        <f t="shared" si="12"/>
        <v>0</v>
      </c>
      <c r="AB191" s="207">
        <f t="shared" si="13"/>
        <v>105.73929214477539</v>
      </c>
      <c r="AC191" s="207">
        <f t="shared" si="14"/>
        <v>89.406955718994141</v>
      </c>
      <c r="AD191" s="207">
        <f t="shared" si="15"/>
        <v>0</v>
      </c>
      <c r="AE191" s="207">
        <f t="shared" si="16"/>
        <v>61.18043327331543</v>
      </c>
      <c r="AF191" s="207">
        <f t="shared" si="17"/>
        <v>47.812652587890625</v>
      </c>
    </row>
    <row r="192" spans="3:32">
      <c r="C192" s="43"/>
      <c r="D192" s="43"/>
      <c r="Z192" s="206">
        <f t="shared" si="12"/>
        <v>0</v>
      </c>
      <c r="AA192" s="207">
        <f t="shared" si="12"/>
        <v>0</v>
      </c>
      <c r="AB192" s="207">
        <f t="shared" si="13"/>
        <v>105.73929214477539</v>
      </c>
      <c r="AC192" s="207">
        <f t="shared" si="14"/>
        <v>89.406955718994141</v>
      </c>
      <c r="AD192" s="207">
        <f t="shared" si="15"/>
        <v>0</v>
      </c>
      <c r="AE192" s="207">
        <f t="shared" si="16"/>
        <v>61.18043327331543</v>
      </c>
      <c r="AF192" s="207">
        <f t="shared" si="17"/>
        <v>47.812652587890625</v>
      </c>
    </row>
    <row r="193" spans="3:32">
      <c r="C193" s="43"/>
      <c r="D193" s="43"/>
      <c r="Z193" s="206">
        <f t="shared" si="12"/>
        <v>0</v>
      </c>
      <c r="AA193" s="207">
        <f t="shared" si="12"/>
        <v>0</v>
      </c>
      <c r="AB193" s="207">
        <f t="shared" si="13"/>
        <v>105.73929214477539</v>
      </c>
      <c r="AC193" s="207">
        <f t="shared" si="14"/>
        <v>89.406955718994141</v>
      </c>
      <c r="AD193" s="207">
        <f t="shared" si="15"/>
        <v>0</v>
      </c>
      <c r="AE193" s="207">
        <f t="shared" si="16"/>
        <v>61.18043327331543</v>
      </c>
      <c r="AF193" s="207">
        <f t="shared" si="17"/>
        <v>47.812652587890625</v>
      </c>
    </row>
    <row r="194" spans="3:32">
      <c r="C194" s="43"/>
      <c r="D194" s="43"/>
      <c r="Z194" s="206">
        <f t="shared" si="12"/>
        <v>0</v>
      </c>
      <c r="AA194" s="207">
        <f t="shared" si="12"/>
        <v>0</v>
      </c>
      <c r="AB194" s="207">
        <f t="shared" si="13"/>
        <v>105.73929214477539</v>
      </c>
      <c r="AC194" s="207">
        <f t="shared" si="14"/>
        <v>89.406955718994141</v>
      </c>
      <c r="AD194" s="207">
        <f t="shared" si="15"/>
        <v>0</v>
      </c>
      <c r="AE194" s="207">
        <f t="shared" si="16"/>
        <v>61.18043327331543</v>
      </c>
      <c r="AF194" s="207">
        <f t="shared" si="17"/>
        <v>47.812652587890625</v>
      </c>
    </row>
    <row r="195" spans="3:32">
      <c r="C195" s="43"/>
      <c r="D195" s="43"/>
      <c r="Z195" s="206">
        <f t="shared" si="12"/>
        <v>0</v>
      </c>
      <c r="AA195" s="207">
        <f t="shared" si="12"/>
        <v>0</v>
      </c>
      <c r="AB195" s="207">
        <f t="shared" si="13"/>
        <v>105.73929214477539</v>
      </c>
      <c r="AC195" s="207">
        <f t="shared" si="14"/>
        <v>89.406955718994141</v>
      </c>
      <c r="AD195" s="207">
        <f t="shared" si="15"/>
        <v>0</v>
      </c>
      <c r="AE195" s="207">
        <f t="shared" si="16"/>
        <v>61.18043327331543</v>
      </c>
      <c r="AF195" s="207">
        <f t="shared" si="17"/>
        <v>47.812652587890625</v>
      </c>
    </row>
    <row r="196" spans="3:32">
      <c r="C196" s="43"/>
      <c r="D196" s="43"/>
      <c r="Z196" s="206">
        <f t="shared" si="12"/>
        <v>0</v>
      </c>
      <c r="AA196" s="207">
        <f t="shared" si="12"/>
        <v>0</v>
      </c>
      <c r="AB196" s="207">
        <f t="shared" si="13"/>
        <v>105.73929214477539</v>
      </c>
      <c r="AC196" s="207">
        <f t="shared" si="14"/>
        <v>89.406955718994141</v>
      </c>
      <c r="AD196" s="207">
        <f t="shared" si="15"/>
        <v>0</v>
      </c>
      <c r="AE196" s="207">
        <f t="shared" si="16"/>
        <v>61.18043327331543</v>
      </c>
      <c r="AF196" s="207">
        <f t="shared" si="17"/>
        <v>47.812652587890625</v>
      </c>
    </row>
    <row r="197" spans="3:32">
      <c r="C197" s="43"/>
      <c r="D197" s="43"/>
      <c r="Z197" s="206">
        <f t="shared" si="12"/>
        <v>0</v>
      </c>
      <c r="AA197" s="207">
        <f t="shared" si="12"/>
        <v>0</v>
      </c>
      <c r="AB197" s="207">
        <f t="shared" si="13"/>
        <v>105.73929214477539</v>
      </c>
      <c r="AC197" s="207">
        <f t="shared" si="14"/>
        <v>89.406955718994141</v>
      </c>
      <c r="AD197" s="207">
        <f t="shared" si="15"/>
        <v>0</v>
      </c>
      <c r="AE197" s="207">
        <f t="shared" si="16"/>
        <v>61.18043327331543</v>
      </c>
      <c r="AF197" s="207">
        <f t="shared" si="17"/>
        <v>47.812652587890625</v>
      </c>
    </row>
    <row r="198" spans="3:32">
      <c r="C198" s="43"/>
      <c r="D198" s="43"/>
      <c r="Z198" s="206">
        <f t="shared" si="12"/>
        <v>0</v>
      </c>
      <c r="AA198" s="207">
        <f t="shared" si="12"/>
        <v>0</v>
      </c>
      <c r="AB198" s="207">
        <f t="shared" si="13"/>
        <v>105.73929214477539</v>
      </c>
      <c r="AC198" s="207">
        <f t="shared" si="14"/>
        <v>89.406955718994141</v>
      </c>
      <c r="AD198" s="207">
        <f t="shared" si="15"/>
        <v>0</v>
      </c>
      <c r="AE198" s="207">
        <f t="shared" si="16"/>
        <v>61.18043327331543</v>
      </c>
      <c r="AF198" s="207">
        <f t="shared" si="17"/>
        <v>47.812652587890625</v>
      </c>
    </row>
    <row r="199" spans="3:32">
      <c r="C199" s="43"/>
      <c r="D199" s="43"/>
      <c r="Z199" s="206">
        <f t="shared" si="12"/>
        <v>0</v>
      </c>
      <c r="AA199" s="207">
        <f t="shared" si="12"/>
        <v>0</v>
      </c>
      <c r="AB199" s="207">
        <f t="shared" si="13"/>
        <v>105.73929214477539</v>
      </c>
      <c r="AC199" s="207">
        <f t="shared" si="14"/>
        <v>89.406955718994141</v>
      </c>
      <c r="AD199" s="207">
        <f t="shared" si="15"/>
        <v>0</v>
      </c>
      <c r="AE199" s="207">
        <f t="shared" si="16"/>
        <v>61.18043327331543</v>
      </c>
      <c r="AF199" s="207">
        <f t="shared" si="17"/>
        <v>47.812652587890625</v>
      </c>
    </row>
    <row r="200" spans="3:32">
      <c r="C200" s="43"/>
      <c r="D200" s="43"/>
      <c r="Z200" s="206">
        <f t="shared" si="12"/>
        <v>0</v>
      </c>
      <c r="AA200" s="207">
        <f t="shared" si="12"/>
        <v>0</v>
      </c>
      <c r="AB200" s="207">
        <f t="shared" si="13"/>
        <v>105.73929214477539</v>
      </c>
      <c r="AC200" s="207">
        <f t="shared" si="14"/>
        <v>89.406955718994141</v>
      </c>
      <c r="AD200" s="207">
        <f t="shared" si="15"/>
        <v>0</v>
      </c>
      <c r="AE200" s="207">
        <f t="shared" si="16"/>
        <v>61.18043327331543</v>
      </c>
      <c r="AF200" s="207">
        <f t="shared" si="17"/>
        <v>47.812652587890625</v>
      </c>
    </row>
    <row r="201" spans="3:32">
      <c r="C201" s="43"/>
      <c r="D201" s="43"/>
      <c r="Z201" s="206">
        <f t="shared" si="12"/>
        <v>0</v>
      </c>
      <c r="AA201" s="207">
        <f t="shared" si="12"/>
        <v>0</v>
      </c>
      <c r="AB201" s="207">
        <f t="shared" si="13"/>
        <v>105.73929214477539</v>
      </c>
      <c r="AC201" s="207">
        <f t="shared" si="14"/>
        <v>89.406955718994141</v>
      </c>
      <c r="AD201" s="207">
        <f t="shared" si="15"/>
        <v>0</v>
      </c>
      <c r="AE201" s="207">
        <f t="shared" si="16"/>
        <v>61.18043327331543</v>
      </c>
      <c r="AF201" s="207">
        <f t="shared" si="17"/>
        <v>47.812652587890625</v>
      </c>
    </row>
    <row r="202" spans="3:32">
      <c r="C202" s="43"/>
      <c r="D202" s="43"/>
      <c r="Z202" s="206">
        <f t="shared" si="12"/>
        <v>0</v>
      </c>
      <c r="AA202" s="207">
        <f t="shared" si="12"/>
        <v>0</v>
      </c>
      <c r="AB202" s="207">
        <f t="shared" si="13"/>
        <v>105.73929214477539</v>
      </c>
      <c r="AC202" s="207">
        <f t="shared" si="14"/>
        <v>89.406955718994141</v>
      </c>
      <c r="AD202" s="207">
        <f t="shared" si="15"/>
        <v>0</v>
      </c>
      <c r="AE202" s="207">
        <f t="shared" si="16"/>
        <v>61.18043327331543</v>
      </c>
      <c r="AF202" s="207">
        <f t="shared" si="17"/>
        <v>47.812652587890625</v>
      </c>
    </row>
    <row r="203" spans="3:32">
      <c r="C203" s="43"/>
      <c r="D203" s="43"/>
      <c r="Z203" s="206">
        <f t="shared" si="12"/>
        <v>0</v>
      </c>
      <c r="AA203" s="207">
        <f t="shared" si="12"/>
        <v>0</v>
      </c>
      <c r="AB203" s="207">
        <f t="shared" si="13"/>
        <v>105.73929214477539</v>
      </c>
      <c r="AC203" s="207">
        <f t="shared" si="14"/>
        <v>89.406955718994141</v>
      </c>
      <c r="AD203" s="207">
        <f t="shared" si="15"/>
        <v>0</v>
      </c>
      <c r="AE203" s="207">
        <f t="shared" si="16"/>
        <v>61.18043327331543</v>
      </c>
      <c r="AF203" s="207">
        <f t="shared" si="17"/>
        <v>47.812652587890625</v>
      </c>
    </row>
    <row r="204" spans="3:32">
      <c r="C204" s="43"/>
      <c r="D204" s="43"/>
      <c r="Z204" s="206">
        <f t="shared" si="12"/>
        <v>0</v>
      </c>
      <c r="AA204" s="207">
        <f t="shared" si="12"/>
        <v>0</v>
      </c>
      <c r="AB204" s="207">
        <f t="shared" si="13"/>
        <v>105.73929214477539</v>
      </c>
      <c r="AC204" s="207">
        <f t="shared" si="14"/>
        <v>89.406955718994141</v>
      </c>
      <c r="AD204" s="207">
        <f t="shared" si="15"/>
        <v>0</v>
      </c>
      <c r="AE204" s="207">
        <f t="shared" si="16"/>
        <v>61.18043327331543</v>
      </c>
      <c r="AF204" s="207">
        <f t="shared" si="17"/>
        <v>47.812652587890625</v>
      </c>
    </row>
    <row r="205" spans="3:32">
      <c r="C205" s="43"/>
      <c r="D205" s="43"/>
      <c r="Z205" s="206">
        <f t="shared" si="12"/>
        <v>0</v>
      </c>
      <c r="AA205" s="207">
        <f t="shared" si="12"/>
        <v>0</v>
      </c>
      <c r="AB205" s="207">
        <f t="shared" si="13"/>
        <v>105.73929214477539</v>
      </c>
      <c r="AC205" s="207">
        <f t="shared" si="14"/>
        <v>89.406955718994141</v>
      </c>
      <c r="AD205" s="207">
        <f t="shared" si="15"/>
        <v>0</v>
      </c>
      <c r="AE205" s="207">
        <f t="shared" si="16"/>
        <v>61.18043327331543</v>
      </c>
      <c r="AF205" s="207">
        <f t="shared" si="17"/>
        <v>47.812652587890625</v>
      </c>
    </row>
    <row r="206" spans="3:32">
      <c r="C206" s="43"/>
      <c r="D206" s="43"/>
      <c r="Z206" s="206">
        <f t="shared" si="12"/>
        <v>0</v>
      </c>
      <c r="AA206" s="207">
        <f t="shared" si="12"/>
        <v>0</v>
      </c>
      <c r="AB206" s="207">
        <f t="shared" si="13"/>
        <v>105.73929214477539</v>
      </c>
      <c r="AC206" s="207">
        <f t="shared" si="14"/>
        <v>89.406955718994141</v>
      </c>
      <c r="AD206" s="207">
        <f t="shared" si="15"/>
        <v>0</v>
      </c>
      <c r="AE206" s="207">
        <f t="shared" si="16"/>
        <v>61.18043327331543</v>
      </c>
      <c r="AF206" s="207">
        <f t="shared" si="17"/>
        <v>47.812652587890625</v>
      </c>
    </row>
    <row r="207" spans="3:32">
      <c r="C207" s="43"/>
      <c r="D207" s="43"/>
      <c r="Z207" s="206">
        <f t="shared" ref="Z207:AA270" si="18">B207</f>
        <v>0</v>
      </c>
      <c r="AA207" s="207">
        <f t="shared" si="18"/>
        <v>0</v>
      </c>
      <c r="AB207" s="207">
        <f t="shared" ref="AB207:AB270" si="19">$J$24</f>
        <v>105.73929214477539</v>
      </c>
      <c r="AC207" s="207">
        <f t="shared" ref="AC207:AC270" si="20">$J$25</f>
        <v>89.406955718994141</v>
      </c>
      <c r="AD207" s="207">
        <f t="shared" ref="AD207:AD270" si="21">D207</f>
        <v>0</v>
      </c>
      <c r="AE207" s="207">
        <f t="shared" ref="AE207:AE270" si="22">$K$24</f>
        <v>61.18043327331543</v>
      </c>
      <c r="AF207" s="207">
        <f t="shared" ref="AF207:AF270" si="23">$K$25</f>
        <v>47.812652587890625</v>
      </c>
    </row>
    <row r="208" spans="3:32">
      <c r="C208" s="43"/>
      <c r="D208" s="43"/>
      <c r="Z208" s="206">
        <f t="shared" si="18"/>
        <v>0</v>
      </c>
      <c r="AA208" s="207">
        <f t="shared" si="18"/>
        <v>0</v>
      </c>
      <c r="AB208" s="207">
        <f t="shared" si="19"/>
        <v>105.73929214477539</v>
      </c>
      <c r="AC208" s="207">
        <f t="shared" si="20"/>
        <v>89.406955718994141</v>
      </c>
      <c r="AD208" s="207">
        <f t="shared" si="21"/>
        <v>0</v>
      </c>
      <c r="AE208" s="207">
        <f t="shared" si="22"/>
        <v>61.18043327331543</v>
      </c>
      <c r="AF208" s="207">
        <f t="shared" si="23"/>
        <v>47.812652587890625</v>
      </c>
    </row>
    <row r="209" spans="3:32">
      <c r="C209" s="43"/>
      <c r="D209" s="43"/>
      <c r="Z209" s="206">
        <f t="shared" si="18"/>
        <v>0</v>
      </c>
      <c r="AA209" s="207">
        <f t="shared" si="18"/>
        <v>0</v>
      </c>
      <c r="AB209" s="207">
        <f t="shared" si="19"/>
        <v>105.73929214477539</v>
      </c>
      <c r="AC209" s="207">
        <f t="shared" si="20"/>
        <v>89.406955718994141</v>
      </c>
      <c r="AD209" s="207">
        <f t="shared" si="21"/>
        <v>0</v>
      </c>
      <c r="AE209" s="207">
        <f t="shared" si="22"/>
        <v>61.18043327331543</v>
      </c>
      <c r="AF209" s="207">
        <f t="shared" si="23"/>
        <v>47.812652587890625</v>
      </c>
    </row>
    <row r="210" spans="3:32">
      <c r="C210" s="43"/>
      <c r="D210" s="43"/>
      <c r="Z210" s="206">
        <f t="shared" si="18"/>
        <v>0</v>
      </c>
      <c r="AA210" s="207">
        <f t="shared" si="18"/>
        <v>0</v>
      </c>
      <c r="AB210" s="207">
        <f t="shared" si="19"/>
        <v>105.73929214477539</v>
      </c>
      <c r="AC210" s="207">
        <f t="shared" si="20"/>
        <v>89.406955718994141</v>
      </c>
      <c r="AD210" s="207">
        <f t="shared" si="21"/>
        <v>0</v>
      </c>
      <c r="AE210" s="207">
        <f t="shared" si="22"/>
        <v>61.18043327331543</v>
      </c>
      <c r="AF210" s="207">
        <f t="shared" si="23"/>
        <v>47.812652587890625</v>
      </c>
    </row>
    <row r="211" spans="3:32">
      <c r="C211" s="43"/>
      <c r="D211" s="43"/>
      <c r="Z211" s="206">
        <f t="shared" si="18"/>
        <v>0</v>
      </c>
      <c r="AA211" s="207">
        <f t="shared" si="18"/>
        <v>0</v>
      </c>
      <c r="AB211" s="207">
        <f t="shared" si="19"/>
        <v>105.73929214477539</v>
      </c>
      <c r="AC211" s="207">
        <f t="shared" si="20"/>
        <v>89.406955718994141</v>
      </c>
      <c r="AD211" s="207">
        <f t="shared" si="21"/>
        <v>0</v>
      </c>
      <c r="AE211" s="207">
        <f t="shared" si="22"/>
        <v>61.18043327331543</v>
      </c>
      <c r="AF211" s="207">
        <f t="shared" si="23"/>
        <v>47.812652587890625</v>
      </c>
    </row>
    <row r="212" spans="3:32">
      <c r="C212" s="43"/>
      <c r="D212" s="43"/>
      <c r="Z212" s="206">
        <f t="shared" si="18"/>
        <v>0</v>
      </c>
      <c r="AA212" s="207">
        <f t="shared" si="18"/>
        <v>0</v>
      </c>
      <c r="AB212" s="207">
        <f t="shared" si="19"/>
        <v>105.73929214477539</v>
      </c>
      <c r="AC212" s="207">
        <f t="shared" si="20"/>
        <v>89.406955718994141</v>
      </c>
      <c r="AD212" s="207">
        <f t="shared" si="21"/>
        <v>0</v>
      </c>
      <c r="AE212" s="207">
        <f t="shared" si="22"/>
        <v>61.18043327331543</v>
      </c>
      <c r="AF212" s="207">
        <f t="shared" si="23"/>
        <v>47.812652587890625</v>
      </c>
    </row>
    <row r="213" spans="3:32">
      <c r="C213" s="43"/>
      <c r="D213" s="43"/>
      <c r="Z213" s="206">
        <f t="shared" si="18"/>
        <v>0</v>
      </c>
      <c r="AA213" s="207">
        <f t="shared" si="18"/>
        <v>0</v>
      </c>
      <c r="AB213" s="207">
        <f t="shared" si="19"/>
        <v>105.73929214477539</v>
      </c>
      <c r="AC213" s="207">
        <f t="shared" si="20"/>
        <v>89.406955718994141</v>
      </c>
      <c r="AD213" s="207">
        <f t="shared" si="21"/>
        <v>0</v>
      </c>
      <c r="AE213" s="207">
        <f t="shared" si="22"/>
        <v>61.18043327331543</v>
      </c>
      <c r="AF213" s="207">
        <f t="shared" si="23"/>
        <v>47.812652587890625</v>
      </c>
    </row>
    <row r="214" spans="3:32">
      <c r="C214" s="43"/>
      <c r="D214" s="43"/>
      <c r="Z214" s="206">
        <f t="shared" si="18"/>
        <v>0</v>
      </c>
      <c r="AA214" s="207">
        <f t="shared" si="18"/>
        <v>0</v>
      </c>
      <c r="AB214" s="207">
        <f t="shared" si="19"/>
        <v>105.73929214477539</v>
      </c>
      <c r="AC214" s="207">
        <f t="shared" si="20"/>
        <v>89.406955718994141</v>
      </c>
      <c r="AD214" s="207">
        <f t="shared" si="21"/>
        <v>0</v>
      </c>
      <c r="AE214" s="207">
        <f t="shared" si="22"/>
        <v>61.18043327331543</v>
      </c>
      <c r="AF214" s="207">
        <f t="shared" si="23"/>
        <v>47.812652587890625</v>
      </c>
    </row>
    <row r="215" spans="3:32">
      <c r="C215" s="43"/>
      <c r="D215" s="43"/>
      <c r="Z215" s="206">
        <f t="shared" si="18"/>
        <v>0</v>
      </c>
      <c r="AA215" s="207">
        <f t="shared" si="18"/>
        <v>0</v>
      </c>
      <c r="AB215" s="207">
        <f t="shared" si="19"/>
        <v>105.73929214477539</v>
      </c>
      <c r="AC215" s="207">
        <f t="shared" si="20"/>
        <v>89.406955718994141</v>
      </c>
      <c r="AD215" s="207">
        <f t="shared" si="21"/>
        <v>0</v>
      </c>
      <c r="AE215" s="207">
        <f t="shared" si="22"/>
        <v>61.18043327331543</v>
      </c>
      <c r="AF215" s="207">
        <f t="shared" si="23"/>
        <v>47.812652587890625</v>
      </c>
    </row>
    <row r="216" spans="3:32">
      <c r="C216" s="43"/>
      <c r="D216" s="43"/>
      <c r="Z216" s="206">
        <f t="shared" si="18"/>
        <v>0</v>
      </c>
      <c r="AA216" s="207">
        <f t="shared" si="18"/>
        <v>0</v>
      </c>
      <c r="AB216" s="207">
        <f t="shared" si="19"/>
        <v>105.73929214477539</v>
      </c>
      <c r="AC216" s="207">
        <f t="shared" si="20"/>
        <v>89.406955718994141</v>
      </c>
      <c r="AD216" s="207">
        <f t="shared" si="21"/>
        <v>0</v>
      </c>
      <c r="AE216" s="207">
        <f t="shared" si="22"/>
        <v>61.18043327331543</v>
      </c>
      <c r="AF216" s="207">
        <f t="shared" si="23"/>
        <v>47.812652587890625</v>
      </c>
    </row>
    <row r="217" spans="3:32">
      <c r="C217" s="43"/>
      <c r="D217" s="43"/>
      <c r="Z217" s="206">
        <f t="shared" si="18"/>
        <v>0</v>
      </c>
      <c r="AA217" s="207">
        <f t="shared" si="18"/>
        <v>0</v>
      </c>
      <c r="AB217" s="207">
        <f t="shared" si="19"/>
        <v>105.73929214477539</v>
      </c>
      <c r="AC217" s="207">
        <f t="shared" si="20"/>
        <v>89.406955718994141</v>
      </c>
      <c r="AD217" s="207">
        <f t="shared" si="21"/>
        <v>0</v>
      </c>
      <c r="AE217" s="207">
        <f t="shared" si="22"/>
        <v>61.18043327331543</v>
      </c>
      <c r="AF217" s="207">
        <f t="shared" si="23"/>
        <v>47.812652587890625</v>
      </c>
    </row>
    <row r="218" spans="3:32">
      <c r="C218" s="43"/>
      <c r="D218" s="43"/>
      <c r="Z218" s="206">
        <f t="shared" si="18"/>
        <v>0</v>
      </c>
      <c r="AA218" s="207">
        <f t="shared" si="18"/>
        <v>0</v>
      </c>
      <c r="AB218" s="207">
        <f t="shared" si="19"/>
        <v>105.73929214477539</v>
      </c>
      <c r="AC218" s="207">
        <f t="shared" si="20"/>
        <v>89.406955718994141</v>
      </c>
      <c r="AD218" s="207">
        <f t="shared" si="21"/>
        <v>0</v>
      </c>
      <c r="AE218" s="207">
        <f t="shared" si="22"/>
        <v>61.18043327331543</v>
      </c>
      <c r="AF218" s="207">
        <f t="shared" si="23"/>
        <v>47.812652587890625</v>
      </c>
    </row>
    <row r="219" spans="3:32">
      <c r="C219" s="43"/>
      <c r="D219" s="43"/>
      <c r="Z219" s="206">
        <f t="shared" si="18"/>
        <v>0</v>
      </c>
      <c r="AA219" s="207">
        <f t="shared" si="18"/>
        <v>0</v>
      </c>
      <c r="AB219" s="207">
        <f t="shared" si="19"/>
        <v>105.73929214477539</v>
      </c>
      <c r="AC219" s="207">
        <f t="shared" si="20"/>
        <v>89.406955718994141</v>
      </c>
      <c r="AD219" s="207">
        <f t="shared" si="21"/>
        <v>0</v>
      </c>
      <c r="AE219" s="207">
        <f t="shared" si="22"/>
        <v>61.18043327331543</v>
      </c>
      <c r="AF219" s="207">
        <f t="shared" si="23"/>
        <v>47.812652587890625</v>
      </c>
    </row>
    <row r="220" spans="3:32">
      <c r="C220" s="43"/>
      <c r="D220" s="43"/>
      <c r="Z220" s="206">
        <f t="shared" si="18"/>
        <v>0</v>
      </c>
      <c r="AA220" s="207">
        <f t="shared" si="18"/>
        <v>0</v>
      </c>
      <c r="AB220" s="207">
        <f t="shared" si="19"/>
        <v>105.73929214477539</v>
      </c>
      <c r="AC220" s="207">
        <f t="shared" si="20"/>
        <v>89.406955718994141</v>
      </c>
      <c r="AD220" s="207">
        <f t="shared" si="21"/>
        <v>0</v>
      </c>
      <c r="AE220" s="207">
        <f t="shared" si="22"/>
        <v>61.18043327331543</v>
      </c>
      <c r="AF220" s="207">
        <f t="shared" si="23"/>
        <v>47.812652587890625</v>
      </c>
    </row>
    <row r="221" spans="3:32">
      <c r="C221" s="43"/>
      <c r="D221" s="43"/>
      <c r="Z221" s="206">
        <f t="shared" si="18"/>
        <v>0</v>
      </c>
      <c r="AA221" s="207">
        <f t="shared" si="18"/>
        <v>0</v>
      </c>
      <c r="AB221" s="207">
        <f t="shared" si="19"/>
        <v>105.73929214477539</v>
      </c>
      <c r="AC221" s="207">
        <f t="shared" si="20"/>
        <v>89.406955718994141</v>
      </c>
      <c r="AD221" s="207">
        <f t="shared" si="21"/>
        <v>0</v>
      </c>
      <c r="AE221" s="207">
        <f t="shared" si="22"/>
        <v>61.18043327331543</v>
      </c>
      <c r="AF221" s="207">
        <f t="shared" si="23"/>
        <v>47.812652587890625</v>
      </c>
    </row>
    <row r="222" spans="3:32">
      <c r="C222" s="43"/>
      <c r="D222" s="43"/>
      <c r="Z222" s="206">
        <f t="shared" si="18"/>
        <v>0</v>
      </c>
      <c r="AA222" s="207">
        <f t="shared" si="18"/>
        <v>0</v>
      </c>
      <c r="AB222" s="207">
        <f t="shared" si="19"/>
        <v>105.73929214477539</v>
      </c>
      <c r="AC222" s="207">
        <f t="shared" si="20"/>
        <v>89.406955718994141</v>
      </c>
      <c r="AD222" s="207">
        <f t="shared" si="21"/>
        <v>0</v>
      </c>
      <c r="AE222" s="207">
        <f t="shared" si="22"/>
        <v>61.18043327331543</v>
      </c>
      <c r="AF222" s="207">
        <f t="shared" si="23"/>
        <v>47.812652587890625</v>
      </c>
    </row>
    <row r="223" spans="3:32">
      <c r="C223" s="43"/>
      <c r="D223" s="43"/>
      <c r="Z223" s="206">
        <f t="shared" si="18"/>
        <v>0</v>
      </c>
      <c r="AA223" s="207">
        <f t="shared" si="18"/>
        <v>0</v>
      </c>
      <c r="AB223" s="207">
        <f t="shared" si="19"/>
        <v>105.73929214477539</v>
      </c>
      <c r="AC223" s="207">
        <f t="shared" si="20"/>
        <v>89.406955718994141</v>
      </c>
      <c r="AD223" s="207">
        <f t="shared" si="21"/>
        <v>0</v>
      </c>
      <c r="AE223" s="207">
        <f t="shared" si="22"/>
        <v>61.18043327331543</v>
      </c>
      <c r="AF223" s="207">
        <f t="shared" si="23"/>
        <v>47.812652587890625</v>
      </c>
    </row>
    <row r="224" spans="3:32">
      <c r="C224" s="43"/>
      <c r="D224" s="43"/>
      <c r="Z224" s="206">
        <f t="shared" si="18"/>
        <v>0</v>
      </c>
      <c r="AA224" s="207">
        <f t="shared" si="18"/>
        <v>0</v>
      </c>
      <c r="AB224" s="207">
        <f t="shared" si="19"/>
        <v>105.73929214477539</v>
      </c>
      <c r="AC224" s="207">
        <f t="shared" si="20"/>
        <v>89.406955718994141</v>
      </c>
      <c r="AD224" s="207">
        <f t="shared" si="21"/>
        <v>0</v>
      </c>
      <c r="AE224" s="207">
        <f t="shared" si="22"/>
        <v>61.18043327331543</v>
      </c>
      <c r="AF224" s="207">
        <f t="shared" si="23"/>
        <v>47.812652587890625</v>
      </c>
    </row>
    <row r="225" spans="3:32">
      <c r="C225" s="43"/>
      <c r="D225" s="43"/>
      <c r="Z225" s="206">
        <f t="shared" si="18"/>
        <v>0</v>
      </c>
      <c r="AA225" s="207">
        <f t="shared" si="18"/>
        <v>0</v>
      </c>
      <c r="AB225" s="207">
        <f t="shared" si="19"/>
        <v>105.73929214477539</v>
      </c>
      <c r="AC225" s="207">
        <f t="shared" si="20"/>
        <v>89.406955718994141</v>
      </c>
      <c r="AD225" s="207">
        <f t="shared" si="21"/>
        <v>0</v>
      </c>
      <c r="AE225" s="207">
        <f t="shared" si="22"/>
        <v>61.18043327331543</v>
      </c>
      <c r="AF225" s="207">
        <f t="shared" si="23"/>
        <v>47.812652587890625</v>
      </c>
    </row>
    <row r="226" spans="3:32">
      <c r="C226" s="43"/>
      <c r="D226" s="43"/>
      <c r="Z226" s="206">
        <f t="shared" si="18"/>
        <v>0</v>
      </c>
      <c r="AA226" s="207">
        <f t="shared" si="18"/>
        <v>0</v>
      </c>
      <c r="AB226" s="207">
        <f t="shared" si="19"/>
        <v>105.73929214477539</v>
      </c>
      <c r="AC226" s="207">
        <f t="shared" si="20"/>
        <v>89.406955718994141</v>
      </c>
      <c r="AD226" s="207">
        <f t="shared" si="21"/>
        <v>0</v>
      </c>
      <c r="AE226" s="207">
        <f t="shared" si="22"/>
        <v>61.18043327331543</v>
      </c>
      <c r="AF226" s="207">
        <f t="shared" si="23"/>
        <v>47.812652587890625</v>
      </c>
    </row>
    <row r="227" spans="3:32">
      <c r="C227" s="43"/>
      <c r="D227" s="43"/>
      <c r="Z227" s="206">
        <f t="shared" si="18"/>
        <v>0</v>
      </c>
      <c r="AA227" s="207">
        <f t="shared" si="18"/>
        <v>0</v>
      </c>
      <c r="AB227" s="207">
        <f t="shared" si="19"/>
        <v>105.73929214477539</v>
      </c>
      <c r="AC227" s="207">
        <f t="shared" si="20"/>
        <v>89.406955718994141</v>
      </c>
      <c r="AD227" s="207">
        <f t="shared" si="21"/>
        <v>0</v>
      </c>
      <c r="AE227" s="207">
        <f t="shared" si="22"/>
        <v>61.18043327331543</v>
      </c>
      <c r="AF227" s="207">
        <f t="shared" si="23"/>
        <v>47.812652587890625</v>
      </c>
    </row>
    <row r="228" spans="3:32">
      <c r="C228" s="43"/>
      <c r="D228" s="43"/>
      <c r="Z228" s="206">
        <f t="shared" si="18"/>
        <v>0</v>
      </c>
      <c r="AA228" s="207">
        <f t="shared" si="18"/>
        <v>0</v>
      </c>
      <c r="AB228" s="207">
        <f t="shared" si="19"/>
        <v>105.73929214477539</v>
      </c>
      <c r="AC228" s="207">
        <f t="shared" si="20"/>
        <v>89.406955718994141</v>
      </c>
      <c r="AD228" s="207">
        <f t="shared" si="21"/>
        <v>0</v>
      </c>
      <c r="AE228" s="207">
        <f t="shared" si="22"/>
        <v>61.18043327331543</v>
      </c>
      <c r="AF228" s="207">
        <f t="shared" si="23"/>
        <v>47.812652587890625</v>
      </c>
    </row>
    <row r="229" spans="3:32">
      <c r="C229" s="43"/>
      <c r="D229" s="43"/>
      <c r="Z229" s="206">
        <f t="shared" si="18"/>
        <v>0</v>
      </c>
      <c r="AA229" s="207">
        <f t="shared" si="18"/>
        <v>0</v>
      </c>
      <c r="AB229" s="207">
        <f t="shared" si="19"/>
        <v>105.73929214477539</v>
      </c>
      <c r="AC229" s="207">
        <f t="shared" si="20"/>
        <v>89.406955718994141</v>
      </c>
      <c r="AD229" s="207">
        <f t="shared" si="21"/>
        <v>0</v>
      </c>
      <c r="AE229" s="207">
        <f t="shared" si="22"/>
        <v>61.18043327331543</v>
      </c>
      <c r="AF229" s="207">
        <f t="shared" si="23"/>
        <v>47.812652587890625</v>
      </c>
    </row>
    <row r="230" spans="3:32">
      <c r="C230" s="43"/>
      <c r="D230" s="43"/>
      <c r="Z230" s="206">
        <f t="shared" si="18"/>
        <v>0</v>
      </c>
      <c r="AA230" s="207">
        <f t="shared" si="18"/>
        <v>0</v>
      </c>
      <c r="AB230" s="207">
        <f t="shared" si="19"/>
        <v>105.73929214477539</v>
      </c>
      <c r="AC230" s="207">
        <f t="shared" si="20"/>
        <v>89.406955718994141</v>
      </c>
      <c r="AD230" s="207">
        <f t="shared" si="21"/>
        <v>0</v>
      </c>
      <c r="AE230" s="207">
        <f t="shared" si="22"/>
        <v>61.18043327331543</v>
      </c>
      <c r="AF230" s="207">
        <f t="shared" si="23"/>
        <v>47.812652587890625</v>
      </c>
    </row>
    <row r="231" spans="3:32">
      <c r="C231" s="43"/>
      <c r="D231" s="43"/>
      <c r="Z231" s="206">
        <f t="shared" si="18"/>
        <v>0</v>
      </c>
      <c r="AA231" s="207">
        <f t="shared" si="18"/>
        <v>0</v>
      </c>
      <c r="AB231" s="207">
        <f t="shared" si="19"/>
        <v>105.73929214477539</v>
      </c>
      <c r="AC231" s="207">
        <f t="shared" si="20"/>
        <v>89.406955718994141</v>
      </c>
      <c r="AD231" s="207">
        <f t="shared" si="21"/>
        <v>0</v>
      </c>
      <c r="AE231" s="207">
        <f t="shared" si="22"/>
        <v>61.18043327331543</v>
      </c>
      <c r="AF231" s="207">
        <f t="shared" si="23"/>
        <v>47.812652587890625</v>
      </c>
    </row>
    <row r="232" spans="3:32">
      <c r="C232" s="43"/>
      <c r="D232" s="43"/>
      <c r="Z232" s="206">
        <f t="shared" si="18"/>
        <v>0</v>
      </c>
      <c r="AA232" s="207">
        <f t="shared" si="18"/>
        <v>0</v>
      </c>
      <c r="AB232" s="207">
        <f t="shared" si="19"/>
        <v>105.73929214477539</v>
      </c>
      <c r="AC232" s="207">
        <f t="shared" si="20"/>
        <v>89.406955718994141</v>
      </c>
      <c r="AD232" s="207">
        <f t="shared" si="21"/>
        <v>0</v>
      </c>
      <c r="AE232" s="207">
        <f t="shared" si="22"/>
        <v>61.18043327331543</v>
      </c>
      <c r="AF232" s="207">
        <f t="shared" si="23"/>
        <v>47.812652587890625</v>
      </c>
    </row>
    <row r="233" spans="3:32">
      <c r="C233" s="43"/>
      <c r="D233" s="43"/>
      <c r="Z233" s="206">
        <f t="shared" si="18"/>
        <v>0</v>
      </c>
      <c r="AA233" s="207">
        <f t="shared" si="18"/>
        <v>0</v>
      </c>
      <c r="AB233" s="207">
        <f t="shared" si="19"/>
        <v>105.73929214477539</v>
      </c>
      <c r="AC233" s="207">
        <f t="shared" si="20"/>
        <v>89.406955718994141</v>
      </c>
      <c r="AD233" s="207">
        <f t="shared" si="21"/>
        <v>0</v>
      </c>
      <c r="AE233" s="207">
        <f t="shared" si="22"/>
        <v>61.18043327331543</v>
      </c>
      <c r="AF233" s="207">
        <f t="shared" si="23"/>
        <v>47.812652587890625</v>
      </c>
    </row>
    <row r="234" spans="3:32">
      <c r="C234" s="43"/>
      <c r="D234" s="43"/>
      <c r="Z234" s="206">
        <f t="shared" si="18"/>
        <v>0</v>
      </c>
      <c r="AA234" s="207">
        <f t="shared" si="18"/>
        <v>0</v>
      </c>
      <c r="AB234" s="207">
        <f t="shared" si="19"/>
        <v>105.73929214477539</v>
      </c>
      <c r="AC234" s="207">
        <f t="shared" si="20"/>
        <v>89.406955718994141</v>
      </c>
      <c r="AD234" s="207">
        <f t="shared" si="21"/>
        <v>0</v>
      </c>
      <c r="AE234" s="207">
        <f t="shared" si="22"/>
        <v>61.18043327331543</v>
      </c>
      <c r="AF234" s="207">
        <f t="shared" si="23"/>
        <v>47.812652587890625</v>
      </c>
    </row>
    <row r="235" spans="3:32">
      <c r="C235" s="43"/>
      <c r="D235" s="43"/>
      <c r="Z235" s="206">
        <f t="shared" si="18"/>
        <v>0</v>
      </c>
      <c r="AA235" s="207">
        <f t="shared" si="18"/>
        <v>0</v>
      </c>
      <c r="AB235" s="207">
        <f t="shared" si="19"/>
        <v>105.73929214477539</v>
      </c>
      <c r="AC235" s="207">
        <f t="shared" si="20"/>
        <v>89.406955718994141</v>
      </c>
      <c r="AD235" s="207">
        <f t="shared" si="21"/>
        <v>0</v>
      </c>
      <c r="AE235" s="207">
        <f t="shared" si="22"/>
        <v>61.18043327331543</v>
      </c>
      <c r="AF235" s="207">
        <f t="shared" si="23"/>
        <v>47.812652587890625</v>
      </c>
    </row>
    <row r="236" spans="3:32">
      <c r="C236" s="43"/>
      <c r="D236" s="43"/>
      <c r="Z236" s="206">
        <f t="shared" si="18"/>
        <v>0</v>
      </c>
      <c r="AA236" s="207">
        <f t="shared" si="18"/>
        <v>0</v>
      </c>
      <c r="AB236" s="207">
        <f t="shared" si="19"/>
        <v>105.73929214477539</v>
      </c>
      <c r="AC236" s="207">
        <f t="shared" si="20"/>
        <v>89.406955718994141</v>
      </c>
      <c r="AD236" s="207">
        <f t="shared" si="21"/>
        <v>0</v>
      </c>
      <c r="AE236" s="207">
        <f t="shared" si="22"/>
        <v>61.18043327331543</v>
      </c>
      <c r="AF236" s="207">
        <f t="shared" si="23"/>
        <v>47.812652587890625</v>
      </c>
    </row>
    <row r="237" spans="3:32">
      <c r="C237" s="43"/>
      <c r="D237" s="43"/>
      <c r="Z237" s="206">
        <f t="shared" si="18"/>
        <v>0</v>
      </c>
      <c r="AA237" s="207">
        <f t="shared" si="18"/>
        <v>0</v>
      </c>
      <c r="AB237" s="207">
        <f t="shared" si="19"/>
        <v>105.73929214477539</v>
      </c>
      <c r="AC237" s="207">
        <f t="shared" si="20"/>
        <v>89.406955718994141</v>
      </c>
      <c r="AD237" s="207">
        <f t="shared" si="21"/>
        <v>0</v>
      </c>
      <c r="AE237" s="207">
        <f t="shared" si="22"/>
        <v>61.18043327331543</v>
      </c>
      <c r="AF237" s="207">
        <f t="shared" si="23"/>
        <v>47.812652587890625</v>
      </c>
    </row>
    <row r="238" spans="3:32">
      <c r="C238" s="43"/>
      <c r="D238" s="43"/>
      <c r="Z238" s="206">
        <f t="shared" si="18"/>
        <v>0</v>
      </c>
      <c r="AA238" s="207">
        <f t="shared" si="18"/>
        <v>0</v>
      </c>
      <c r="AB238" s="207">
        <f t="shared" si="19"/>
        <v>105.73929214477539</v>
      </c>
      <c r="AC238" s="207">
        <f t="shared" si="20"/>
        <v>89.406955718994141</v>
      </c>
      <c r="AD238" s="207">
        <f t="shared" si="21"/>
        <v>0</v>
      </c>
      <c r="AE238" s="207">
        <f t="shared" si="22"/>
        <v>61.18043327331543</v>
      </c>
      <c r="AF238" s="207">
        <f t="shared" si="23"/>
        <v>47.812652587890625</v>
      </c>
    </row>
    <row r="239" spans="3:32">
      <c r="C239" s="43"/>
      <c r="D239" s="43"/>
      <c r="Z239" s="206">
        <f t="shared" si="18"/>
        <v>0</v>
      </c>
      <c r="AA239" s="207">
        <f t="shared" si="18"/>
        <v>0</v>
      </c>
      <c r="AB239" s="207">
        <f t="shared" si="19"/>
        <v>105.73929214477539</v>
      </c>
      <c r="AC239" s="207">
        <f t="shared" si="20"/>
        <v>89.406955718994141</v>
      </c>
      <c r="AD239" s="207">
        <f t="shared" si="21"/>
        <v>0</v>
      </c>
      <c r="AE239" s="207">
        <f t="shared" si="22"/>
        <v>61.18043327331543</v>
      </c>
      <c r="AF239" s="207">
        <f t="shared" si="23"/>
        <v>47.812652587890625</v>
      </c>
    </row>
    <row r="240" spans="3:32">
      <c r="C240" s="43"/>
      <c r="D240" s="43"/>
      <c r="Z240" s="206">
        <f t="shared" si="18"/>
        <v>0</v>
      </c>
      <c r="AA240" s="207">
        <f t="shared" si="18"/>
        <v>0</v>
      </c>
      <c r="AB240" s="207">
        <f t="shared" si="19"/>
        <v>105.73929214477539</v>
      </c>
      <c r="AC240" s="207">
        <f t="shared" si="20"/>
        <v>89.406955718994141</v>
      </c>
      <c r="AD240" s="207">
        <f t="shared" si="21"/>
        <v>0</v>
      </c>
      <c r="AE240" s="207">
        <f t="shared" si="22"/>
        <v>61.18043327331543</v>
      </c>
      <c r="AF240" s="207">
        <f t="shared" si="23"/>
        <v>47.812652587890625</v>
      </c>
    </row>
    <row r="241" spans="3:32">
      <c r="C241" s="43"/>
      <c r="D241" s="43"/>
      <c r="Z241" s="206">
        <f t="shared" si="18"/>
        <v>0</v>
      </c>
      <c r="AA241" s="207">
        <f t="shared" si="18"/>
        <v>0</v>
      </c>
      <c r="AB241" s="207">
        <f t="shared" si="19"/>
        <v>105.73929214477539</v>
      </c>
      <c r="AC241" s="207">
        <f t="shared" si="20"/>
        <v>89.406955718994141</v>
      </c>
      <c r="AD241" s="207">
        <f t="shared" si="21"/>
        <v>0</v>
      </c>
      <c r="AE241" s="207">
        <f t="shared" si="22"/>
        <v>61.18043327331543</v>
      </c>
      <c r="AF241" s="207">
        <f t="shared" si="23"/>
        <v>47.812652587890625</v>
      </c>
    </row>
    <row r="242" spans="3:32">
      <c r="C242" s="43"/>
      <c r="D242" s="43"/>
      <c r="Z242" s="206">
        <f t="shared" si="18"/>
        <v>0</v>
      </c>
      <c r="AA242" s="207">
        <f t="shared" si="18"/>
        <v>0</v>
      </c>
      <c r="AB242" s="207">
        <f t="shared" si="19"/>
        <v>105.73929214477539</v>
      </c>
      <c r="AC242" s="207">
        <f t="shared" si="20"/>
        <v>89.406955718994141</v>
      </c>
      <c r="AD242" s="207">
        <f t="shared" si="21"/>
        <v>0</v>
      </c>
      <c r="AE242" s="207">
        <f t="shared" si="22"/>
        <v>61.18043327331543</v>
      </c>
      <c r="AF242" s="207">
        <f t="shared" si="23"/>
        <v>47.812652587890625</v>
      </c>
    </row>
    <row r="243" spans="3:32">
      <c r="C243" s="43"/>
      <c r="D243" s="43"/>
      <c r="Z243" s="206">
        <f t="shared" si="18"/>
        <v>0</v>
      </c>
      <c r="AA243" s="207">
        <f t="shared" si="18"/>
        <v>0</v>
      </c>
      <c r="AB243" s="207">
        <f t="shared" si="19"/>
        <v>105.73929214477539</v>
      </c>
      <c r="AC243" s="207">
        <f t="shared" si="20"/>
        <v>89.406955718994141</v>
      </c>
      <c r="AD243" s="207">
        <f t="shared" si="21"/>
        <v>0</v>
      </c>
      <c r="AE243" s="207">
        <f t="shared" si="22"/>
        <v>61.18043327331543</v>
      </c>
      <c r="AF243" s="207">
        <f t="shared" si="23"/>
        <v>47.812652587890625</v>
      </c>
    </row>
    <row r="244" spans="3:32">
      <c r="C244" s="43"/>
      <c r="D244" s="43"/>
      <c r="Z244" s="206">
        <f t="shared" si="18"/>
        <v>0</v>
      </c>
      <c r="AA244" s="207">
        <f t="shared" si="18"/>
        <v>0</v>
      </c>
      <c r="AB244" s="207">
        <f t="shared" si="19"/>
        <v>105.73929214477539</v>
      </c>
      <c r="AC244" s="207">
        <f t="shared" si="20"/>
        <v>89.406955718994141</v>
      </c>
      <c r="AD244" s="207">
        <f t="shared" si="21"/>
        <v>0</v>
      </c>
      <c r="AE244" s="207">
        <f t="shared" si="22"/>
        <v>61.18043327331543</v>
      </c>
      <c r="AF244" s="207">
        <f t="shared" si="23"/>
        <v>47.812652587890625</v>
      </c>
    </row>
    <row r="245" spans="3:32">
      <c r="C245" s="43"/>
      <c r="D245" s="43"/>
      <c r="Z245" s="206">
        <f t="shared" si="18"/>
        <v>0</v>
      </c>
      <c r="AA245" s="207">
        <f t="shared" si="18"/>
        <v>0</v>
      </c>
      <c r="AB245" s="207">
        <f t="shared" si="19"/>
        <v>105.73929214477539</v>
      </c>
      <c r="AC245" s="207">
        <f t="shared" si="20"/>
        <v>89.406955718994141</v>
      </c>
      <c r="AD245" s="207">
        <f t="shared" si="21"/>
        <v>0</v>
      </c>
      <c r="AE245" s="207">
        <f t="shared" si="22"/>
        <v>61.18043327331543</v>
      </c>
      <c r="AF245" s="207">
        <f t="shared" si="23"/>
        <v>47.812652587890625</v>
      </c>
    </row>
    <row r="246" spans="3:32">
      <c r="C246" s="43"/>
      <c r="D246" s="43"/>
      <c r="Z246" s="206">
        <f t="shared" si="18"/>
        <v>0</v>
      </c>
      <c r="AA246" s="207">
        <f t="shared" si="18"/>
        <v>0</v>
      </c>
      <c r="AB246" s="207">
        <f t="shared" si="19"/>
        <v>105.73929214477539</v>
      </c>
      <c r="AC246" s="207">
        <f t="shared" si="20"/>
        <v>89.406955718994141</v>
      </c>
      <c r="AD246" s="207">
        <f t="shared" si="21"/>
        <v>0</v>
      </c>
      <c r="AE246" s="207">
        <f t="shared" si="22"/>
        <v>61.18043327331543</v>
      </c>
      <c r="AF246" s="207">
        <f t="shared" si="23"/>
        <v>47.812652587890625</v>
      </c>
    </row>
    <row r="247" spans="3:32">
      <c r="C247" s="43"/>
      <c r="D247" s="43"/>
      <c r="Z247" s="206">
        <f t="shared" si="18"/>
        <v>0</v>
      </c>
      <c r="AA247" s="207">
        <f t="shared" si="18"/>
        <v>0</v>
      </c>
      <c r="AB247" s="207">
        <f t="shared" si="19"/>
        <v>105.73929214477539</v>
      </c>
      <c r="AC247" s="207">
        <f t="shared" si="20"/>
        <v>89.406955718994141</v>
      </c>
      <c r="AD247" s="207">
        <f t="shared" si="21"/>
        <v>0</v>
      </c>
      <c r="AE247" s="207">
        <f t="shared" si="22"/>
        <v>61.18043327331543</v>
      </c>
      <c r="AF247" s="207">
        <f t="shared" si="23"/>
        <v>47.812652587890625</v>
      </c>
    </row>
    <row r="248" spans="3:32">
      <c r="C248" s="43"/>
      <c r="D248" s="43"/>
      <c r="Z248" s="206">
        <f t="shared" si="18"/>
        <v>0</v>
      </c>
      <c r="AA248" s="207">
        <f t="shared" si="18"/>
        <v>0</v>
      </c>
      <c r="AB248" s="207">
        <f t="shared" si="19"/>
        <v>105.73929214477539</v>
      </c>
      <c r="AC248" s="207">
        <f t="shared" si="20"/>
        <v>89.406955718994141</v>
      </c>
      <c r="AD248" s="207">
        <f t="shared" si="21"/>
        <v>0</v>
      </c>
      <c r="AE248" s="207">
        <f t="shared" si="22"/>
        <v>61.18043327331543</v>
      </c>
      <c r="AF248" s="207">
        <f t="shared" si="23"/>
        <v>47.812652587890625</v>
      </c>
    </row>
    <row r="249" spans="3:32">
      <c r="C249" s="43"/>
      <c r="D249" s="43"/>
      <c r="Z249" s="206">
        <f t="shared" si="18"/>
        <v>0</v>
      </c>
      <c r="AA249" s="207">
        <f t="shared" si="18"/>
        <v>0</v>
      </c>
      <c r="AB249" s="207">
        <f t="shared" si="19"/>
        <v>105.73929214477539</v>
      </c>
      <c r="AC249" s="207">
        <f t="shared" si="20"/>
        <v>89.406955718994141</v>
      </c>
      <c r="AD249" s="207">
        <f t="shared" si="21"/>
        <v>0</v>
      </c>
      <c r="AE249" s="207">
        <f t="shared" si="22"/>
        <v>61.18043327331543</v>
      </c>
      <c r="AF249" s="207">
        <f t="shared" si="23"/>
        <v>47.812652587890625</v>
      </c>
    </row>
    <row r="250" spans="3:32">
      <c r="C250" s="43"/>
      <c r="D250" s="43"/>
      <c r="Z250" s="206">
        <f t="shared" si="18"/>
        <v>0</v>
      </c>
      <c r="AA250" s="207">
        <f t="shared" si="18"/>
        <v>0</v>
      </c>
      <c r="AB250" s="207">
        <f t="shared" si="19"/>
        <v>105.73929214477539</v>
      </c>
      <c r="AC250" s="207">
        <f t="shared" si="20"/>
        <v>89.406955718994141</v>
      </c>
      <c r="AD250" s="207">
        <f t="shared" si="21"/>
        <v>0</v>
      </c>
      <c r="AE250" s="207">
        <f t="shared" si="22"/>
        <v>61.18043327331543</v>
      </c>
      <c r="AF250" s="207">
        <f t="shared" si="23"/>
        <v>47.812652587890625</v>
      </c>
    </row>
    <row r="251" spans="3:32">
      <c r="C251" s="43"/>
      <c r="D251" s="43"/>
      <c r="Z251" s="206">
        <f t="shared" si="18"/>
        <v>0</v>
      </c>
      <c r="AA251" s="207">
        <f t="shared" si="18"/>
        <v>0</v>
      </c>
      <c r="AB251" s="207">
        <f t="shared" si="19"/>
        <v>105.73929214477539</v>
      </c>
      <c r="AC251" s="207">
        <f t="shared" si="20"/>
        <v>89.406955718994141</v>
      </c>
      <c r="AD251" s="207">
        <f t="shared" si="21"/>
        <v>0</v>
      </c>
      <c r="AE251" s="207">
        <f t="shared" si="22"/>
        <v>61.18043327331543</v>
      </c>
      <c r="AF251" s="207">
        <f t="shared" si="23"/>
        <v>47.812652587890625</v>
      </c>
    </row>
    <row r="252" spans="3:32">
      <c r="C252" s="43"/>
      <c r="D252" s="43"/>
      <c r="Z252" s="206">
        <f t="shared" si="18"/>
        <v>0</v>
      </c>
      <c r="AA252" s="207">
        <f t="shared" si="18"/>
        <v>0</v>
      </c>
      <c r="AB252" s="207">
        <f t="shared" si="19"/>
        <v>105.73929214477539</v>
      </c>
      <c r="AC252" s="207">
        <f t="shared" si="20"/>
        <v>89.406955718994141</v>
      </c>
      <c r="AD252" s="207">
        <f t="shared" si="21"/>
        <v>0</v>
      </c>
      <c r="AE252" s="207">
        <f t="shared" si="22"/>
        <v>61.18043327331543</v>
      </c>
      <c r="AF252" s="207">
        <f t="shared" si="23"/>
        <v>47.812652587890625</v>
      </c>
    </row>
    <row r="253" spans="3:32">
      <c r="C253" s="43"/>
      <c r="D253" s="43"/>
      <c r="Z253" s="206">
        <f t="shared" si="18"/>
        <v>0</v>
      </c>
      <c r="AA253" s="207">
        <f t="shared" si="18"/>
        <v>0</v>
      </c>
      <c r="AB253" s="207">
        <f t="shared" si="19"/>
        <v>105.73929214477539</v>
      </c>
      <c r="AC253" s="207">
        <f t="shared" si="20"/>
        <v>89.406955718994141</v>
      </c>
      <c r="AD253" s="207">
        <f t="shared" si="21"/>
        <v>0</v>
      </c>
      <c r="AE253" s="207">
        <f t="shared" si="22"/>
        <v>61.18043327331543</v>
      </c>
      <c r="AF253" s="207">
        <f t="shared" si="23"/>
        <v>47.812652587890625</v>
      </c>
    </row>
    <row r="254" spans="3:32">
      <c r="C254" s="43"/>
      <c r="D254" s="43"/>
      <c r="Z254" s="206">
        <f t="shared" si="18"/>
        <v>0</v>
      </c>
      <c r="AA254" s="207">
        <f t="shared" si="18"/>
        <v>0</v>
      </c>
      <c r="AB254" s="207">
        <f t="shared" si="19"/>
        <v>105.73929214477539</v>
      </c>
      <c r="AC254" s="207">
        <f t="shared" si="20"/>
        <v>89.406955718994141</v>
      </c>
      <c r="AD254" s="207">
        <f t="shared" si="21"/>
        <v>0</v>
      </c>
      <c r="AE254" s="207">
        <f t="shared" si="22"/>
        <v>61.18043327331543</v>
      </c>
      <c r="AF254" s="207">
        <f t="shared" si="23"/>
        <v>47.812652587890625</v>
      </c>
    </row>
    <row r="255" spans="3:32">
      <c r="C255" s="43"/>
      <c r="D255" s="43"/>
      <c r="Z255" s="206">
        <f t="shared" si="18"/>
        <v>0</v>
      </c>
      <c r="AA255" s="207">
        <f t="shared" si="18"/>
        <v>0</v>
      </c>
      <c r="AB255" s="207">
        <f t="shared" si="19"/>
        <v>105.73929214477539</v>
      </c>
      <c r="AC255" s="207">
        <f t="shared" si="20"/>
        <v>89.406955718994141</v>
      </c>
      <c r="AD255" s="207">
        <f t="shared" si="21"/>
        <v>0</v>
      </c>
      <c r="AE255" s="207">
        <f t="shared" si="22"/>
        <v>61.18043327331543</v>
      </c>
      <c r="AF255" s="207">
        <f t="shared" si="23"/>
        <v>47.812652587890625</v>
      </c>
    </row>
    <row r="256" spans="3:32">
      <c r="C256" s="43"/>
      <c r="D256" s="43"/>
      <c r="Z256" s="206">
        <f t="shared" si="18"/>
        <v>0</v>
      </c>
      <c r="AA256" s="207">
        <f t="shared" si="18"/>
        <v>0</v>
      </c>
      <c r="AB256" s="207">
        <f t="shared" si="19"/>
        <v>105.73929214477539</v>
      </c>
      <c r="AC256" s="207">
        <f t="shared" si="20"/>
        <v>89.406955718994141</v>
      </c>
      <c r="AD256" s="207">
        <f t="shared" si="21"/>
        <v>0</v>
      </c>
      <c r="AE256" s="207">
        <f t="shared" si="22"/>
        <v>61.18043327331543</v>
      </c>
      <c r="AF256" s="207">
        <f t="shared" si="23"/>
        <v>47.812652587890625</v>
      </c>
    </row>
    <row r="257" spans="3:32">
      <c r="C257" s="43"/>
      <c r="D257" s="43"/>
      <c r="Z257" s="206">
        <f t="shared" si="18"/>
        <v>0</v>
      </c>
      <c r="AA257" s="207">
        <f t="shared" si="18"/>
        <v>0</v>
      </c>
      <c r="AB257" s="207">
        <f t="shared" si="19"/>
        <v>105.73929214477539</v>
      </c>
      <c r="AC257" s="207">
        <f t="shared" si="20"/>
        <v>89.406955718994141</v>
      </c>
      <c r="AD257" s="207">
        <f t="shared" si="21"/>
        <v>0</v>
      </c>
      <c r="AE257" s="207">
        <f t="shared" si="22"/>
        <v>61.18043327331543</v>
      </c>
      <c r="AF257" s="207">
        <f t="shared" si="23"/>
        <v>47.812652587890625</v>
      </c>
    </row>
    <row r="258" spans="3:32">
      <c r="C258" s="43"/>
      <c r="D258" s="43"/>
      <c r="Z258" s="206">
        <f t="shared" si="18"/>
        <v>0</v>
      </c>
      <c r="AA258" s="207">
        <f t="shared" si="18"/>
        <v>0</v>
      </c>
      <c r="AB258" s="207">
        <f t="shared" si="19"/>
        <v>105.73929214477539</v>
      </c>
      <c r="AC258" s="207">
        <f t="shared" si="20"/>
        <v>89.406955718994141</v>
      </c>
      <c r="AD258" s="207">
        <f t="shared" si="21"/>
        <v>0</v>
      </c>
      <c r="AE258" s="207">
        <f t="shared" si="22"/>
        <v>61.18043327331543</v>
      </c>
      <c r="AF258" s="207">
        <f t="shared" si="23"/>
        <v>47.812652587890625</v>
      </c>
    </row>
    <row r="259" spans="3:32">
      <c r="C259" s="43"/>
      <c r="D259" s="43"/>
      <c r="Z259" s="206">
        <f t="shared" si="18"/>
        <v>0</v>
      </c>
      <c r="AA259" s="207">
        <f t="shared" si="18"/>
        <v>0</v>
      </c>
      <c r="AB259" s="207">
        <f t="shared" si="19"/>
        <v>105.73929214477539</v>
      </c>
      <c r="AC259" s="207">
        <f t="shared" si="20"/>
        <v>89.406955718994141</v>
      </c>
      <c r="AD259" s="207">
        <f t="shared" si="21"/>
        <v>0</v>
      </c>
      <c r="AE259" s="207">
        <f t="shared" si="22"/>
        <v>61.18043327331543</v>
      </c>
      <c r="AF259" s="207">
        <f t="shared" si="23"/>
        <v>47.812652587890625</v>
      </c>
    </row>
    <row r="260" spans="3:32">
      <c r="C260" s="43"/>
      <c r="D260" s="43"/>
      <c r="Z260" s="206">
        <f t="shared" si="18"/>
        <v>0</v>
      </c>
      <c r="AA260" s="207">
        <f t="shared" si="18"/>
        <v>0</v>
      </c>
      <c r="AB260" s="207">
        <f t="shared" si="19"/>
        <v>105.73929214477539</v>
      </c>
      <c r="AC260" s="207">
        <f t="shared" si="20"/>
        <v>89.406955718994141</v>
      </c>
      <c r="AD260" s="207">
        <f t="shared" si="21"/>
        <v>0</v>
      </c>
      <c r="AE260" s="207">
        <f t="shared" si="22"/>
        <v>61.18043327331543</v>
      </c>
      <c r="AF260" s="207">
        <f t="shared" si="23"/>
        <v>47.812652587890625</v>
      </c>
    </row>
    <row r="261" spans="3:32">
      <c r="C261" s="43"/>
      <c r="D261" s="43"/>
      <c r="Z261" s="206">
        <f t="shared" si="18"/>
        <v>0</v>
      </c>
      <c r="AA261" s="207">
        <f t="shared" si="18"/>
        <v>0</v>
      </c>
      <c r="AB261" s="207">
        <f t="shared" si="19"/>
        <v>105.73929214477539</v>
      </c>
      <c r="AC261" s="207">
        <f t="shared" si="20"/>
        <v>89.406955718994141</v>
      </c>
      <c r="AD261" s="207">
        <f t="shared" si="21"/>
        <v>0</v>
      </c>
      <c r="AE261" s="207">
        <f t="shared" si="22"/>
        <v>61.18043327331543</v>
      </c>
      <c r="AF261" s="207">
        <f t="shared" si="23"/>
        <v>47.812652587890625</v>
      </c>
    </row>
    <row r="262" spans="3:32">
      <c r="C262" s="43"/>
      <c r="D262" s="43"/>
      <c r="Z262" s="206">
        <f t="shared" si="18"/>
        <v>0</v>
      </c>
      <c r="AA262" s="207">
        <f t="shared" si="18"/>
        <v>0</v>
      </c>
      <c r="AB262" s="207">
        <f t="shared" si="19"/>
        <v>105.73929214477539</v>
      </c>
      <c r="AC262" s="207">
        <f t="shared" si="20"/>
        <v>89.406955718994141</v>
      </c>
      <c r="AD262" s="207">
        <f t="shared" si="21"/>
        <v>0</v>
      </c>
      <c r="AE262" s="207">
        <f t="shared" si="22"/>
        <v>61.18043327331543</v>
      </c>
      <c r="AF262" s="207">
        <f t="shared" si="23"/>
        <v>47.812652587890625</v>
      </c>
    </row>
    <row r="263" spans="3:32">
      <c r="C263" s="43"/>
      <c r="D263" s="43"/>
      <c r="Z263" s="206">
        <f t="shared" si="18"/>
        <v>0</v>
      </c>
      <c r="AA263" s="207">
        <f t="shared" si="18"/>
        <v>0</v>
      </c>
      <c r="AB263" s="207">
        <f t="shared" si="19"/>
        <v>105.73929214477539</v>
      </c>
      <c r="AC263" s="207">
        <f t="shared" si="20"/>
        <v>89.406955718994141</v>
      </c>
      <c r="AD263" s="207">
        <f t="shared" si="21"/>
        <v>0</v>
      </c>
      <c r="AE263" s="207">
        <f t="shared" si="22"/>
        <v>61.18043327331543</v>
      </c>
      <c r="AF263" s="207">
        <f t="shared" si="23"/>
        <v>47.812652587890625</v>
      </c>
    </row>
    <row r="264" spans="3:32">
      <c r="C264" s="43"/>
      <c r="D264" s="43"/>
      <c r="Z264" s="206">
        <f t="shared" si="18"/>
        <v>0</v>
      </c>
      <c r="AA264" s="207">
        <f t="shared" si="18"/>
        <v>0</v>
      </c>
      <c r="AB264" s="207">
        <f t="shared" si="19"/>
        <v>105.73929214477539</v>
      </c>
      <c r="AC264" s="207">
        <f t="shared" si="20"/>
        <v>89.406955718994141</v>
      </c>
      <c r="AD264" s="207">
        <f t="shared" si="21"/>
        <v>0</v>
      </c>
      <c r="AE264" s="207">
        <f t="shared" si="22"/>
        <v>61.18043327331543</v>
      </c>
      <c r="AF264" s="207">
        <f t="shared" si="23"/>
        <v>47.812652587890625</v>
      </c>
    </row>
    <row r="265" spans="3:32">
      <c r="C265" s="43"/>
      <c r="D265" s="43"/>
      <c r="Z265" s="206">
        <f t="shared" si="18"/>
        <v>0</v>
      </c>
      <c r="AA265" s="207">
        <f t="shared" si="18"/>
        <v>0</v>
      </c>
      <c r="AB265" s="207">
        <f t="shared" si="19"/>
        <v>105.73929214477539</v>
      </c>
      <c r="AC265" s="207">
        <f t="shared" si="20"/>
        <v>89.406955718994141</v>
      </c>
      <c r="AD265" s="207">
        <f t="shared" si="21"/>
        <v>0</v>
      </c>
      <c r="AE265" s="207">
        <f t="shared" si="22"/>
        <v>61.18043327331543</v>
      </c>
      <c r="AF265" s="207">
        <f t="shared" si="23"/>
        <v>47.812652587890625</v>
      </c>
    </row>
    <row r="266" spans="3:32">
      <c r="C266" s="43"/>
      <c r="D266" s="43"/>
      <c r="Z266" s="206">
        <f t="shared" si="18"/>
        <v>0</v>
      </c>
      <c r="AA266" s="207">
        <f t="shared" si="18"/>
        <v>0</v>
      </c>
      <c r="AB266" s="207">
        <f t="shared" si="19"/>
        <v>105.73929214477539</v>
      </c>
      <c r="AC266" s="207">
        <f t="shared" si="20"/>
        <v>89.406955718994141</v>
      </c>
      <c r="AD266" s="207">
        <f t="shared" si="21"/>
        <v>0</v>
      </c>
      <c r="AE266" s="207">
        <f t="shared" si="22"/>
        <v>61.18043327331543</v>
      </c>
      <c r="AF266" s="207">
        <f t="shared" si="23"/>
        <v>47.812652587890625</v>
      </c>
    </row>
    <row r="267" spans="3:32">
      <c r="C267" s="43"/>
      <c r="D267" s="43"/>
      <c r="Z267" s="206">
        <f t="shared" si="18"/>
        <v>0</v>
      </c>
      <c r="AA267" s="207">
        <f t="shared" si="18"/>
        <v>0</v>
      </c>
      <c r="AB267" s="207">
        <f t="shared" si="19"/>
        <v>105.73929214477539</v>
      </c>
      <c r="AC267" s="207">
        <f t="shared" si="20"/>
        <v>89.406955718994141</v>
      </c>
      <c r="AD267" s="207">
        <f t="shared" si="21"/>
        <v>0</v>
      </c>
      <c r="AE267" s="207">
        <f t="shared" si="22"/>
        <v>61.18043327331543</v>
      </c>
      <c r="AF267" s="207">
        <f t="shared" si="23"/>
        <v>47.812652587890625</v>
      </c>
    </row>
    <row r="268" spans="3:32">
      <c r="C268" s="43"/>
      <c r="D268" s="43"/>
      <c r="Z268" s="206">
        <f t="shared" si="18"/>
        <v>0</v>
      </c>
      <c r="AA268" s="207">
        <f t="shared" si="18"/>
        <v>0</v>
      </c>
      <c r="AB268" s="207">
        <f t="shared" si="19"/>
        <v>105.73929214477539</v>
      </c>
      <c r="AC268" s="207">
        <f t="shared" si="20"/>
        <v>89.406955718994141</v>
      </c>
      <c r="AD268" s="207">
        <f t="shared" si="21"/>
        <v>0</v>
      </c>
      <c r="AE268" s="207">
        <f t="shared" si="22"/>
        <v>61.18043327331543</v>
      </c>
      <c r="AF268" s="207">
        <f t="shared" si="23"/>
        <v>47.812652587890625</v>
      </c>
    </row>
    <row r="269" spans="3:32">
      <c r="C269" s="43"/>
      <c r="D269" s="43"/>
      <c r="Z269" s="206">
        <f t="shared" si="18"/>
        <v>0</v>
      </c>
      <c r="AA269" s="207">
        <f t="shared" si="18"/>
        <v>0</v>
      </c>
      <c r="AB269" s="207">
        <f t="shared" si="19"/>
        <v>105.73929214477539</v>
      </c>
      <c r="AC269" s="207">
        <f t="shared" si="20"/>
        <v>89.406955718994141</v>
      </c>
      <c r="AD269" s="207">
        <f t="shared" si="21"/>
        <v>0</v>
      </c>
      <c r="AE269" s="207">
        <f t="shared" si="22"/>
        <v>61.18043327331543</v>
      </c>
      <c r="AF269" s="207">
        <f t="shared" si="23"/>
        <v>47.812652587890625</v>
      </c>
    </row>
    <row r="270" spans="3:32">
      <c r="C270" s="43"/>
      <c r="D270" s="43"/>
      <c r="Z270" s="206">
        <f t="shared" si="18"/>
        <v>0</v>
      </c>
      <c r="AA270" s="207">
        <f t="shared" si="18"/>
        <v>0</v>
      </c>
      <c r="AB270" s="207">
        <f t="shared" si="19"/>
        <v>105.73929214477539</v>
      </c>
      <c r="AC270" s="207">
        <f t="shared" si="20"/>
        <v>89.406955718994141</v>
      </c>
      <c r="AD270" s="207">
        <f t="shared" si="21"/>
        <v>0</v>
      </c>
      <c r="AE270" s="207">
        <f t="shared" si="22"/>
        <v>61.18043327331543</v>
      </c>
      <c r="AF270" s="207">
        <f t="shared" si="23"/>
        <v>47.812652587890625</v>
      </c>
    </row>
    <row r="271" spans="3:32">
      <c r="C271" s="43"/>
      <c r="D271" s="43"/>
      <c r="Z271" s="206">
        <f t="shared" ref="Z271:AA334" si="24">B271</f>
        <v>0</v>
      </c>
      <c r="AA271" s="207">
        <f t="shared" si="24"/>
        <v>0</v>
      </c>
      <c r="AB271" s="207">
        <f t="shared" ref="AB271:AB334" si="25">$J$24</f>
        <v>105.73929214477539</v>
      </c>
      <c r="AC271" s="207">
        <f t="shared" ref="AC271:AC334" si="26">$J$25</f>
        <v>89.406955718994141</v>
      </c>
      <c r="AD271" s="207">
        <f t="shared" ref="AD271:AD334" si="27">D271</f>
        <v>0</v>
      </c>
      <c r="AE271" s="207">
        <f t="shared" ref="AE271:AE334" si="28">$K$24</f>
        <v>61.18043327331543</v>
      </c>
      <c r="AF271" s="207">
        <f t="shared" ref="AF271:AF334" si="29">$K$25</f>
        <v>47.812652587890625</v>
      </c>
    </row>
    <row r="272" spans="3:32">
      <c r="C272" s="43"/>
      <c r="D272" s="43"/>
      <c r="Z272" s="206">
        <f t="shared" si="24"/>
        <v>0</v>
      </c>
      <c r="AA272" s="207">
        <f t="shared" si="24"/>
        <v>0</v>
      </c>
      <c r="AB272" s="207">
        <f t="shared" si="25"/>
        <v>105.73929214477539</v>
      </c>
      <c r="AC272" s="207">
        <f t="shared" si="26"/>
        <v>89.406955718994141</v>
      </c>
      <c r="AD272" s="207">
        <f t="shared" si="27"/>
        <v>0</v>
      </c>
      <c r="AE272" s="207">
        <f t="shared" si="28"/>
        <v>61.18043327331543</v>
      </c>
      <c r="AF272" s="207">
        <f t="shared" si="29"/>
        <v>47.812652587890625</v>
      </c>
    </row>
    <row r="273" spans="3:32">
      <c r="C273" s="43"/>
      <c r="D273" s="43"/>
      <c r="Z273" s="206">
        <f t="shared" si="24"/>
        <v>0</v>
      </c>
      <c r="AA273" s="207">
        <f t="shared" si="24"/>
        <v>0</v>
      </c>
      <c r="AB273" s="207">
        <f t="shared" si="25"/>
        <v>105.73929214477539</v>
      </c>
      <c r="AC273" s="207">
        <f t="shared" si="26"/>
        <v>89.406955718994141</v>
      </c>
      <c r="AD273" s="207">
        <f t="shared" si="27"/>
        <v>0</v>
      </c>
      <c r="AE273" s="207">
        <f t="shared" si="28"/>
        <v>61.18043327331543</v>
      </c>
      <c r="AF273" s="207">
        <f t="shared" si="29"/>
        <v>47.812652587890625</v>
      </c>
    </row>
    <row r="274" spans="3:32">
      <c r="C274" s="43"/>
      <c r="D274" s="43"/>
      <c r="Z274" s="206">
        <f t="shared" si="24"/>
        <v>0</v>
      </c>
      <c r="AA274" s="207">
        <f t="shared" si="24"/>
        <v>0</v>
      </c>
      <c r="AB274" s="207">
        <f t="shared" si="25"/>
        <v>105.73929214477539</v>
      </c>
      <c r="AC274" s="207">
        <f t="shared" si="26"/>
        <v>89.406955718994141</v>
      </c>
      <c r="AD274" s="207">
        <f t="shared" si="27"/>
        <v>0</v>
      </c>
      <c r="AE274" s="207">
        <f t="shared" si="28"/>
        <v>61.18043327331543</v>
      </c>
      <c r="AF274" s="207">
        <f t="shared" si="29"/>
        <v>47.812652587890625</v>
      </c>
    </row>
    <row r="275" spans="3:32">
      <c r="C275" s="43"/>
      <c r="D275" s="43"/>
      <c r="Z275" s="206">
        <f t="shared" si="24"/>
        <v>0</v>
      </c>
      <c r="AA275" s="207">
        <f t="shared" si="24"/>
        <v>0</v>
      </c>
      <c r="AB275" s="207">
        <f t="shared" si="25"/>
        <v>105.73929214477539</v>
      </c>
      <c r="AC275" s="207">
        <f t="shared" si="26"/>
        <v>89.406955718994141</v>
      </c>
      <c r="AD275" s="207">
        <f t="shared" si="27"/>
        <v>0</v>
      </c>
      <c r="AE275" s="207">
        <f t="shared" si="28"/>
        <v>61.18043327331543</v>
      </c>
      <c r="AF275" s="207">
        <f t="shared" si="29"/>
        <v>47.812652587890625</v>
      </c>
    </row>
    <row r="276" spans="3:32">
      <c r="C276" s="43"/>
      <c r="D276" s="43"/>
      <c r="Z276" s="206">
        <f t="shared" si="24"/>
        <v>0</v>
      </c>
      <c r="AA276" s="207">
        <f t="shared" si="24"/>
        <v>0</v>
      </c>
      <c r="AB276" s="207">
        <f t="shared" si="25"/>
        <v>105.73929214477539</v>
      </c>
      <c r="AC276" s="207">
        <f t="shared" si="26"/>
        <v>89.406955718994141</v>
      </c>
      <c r="AD276" s="207">
        <f t="shared" si="27"/>
        <v>0</v>
      </c>
      <c r="AE276" s="207">
        <f t="shared" si="28"/>
        <v>61.18043327331543</v>
      </c>
      <c r="AF276" s="207">
        <f t="shared" si="29"/>
        <v>47.812652587890625</v>
      </c>
    </row>
    <row r="277" spans="3:32">
      <c r="C277" s="43"/>
      <c r="D277" s="43"/>
      <c r="Z277" s="206">
        <f t="shared" si="24"/>
        <v>0</v>
      </c>
      <c r="AA277" s="207">
        <f t="shared" si="24"/>
        <v>0</v>
      </c>
      <c r="AB277" s="207">
        <f t="shared" si="25"/>
        <v>105.73929214477539</v>
      </c>
      <c r="AC277" s="207">
        <f t="shared" si="26"/>
        <v>89.406955718994141</v>
      </c>
      <c r="AD277" s="207">
        <f t="shared" si="27"/>
        <v>0</v>
      </c>
      <c r="AE277" s="207">
        <f t="shared" si="28"/>
        <v>61.18043327331543</v>
      </c>
      <c r="AF277" s="207">
        <f t="shared" si="29"/>
        <v>47.812652587890625</v>
      </c>
    </row>
    <row r="278" spans="3:32">
      <c r="C278" s="43"/>
      <c r="D278" s="43"/>
      <c r="Z278" s="206">
        <f t="shared" si="24"/>
        <v>0</v>
      </c>
      <c r="AA278" s="207">
        <f t="shared" si="24"/>
        <v>0</v>
      </c>
      <c r="AB278" s="207">
        <f t="shared" si="25"/>
        <v>105.73929214477539</v>
      </c>
      <c r="AC278" s="207">
        <f t="shared" si="26"/>
        <v>89.406955718994141</v>
      </c>
      <c r="AD278" s="207">
        <f t="shared" si="27"/>
        <v>0</v>
      </c>
      <c r="AE278" s="207">
        <f t="shared" si="28"/>
        <v>61.18043327331543</v>
      </c>
      <c r="AF278" s="207">
        <f t="shared" si="29"/>
        <v>47.812652587890625</v>
      </c>
    </row>
    <row r="279" spans="3:32">
      <c r="C279" s="43"/>
      <c r="D279" s="43"/>
      <c r="Z279" s="206">
        <f t="shared" si="24"/>
        <v>0</v>
      </c>
      <c r="AA279" s="207">
        <f t="shared" si="24"/>
        <v>0</v>
      </c>
      <c r="AB279" s="207">
        <f t="shared" si="25"/>
        <v>105.73929214477539</v>
      </c>
      <c r="AC279" s="207">
        <f t="shared" si="26"/>
        <v>89.406955718994141</v>
      </c>
      <c r="AD279" s="207">
        <f t="shared" si="27"/>
        <v>0</v>
      </c>
      <c r="AE279" s="207">
        <f t="shared" si="28"/>
        <v>61.18043327331543</v>
      </c>
      <c r="AF279" s="207">
        <f t="shared" si="29"/>
        <v>47.812652587890625</v>
      </c>
    </row>
    <row r="280" spans="3:32">
      <c r="C280" s="43"/>
      <c r="D280" s="43"/>
      <c r="Z280" s="206">
        <f t="shared" si="24"/>
        <v>0</v>
      </c>
      <c r="AA280" s="207">
        <f t="shared" si="24"/>
        <v>0</v>
      </c>
      <c r="AB280" s="207">
        <f t="shared" si="25"/>
        <v>105.73929214477539</v>
      </c>
      <c r="AC280" s="207">
        <f t="shared" si="26"/>
        <v>89.406955718994141</v>
      </c>
      <c r="AD280" s="207">
        <f t="shared" si="27"/>
        <v>0</v>
      </c>
      <c r="AE280" s="207">
        <f t="shared" si="28"/>
        <v>61.18043327331543</v>
      </c>
      <c r="AF280" s="207">
        <f t="shared" si="29"/>
        <v>47.812652587890625</v>
      </c>
    </row>
    <row r="281" spans="3:32">
      <c r="C281" s="43"/>
      <c r="D281" s="43"/>
      <c r="Z281" s="206">
        <f t="shared" si="24"/>
        <v>0</v>
      </c>
      <c r="AA281" s="207">
        <f t="shared" si="24"/>
        <v>0</v>
      </c>
      <c r="AB281" s="207">
        <f t="shared" si="25"/>
        <v>105.73929214477539</v>
      </c>
      <c r="AC281" s="207">
        <f t="shared" si="26"/>
        <v>89.406955718994141</v>
      </c>
      <c r="AD281" s="207">
        <f t="shared" si="27"/>
        <v>0</v>
      </c>
      <c r="AE281" s="207">
        <f t="shared" si="28"/>
        <v>61.18043327331543</v>
      </c>
      <c r="AF281" s="207">
        <f t="shared" si="29"/>
        <v>47.812652587890625</v>
      </c>
    </row>
    <row r="282" spans="3:32">
      <c r="C282" s="43"/>
      <c r="D282" s="43"/>
      <c r="Z282" s="206">
        <f t="shared" si="24"/>
        <v>0</v>
      </c>
      <c r="AA282" s="207">
        <f t="shared" si="24"/>
        <v>0</v>
      </c>
      <c r="AB282" s="207">
        <f t="shared" si="25"/>
        <v>105.73929214477539</v>
      </c>
      <c r="AC282" s="207">
        <f t="shared" si="26"/>
        <v>89.406955718994141</v>
      </c>
      <c r="AD282" s="207">
        <f t="shared" si="27"/>
        <v>0</v>
      </c>
      <c r="AE282" s="207">
        <f t="shared" si="28"/>
        <v>61.18043327331543</v>
      </c>
      <c r="AF282" s="207">
        <f t="shared" si="29"/>
        <v>47.812652587890625</v>
      </c>
    </row>
    <row r="283" spans="3:32">
      <c r="C283" s="43"/>
      <c r="D283" s="43"/>
      <c r="Z283" s="206">
        <f t="shared" si="24"/>
        <v>0</v>
      </c>
      <c r="AA283" s="207">
        <f t="shared" si="24"/>
        <v>0</v>
      </c>
      <c r="AB283" s="207">
        <f t="shared" si="25"/>
        <v>105.73929214477539</v>
      </c>
      <c r="AC283" s="207">
        <f t="shared" si="26"/>
        <v>89.406955718994141</v>
      </c>
      <c r="AD283" s="207">
        <f t="shared" si="27"/>
        <v>0</v>
      </c>
      <c r="AE283" s="207">
        <f t="shared" si="28"/>
        <v>61.18043327331543</v>
      </c>
      <c r="AF283" s="207">
        <f t="shared" si="29"/>
        <v>47.812652587890625</v>
      </c>
    </row>
    <row r="284" spans="3:32">
      <c r="C284" s="43"/>
      <c r="D284" s="43"/>
      <c r="Z284" s="206">
        <f t="shared" si="24"/>
        <v>0</v>
      </c>
      <c r="AA284" s="207">
        <f t="shared" si="24"/>
        <v>0</v>
      </c>
      <c r="AB284" s="207">
        <f t="shared" si="25"/>
        <v>105.73929214477539</v>
      </c>
      <c r="AC284" s="207">
        <f t="shared" si="26"/>
        <v>89.406955718994141</v>
      </c>
      <c r="AD284" s="207">
        <f t="shared" si="27"/>
        <v>0</v>
      </c>
      <c r="AE284" s="207">
        <f t="shared" si="28"/>
        <v>61.18043327331543</v>
      </c>
      <c r="AF284" s="207">
        <f t="shared" si="29"/>
        <v>47.812652587890625</v>
      </c>
    </row>
    <row r="285" spans="3:32">
      <c r="C285" s="43"/>
      <c r="D285" s="43"/>
      <c r="Z285" s="206">
        <f t="shared" si="24"/>
        <v>0</v>
      </c>
      <c r="AA285" s="207">
        <f t="shared" si="24"/>
        <v>0</v>
      </c>
      <c r="AB285" s="207">
        <f t="shared" si="25"/>
        <v>105.73929214477539</v>
      </c>
      <c r="AC285" s="207">
        <f t="shared" si="26"/>
        <v>89.406955718994141</v>
      </c>
      <c r="AD285" s="207">
        <f t="shared" si="27"/>
        <v>0</v>
      </c>
      <c r="AE285" s="207">
        <f t="shared" si="28"/>
        <v>61.18043327331543</v>
      </c>
      <c r="AF285" s="207">
        <f t="shared" si="29"/>
        <v>47.812652587890625</v>
      </c>
    </row>
    <row r="286" spans="3:32">
      <c r="C286" s="43"/>
      <c r="D286" s="43"/>
      <c r="Z286" s="206">
        <f t="shared" si="24"/>
        <v>0</v>
      </c>
      <c r="AA286" s="207">
        <f t="shared" si="24"/>
        <v>0</v>
      </c>
      <c r="AB286" s="207">
        <f t="shared" si="25"/>
        <v>105.73929214477539</v>
      </c>
      <c r="AC286" s="207">
        <f t="shared" si="26"/>
        <v>89.406955718994141</v>
      </c>
      <c r="AD286" s="207">
        <f t="shared" si="27"/>
        <v>0</v>
      </c>
      <c r="AE286" s="207">
        <f t="shared" si="28"/>
        <v>61.18043327331543</v>
      </c>
      <c r="AF286" s="207">
        <f t="shared" si="29"/>
        <v>47.812652587890625</v>
      </c>
    </row>
    <row r="287" spans="3:32">
      <c r="C287" s="43"/>
      <c r="D287" s="43"/>
      <c r="Z287" s="206">
        <f t="shared" si="24"/>
        <v>0</v>
      </c>
      <c r="AA287" s="207">
        <f t="shared" si="24"/>
        <v>0</v>
      </c>
      <c r="AB287" s="207">
        <f t="shared" si="25"/>
        <v>105.73929214477539</v>
      </c>
      <c r="AC287" s="207">
        <f t="shared" si="26"/>
        <v>89.406955718994141</v>
      </c>
      <c r="AD287" s="207">
        <f t="shared" si="27"/>
        <v>0</v>
      </c>
      <c r="AE287" s="207">
        <f t="shared" si="28"/>
        <v>61.18043327331543</v>
      </c>
      <c r="AF287" s="207">
        <f t="shared" si="29"/>
        <v>47.812652587890625</v>
      </c>
    </row>
    <row r="288" spans="3:32">
      <c r="C288" s="43"/>
      <c r="D288" s="43"/>
      <c r="Z288" s="206">
        <f t="shared" si="24"/>
        <v>0</v>
      </c>
      <c r="AA288" s="207">
        <f t="shared" si="24"/>
        <v>0</v>
      </c>
      <c r="AB288" s="207">
        <f t="shared" si="25"/>
        <v>105.73929214477539</v>
      </c>
      <c r="AC288" s="207">
        <f t="shared" si="26"/>
        <v>89.406955718994141</v>
      </c>
      <c r="AD288" s="207">
        <f t="shared" si="27"/>
        <v>0</v>
      </c>
      <c r="AE288" s="207">
        <f t="shared" si="28"/>
        <v>61.18043327331543</v>
      </c>
      <c r="AF288" s="207">
        <f t="shared" si="29"/>
        <v>47.812652587890625</v>
      </c>
    </row>
    <row r="289" spans="3:32">
      <c r="C289" s="43"/>
      <c r="D289" s="43"/>
      <c r="Z289" s="206">
        <f t="shared" si="24"/>
        <v>0</v>
      </c>
      <c r="AA289" s="207">
        <f t="shared" si="24"/>
        <v>0</v>
      </c>
      <c r="AB289" s="207">
        <f t="shared" si="25"/>
        <v>105.73929214477539</v>
      </c>
      <c r="AC289" s="207">
        <f t="shared" si="26"/>
        <v>89.406955718994141</v>
      </c>
      <c r="AD289" s="207">
        <f t="shared" si="27"/>
        <v>0</v>
      </c>
      <c r="AE289" s="207">
        <f t="shared" si="28"/>
        <v>61.18043327331543</v>
      </c>
      <c r="AF289" s="207">
        <f t="shared" si="29"/>
        <v>47.812652587890625</v>
      </c>
    </row>
    <row r="290" spans="3:32">
      <c r="C290" s="43"/>
      <c r="D290" s="43"/>
      <c r="Z290" s="206">
        <f t="shared" si="24"/>
        <v>0</v>
      </c>
      <c r="AA290" s="207">
        <f t="shared" si="24"/>
        <v>0</v>
      </c>
      <c r="AB290" s="207">
        <f t="shared" si="25"/>
        <v>105.73929214477539</v>
      </c>
      <c r="AC290" s="207">
        <f t="shared" si="26"/>
        <v>89.406955718994141</v>
      </c>
      <c r="AD290" s="207">
        <f t="shared" si="27"/>
        <v>0</v>
      </c>
      <c r="AE290" s="207">
        <f t="shared" si="28"/>
        <v>61.18043327331543</v>
      </c>
      <c r="AF290" s="207">
        <f t="shared" si="29"/>
        <v>47.812652587890625</v>
      </c>
    </row>
    <row r="291" spans="3:32">
      <c r="C291" s="43"/>
      <c r="D291" s="43"/>
      <c r="Z291" s="206">
        <f t="shared" si="24"/>
        <v>0</v>
      </c>
      <c r="AA291" s="207">
        <f t="shared" si="24"/>
        <v>0</v>
      </c>
      <c r="AB291" s="207">
        <f t="shared" si="25"/>
        <v>105.73929214477539</v>
      </c>
      <c r="AC291" s="207">
        <f t="shared" si="26"/>
        <v>89.406955718994141</v>
      </c>
      <c r="AD291" s="207">
        <f t="shared" si="27"/>
        <v>0</v>
      </c>
      <c r="AE291" s="207">
        <f t="shared" si="28"/>
        <v>61.18043327331543</v>
      </c>
      <c r="AF291" s="207">
        <f t="shared" si="29"/>
        <v>47.812652587890625</v>
      </c>
    </row>
    <row r="292" spans="3:32">
      <c r="C292" s="43"/>
      <c r="D292" s="43"/>
      <c r="Z292" s="206">
        <f t="shared" si="24"/>
        <v>0</v>
      </c>
      <c r="AA292" s="207">
        <f t="shared" si="24"/>
        <v>0</v>
      </c>
      <c r="AB292" s="207">
        <f t="shared" si="25"/>
        <v>105.73929214477539</v>
      </c>
      <c r="AC292" s="207">
        <f t="shared" si="26"/>
        <v>89.406955718994141</v>
      </c>
      <c r="AD292" s="207">
        <f t="shared" si="27"/>
        <v>0</v>
      </c>
      <c r="AE292" s="207">
        <f t="shared" si="28"/>
        <v>61.18043327331543</v>
      </c>
      <c r="AF292" s="207">
        <f t="shared" si="29"/>
        <v>47.812652587890625</v>
      </c>
    </row>
    <row r="293" spans="3:32">
      <c r="C293" s="43"/>
      <c r="D293" s="43"/>
      <c r="Z293" s="206">
        <f t="shared" si="24"/>
        <v>0</v>
      </c>
      <c r="AA293" s="207">
        <f t="shared" si="24"/>
        <v>0</v>
      </c>
      <c r="AB293" s="207">
        <f t="shared" si="25"/>
        <v>105.73929214477539</v>
      </c>
      <c r="AC293" s="207">
        <f t="shared" si="26"/>
        <v>89.406955718994141</v>
      </c>
      <c r="AD293" s="207">
        <f t="shared" si="27"/>
        <v>0</v>
      </c>
      <c r="AE293" s="207">
        <f t="shared" si="28"/>
        <v>61.18043327331543</v>
      </c>
      <c r="AF293" s="207">
        <f t="shared" si="29"/>
        <v>47.812652587890625</v>
      </c>
    </row>
    <row r="294" spans="3:32">
      <c r="C294" s="43"/>
      <c r="D294" s="43"/>
      <c r="Z294" s="206">
        <f t="shared" si="24"/>
        <v>0</v>
      </c>
      <c r="AA294" s="207">
        <f t="shared" si="24"/>
        <v>0</v>
      </c>
      <c r="AB294" s="207">
        <f t="shared" si="25"/>
        <v>105.73929214477539</v>
      </c>
      <c r="AC294" s="207">
        <f t="shared" si="26"/>
        <v>89.406955718994141</v>
      </c>
      <c r="AD294" s="207">
        <f t="shared" si="27"/>
        <v>0</v>
      </c>
      <c r="AE294" s="207">
        <f t="shared" si="28"/>
        <v>61.18043327331543</v>
      </c>
      <c r="AF294" s="207">
        <f t="shared" si="29"/>
        <v>47.812652587890625</v>
      </c>
    </row>
    <row r="295" spans="3:32">
      <c r="C295" s="43"/>
      <c r="D295" s="43"/>
      <c r="Z295" s="206">
        <f t="shared" si="24"/>
        <v>0</v>
      </c>
      <c r="AA295" s="207">
        <f t="shared" si="24"/>
        <v>0</v>
      </c>
      <c r="AB295" s="207">
        <f t="shared" si="25"/>
        <v>105.73929214477539</v>
      </c>
      <c r="AC295" s="207">
        <f t="shared" si="26"/>
        <v>89.406955718994141</v>
      </c>
      <c r="AD295" s="207">
        <f t="shared" si="27"/>
        <v>0</v>
      </c>
      <c r="AE295" s="207">
        <f t="shared" si="28"/>
        <v>61.18043327331543</v>
      </c>
      <c r="AF295" s="207">
        <f t="shared" si="29"/>
        <v>47.812652587890625</v>
      </c>
    </row>
    <row r="296" spans="3:32">
      <c r="C296" s="43"/>
      <c r="D296" s="43"/>
      <c r="Z296" s="206">
        <f t="shared" si="24"/>
        <v>0</v>
      </c>
      <c r="AA296" s="207">
        <f t="shared" si="24"/>
        <v>0</v>
      </c>
      <c r="AB296" s="207">
        <f t="shared" si="25"/>
        <v>105.73929214477539</v>
      </c>
      <c r="AC296" s="207">
        <f t="shared" si="26"/>
        <v>89.406955718994141</v>
      </c>
      <c r="AD296" s="207">
        <f t="shared" si="27"/>
        <v>0</v>
      </c>
      <c r="AE296" s="207">
        <f t="shared" si="28"/>
        <v>61.18043327331543</v>
      </c>
      <c r="AF296" s="207">
        <f t="shared" si="29"/>
        <v>47.812652587890625</v>
      </c>
    </row>
    <row r="297" spans="3:32">
      <c r="C297" s="43"/>
      <c r="D297" s="43"/>
      <c r="Z297" s="206">
        <f t="shared" si="24"/>
        <v>0</v>
      </c>
      <c r="AA297" s="207">
        <f t="shared" si="24"/>
        <v>0</v>
      </c>
      <c r="AB297" s="207">
        <f t="shared" si="25"/>
        <v>105.73929214477539</v>
      </c>
      <c r="AC297" s="207">
        <f t="shared" si="26"/>
        <v>89.406955718994141</v>
      </c>
      <c r="AD297" s="207">
        <f t="shared" si="27"/>
        <v>0</v>
      </c>
      <c r="AE297" s="207">
        <f t="shared" si="28"/>
        <v>61.18043327331543</v>
      </c>
      <c r="AF297" s="207">
        <f t="shared" si="29"/>
        <v>47.812652587890625</v>
      </c>
    </row>
    <row r="298" spans="3:32">
      <c r="C298" s="43"/>
      <c r="D298" s="43"/>
      <c r="Z298" s="206">
        <f t="shared" si="24"/>
        <v>0</v>
      </c>
      <c r="AA298" s="207">
        <f t="shared" si="24"/>
        <v>0</v>
      </c>
      <c r="AB298" s="207">
        <f t="shared" si="25"/>
        <v>105.73929214477539</v>
      </c>
      <c r="AC298" s="207">
        <f t="shared" si="26"/>
        <v>89.406955718994141</v>
      </c>
      <c r="AD298" s="207">
        <f t="shared" si="27"/>
        <v>0</v>
      </c>
      <c r="AE298" s="207">
        <f t="shared" si="28"/>
        <v>61.18043327331543</v>
      </c>
      <c r="AF298" s="207">
        <f t="shared" si="29"/>
        <v>47.812652587890625</v>
      </c>
    </row>
    <row r="299" spans="3:32">
      <c r="C299" s="43"/>
      <c r="D299" s="43"/>
      <c r="Z299" s="206">
        <f t="shared" si="24"/>
        <v>0</v>
      </c>
      <c r="AA299" s="207">
        <f t="shared" si="24"/>
        <v>0</v>
      </c>
      <c r="AB299" s="207">
        <f t="shared" si="25"/>
        <v>105.73929214477539</v>
      </c>
      <c r="AC299" s="207">
        <f t="shared" si="26"/>
        <v>89.406955718994141</v>
      </c>
      <c r="AD299" s="207">
        <f t="shared" si="27"/>
        <v>0</v>
      </c>
      <c r="AE299" s="207">
        <f t="shared" si="28"/>
        <v>61.18043327331543</v>
      </c>
      <c r="AF299" s="207">
        <f t="shared" si="29"/>
        <v>47.812652587890625</v>
      </c>
    </row>
    <row r="300" spans="3:32">
      <c r="C300" s="43"/>
      <c r="D300" s="43"/>
      <c r="Z300" s="206">
        <f t="shared" si="24"/>
        <v>0</v>
      </c>
      <c r="AA300" s="207">
        <f t="shared" si="24"/>
        <v>0</v>
      </c>
      <c r="AB300" s="207">
        <f t="shared" si="25"/>
        <v>105.73929214477539</v>
      </c>
      <c r="AC300" s="207">
        <f t="shared" si="26"/>
        <v>89.406955718994141</v>
      </c>
      <c r="AD300" s="207">
        <f t="shared" si="27"/>
        <v>0</v>
      </c>
      <c r="AE300" s="207">
        <f t="shared" si="28"/>
        <v>61.18043327331543</v>
      </c>
      <c r="AF300" s="207">
        <f t="shared" si="29"/>
        <v>47.812652587890625</v>
      </c>
    </row>
    <row r="301" spans="3:32">
      <c r="C301" s="43"/>
      <c r="D301" s="27"/>
      <c r="Z301" s="206">
        <f t="shared" si="24"/>
        <v>0</v>
      </c>
      <c r="AA301" s="207">
        <f t="shared" si="24"/>
        <v>0</v>
      </c>
      <c r="AB301" s="207">
        <f t="shared" si="25"/>
        <v>105.73929214477539</v>
      </c>
      <c r="AC301" s="207">
        <f t="shared" si="26"/>
        <v>89.406955718994141</v>
      </c>
      <c r="AD301" s="207">
        <f t="shared" si="27"/>
        <v>0</v>
      </c>
      <c r="AE301" s="207">
        <f t="shared" si="28"/>
        <v>61.18043327331543</v>
      </c>
      <c r="AF301" s="207">
        <f t="shared" si="29"/>
        <v>47.812652587890625</v>
      </c>
    </row>
    <row r="302" spans="3:32">
      <c r="C302" s="43"/>
      <c r="D302" s="27"/>
      <c r="Z302" s="206">
        <f t="shared" si="24"/>
        <v>0</v>
      </c>
      <c r="AA302" s="207">
        <f t="shared" si="24"/>
        <v>0</v>
      </c>
      <c r="AB302" s="207">
        <f t="shared" si="25"/>
        <v>105.73929214477539</v>
      </c>
      <c r="AC302" s="207">
        <f t="shared" si="26"/>
        <v>89.406955718994141</v>
      </c>
      <c r="AD302" s="207">
        <f t="shared" si="27"/>
        <v>0</v>
      </c>
      <c r="AE302" s="207">
        <f t="shared" si="28"/>
        <v>61.18043327331543</v>
      </c>
      <c r="AF302" s="207">
        <f t="shared" si="29"/>
        <v>47.812652587890625</v>
      </c>
    </row>
    <row r="303" spans="3:32">
      <c r="C303" s="43"/>
      <c r="D303" s="27"/>
      <c r="Z303" s="206">
        <f t="shared" si="24"/>
        <v>0</v>
      </c>
      <c r="AA303" s="207">
        <f t="shared" si="24"/>
        <v>0</v>
      </c>
      <c r="AB303" s="207">
        <f t="shared" si="25"/>
        <v>105.73929214477539</v>
      </c>
      <c r="AC303" s="207">
        <f t="shared" si="26"/>
        <v>89.406955718994141</v>
      </c>
      <c r="AD303" s="207">
        <f t="shared" si="27"/>
        <v>0</v>
      </c>
      <c r="AE303" s="207">
        <f t="shared" si="28"/>
        <v>61.18043327331543</v>
      </c>
      <c r="AF303" s="207">
        <f t="shared" si="29"/>
        <v>47.812652587890625</v>
      </c>
    </row>
    <row r="304" spans="3:32">
      <c r="C304" s="43"/>
      <c r="D304" s="27"/>
      <c r="Z304" s="206">
        <f t="shared" si="24"/>
        <v>0</v>
      </c>
      <c r="AA304" s="207">
        <f t="shared" si="24"/>
        <v>0</v>
      </c>
      <c r="AB304" s="207">
        <f t="shared" si="25"/>
        <v>105.73929214477539</v>
      </c>
      <c r="AC304" s="207">
        <f t="shared" si="26"/>
        <v>89.406955718994141</v>
      </c>
      <c r="AD304" s="207">
        <f t="shared" si="27"/>
        <v>0</v>
      </c>
      <c r="AE304" s="207">
        <f t="shared" si="28"/>
        <v>61.18043327331543</v>
      </c>
      <c r="AF304" s="207">
        <f t="shared" si="29"/>
        <v>47.812652587890625</v>
      </c>
    </row>
    <row r="305" spans="3:32">
      <c r="C305" s="43"/>
      <c r="D305" s="27"/>
      <c r="Z305" s="206">
        <f t="shared" si="24"/>
        <v>0</v>
      </c>
      <c r="AA305" s="207">
        <f t="shared" si="24"/>
        <v>0</v>
      </c>
      <c r="AB305" s="207">
        <f t="shared" si="25"/>
        <v>105.73929214477539</v>
      </c>
      <c r="AC305" s="207">
        <f t="shared" si="26"/>
        <v>89.406955718994141</v>
      </c>
      <c r="AD305" s="207">
        <f t="shared" si="27"/>
        <v>0</v>
      </c>
      <c r="AE305" s="207">
        <f t="shared" si="28"/>
        <v>61.18043327331543</v>
      </c>
      <c r="AF305" s="207">
        <f t="shared" si="29"/>
        <v>47.812652587890625</v>
      </c>
    </row>
    <row r="306" spans="3:32">
      <c r="C306" s="43"/>
      <c r="D306" s="27"/>
      <c r="Z306" s="206">
        <f t="shared" si="24"/>
        <v>0</v>
      </c>
      <c r="AA306" s="207">
        <f t="shared" si="24"/>
        <v>0</v>
      </c>
      <c r="AB306" s="207">
        <f t="shared" si="25"/>
        <v>105.73929214477539</v>
      </c>
      <c r="AC306" s="207">
        <f t="shared" si="26"/>
        <v>89.406955718994141</v>
      </c>
      <c r="AD306" s="207">
        <f t="shared" si="27"/>
        <v>0</v>
      </c>
      <c r="AE306" s="207">
        <f t="shared" si="28"/>
        <v>61.18043327331543</v>
      </c>
      <c r="AF306" s="207">
        <f t="shared" si="29"/>
        <v>47.812652587890625</v>
      </c>
    </row>
    <row r="307" spans="3:32">
      <c r="C307" s="43"/>
      <c r="D307" s="27"/>
      <c r="Z307" s="206">
        <f t="shared" si="24"/>
        <v>0</v>
      </c>
      <c r="AA307" s="207">
        <f t="shared" si="24"/>
        <v>0</v>
      </c>
      <c r="AB307" s="207">
        <f t="shared" si="25"/>
        <v>105.73929214477539</v>
      </c>
      <c r="AC307" s="207">
        <f t="shared" si="26"/>
        <v>89.406955718994141</v>
      </c>
      <c r="AD307" s="207">
        <f t="shared" si="27"/>
        <v>0</v>
      </c>
      <c r="AE307" s="207">
        <f t="shared" si="28"/>
        <v>61.18043327331543</v>
      </c>
      <c r="AF307" s="207">
        <f t="shared" si="29"/>
        <v>47.812652587890625</v>
      </c>
    </row>
    <row r="308" spans="3:32">
      <c r="C308" s="43"/>
      <c r="D308" s="27"/>
      <c r="Z308" s="206">
        <f t="shared" si="24"/>
        <v>0</v>
      </c>
      <c r="AA308" s="207">
        <f t="shared" si="24"/>
        <v>0</v>
      </c>
      <c r="AB308" s="207">
        <f t="shared" si="25"/>
        <v>105.73929214477539</v>
      </c>
      <c r="AC308" s="207">
        <f t="shared" si="26"/>
        <v>89.406955718994141</v>
      </c>
      <c r="AD308" s="207">
        <f t="shared" si="27"/>
        <v>0</v>
      </c>
      <c r="AE308" s="207">
        <f t="shared" si="28"/>
        <v>61.18043327331543</v>
      </c>
      <c r="AF308" s="207">
        <f t="shared" si="29"/>
        <v>47.812652587890625</v>
      </c>
    </row>
    <row r="309" spans="3:32">
      <c r="C309" s="43"/>
      <c r="D309" s="27"/>
      <c r="Z309" s="206">
        <f t="shared" si="24"/>
        <v>0</v>
      </c>
      <c r="AA309" s="207">
        <f t="shared" si="24"/>
        <v>0</v>
      </c>
      <c r="AB309" s="207">
        <f t="shared" si="25"/>
        <v>105.73929214477539</v>
      </c>
      <c r="AC309" s="207">
        <f t="shared" si="26"/>
        <v>89.406955718994141</v>
      </c>
      <c r="AD309" s="207">
        <f t="shared" si="27"/>
        <v>0</v>
      </c>
      <c r="AE309" s="207">
        <f t="shared" si="28"/>
        <v>61.18043327331543</v>
      </c>
      <c r="AF309" s="207">
        <f t="shared" si="29"/>
        <v>47.812652587890625</v>
      </c>
    </row>
    <row r="310" spans="3:32">
      <c r="C310" s="43"/>
      <c r="D310" s="27"/>
      <c r="Z310" s="206">
        <f t="shared" si="24"/>
        <v>0</v>
      </c>
      <c r="AA310" s="207">
        <f t="shared" si="24"/>
        <v>0</v>
      </c>
      <c r="AB310" s="207">
        <f t="shared" si="25"/>
        <v>105.73929214477539</v>
      </c>
      <c r="AC310" s="207">
        <f t="shared" si="26"/>
        <v>89.406955718994141</v>
      </c>
      <c r="AD310" s="207">
        <f t="shared" si="27"/>
        <v>0</v>
      </c>
      <c r="AE310" s="207">
        <f t="shared" si="28"/>
        <v>61.18043327331543</v>
      </c>
      <c r="AF310" s="207">
        <f t="shared" si="29"/>
        <v>47.812652587890625</v>
      </c>
    </row>
    <row r="311" spans="3:32">
      <c r="C311" s="43"/>
      <c r="D311" s="27"/>
      <c r="Z311" s="206">
        <f t="shared" si="24"/>
        <v>0</v>
      </c>
      <c r="AA311" s="207">
        <f t="shared" si="24"/>
        <v>0</v>
      </c>
      <c r="AB311" s="207">
        <f t="shared" si="25"/>
        <v>105.73929214477539</v>
      </c>
      <c r="AC311" s="207">
        <f t="shared" si="26"/>
        <v>89.406955718994141</v>
      </c>
      <c r="AD311" s="207">
        <f t="shared" si="27"/>
        <v>0</v>
      </c>
      <c r="AE311" s="207">
        <f t="shared" si="28"/>
        <v>61.18043327331543</v>
      </c>
      <c r="AF311" s="207">
        <f t="shared" si="29"/>
        <v>47.812652587890625</v>
      </c>
    </row>
    <row r="312" spans="3:32">
      <c r="C312" s="43"/>
      <c r="D312" s="27"/>
      <c r="Z312" s="206">
        <f t="shared" si="24"/>
        <v>0</v>
      </c>
      <c r="AA312" s="207">
        <f t="shared" si="24"/>
        <v>0</v>
      </c>
      <c r="AB312" s="207">
        <f t="shared" si="25"/>
        <v>105.73929214477539</v>
      </c>
      <c r="AC312" s="207">
        <f t="shared" si="26"/>
        <v>89.406955718994141</v>
      </c>
      <c r="AD312" s="207">
        <f t="shared" si="27"/>
        <v>0</v>
      </c>
      <c r="AE312" s="207">
        <f t="shared" si="28"/>
        <v>61.18043327331543</v>
      </c>
      <c r="AF312" s="207">
        <f t="shared" si="29"/>
        <v>47.812652587890625</v>
      </c>
    </row>
    <row r="313" spans="3:32">
      <c r="C313" s="43"/>
      <c r="D313" s="27"/>
      <c r="Z313" s="206">
        <f t="shared" si="24"/>
        <v>0</v>
      </c>
      <c r="AA313" s="207">
        <f t="shared" si="24"/>
        <v>0</v>
      </c>
      <c r="AB313" s="207">
        <f t="shared" si="25"/>
        <v>105.73929214477539</v>
      </c>
      <c r="AC313" s="207">
        <f t="shared" si="26"/>
        <v>89.406955718994141</v>
      </c>
      <c r="AD313" s="207">
        <f t="shared" si="27"/>
        <v>0</v>
      </c>
      <c r="AE313" s="207">
        <f t="shared" si="28"/>
        <v>61.18043327331543</v>
      </c>
      <c r="AF313" s="207">
        <f t="shared" si="29"/>
        <v>47.812652587890625</v>
      </c>
    </row>
    <row r="314" spans="3:32">
      <c r="C314" s="43"/>
      <c r="D314" s="27"/>
      <c r="Z314" s="206">
        <f t="shared" si="24"/>
        <v>0</v>
      </c>
      <c r="AA314" s="207">
        <f t="shared" si="24"/>
        <v>0</v>
      </c>
      <c r="AB314" s="207">
        <f t="shared" si="25"/>
        <v>105.73929214477539</v>
      </c>
      <c r="AC314" s="207">
        <f t="shared" si="26"/>
        <v>89.406955718994141</v>
      </c>
      <c r="AD314" s="207">
        <f t="shared" si="27"/>
        <v>0</v>
      </c>
      <c r="AE314" s="207">
        <f t="shared" si="28"/>
        <v>61.18043327331543</v>
      </c>
      <c r="AF314" s="207">
        <f t="shared" si="29"/>
        <v>47.812652587890625</v>
      </c>
    </row>
    <row r="315" spans="3:32">
      <c r="C315" s="43"/>
      <c r="D315" s="27"/>
      <c r="Z315" s="206">
        <f t="shared" si="24"/>
        <v>0</v>
      </c>
      <c r="AA315" s="207">
        <f t="shared" si="24"/>
        <v>0</v>
      </c>
      <c r="AB315" s="207">
        <f t="shared" si="25"/>
        <v>105.73929214477539</v>
      </c>
      <c r="AC315" s="207">
        <f t="shared" si="26"/>
        <v>89.406955718994141</v>
      </c>
      <c r="AD315" s="207">
        <f t="shared" si="27"/>
        <v>0</v>
      </c>
      <c r="AE315" s="207">
        <f t="shared" si="28"/>
        <v>61.18043327331543</v>
      </c>
      <c r="AF315" s="207">
        <f t="shared" si="29"/>
        <v>47.812652587890625</v>
      </c>
    </row>
    <row r="316" spans="3:32">
      <c r="C316" s="43"/>
      <c r="D316" s="27"/>
      <c r="Z316" s="206">
        <f t="shared" si="24"/>
        <v>0</v>
      </c>
      <c r="AA316" s="207">
        <f t="shared" si="24"/>
        <v>0</v>
      </c>
      <c r="AB316" s="207">
        <f t="shared" si="25"/>
        <v>105.73929214477539</v>
      </c>
      <c r="AC316" s="207">
        <f t="shared" si="26"/>
        <v>89.406955718994141</v>
      </c>
      <c r="AD316" s="207">
        <f t="shared" si="27"/>
        <v>0</v>
      </c>
      <c r="AE316" s="207">
        <f t="shared" si="28"/>
        <v>61.18043327331543</v>
      </c>
      <c r="AF316" s="207">
        <f t="shared" si="29"/>
        <v>47.812652587890625</v>
      </c>
    </row>
    <row r="317" spans="3:32">
      <c r="C317" s="43"/>
      <c r="D317" s="27"/>
      <c r="Z317" s="206">
        <f t="shared" si="24"/>
        <v>0</v>
      </c>
      <c r="AA317" s="207">
        <f t="shared" si="24"/>
        <v>0</v>
      </c>
      <c r="AB317" s="207">
        <f t="shared" si="25"/>
        <v>105.73929214477539</v>
      </c>
      <c r="AC317" s="207">
        <f t="shared" si="26"/>
        <v>89.406955718994141</v>
      </c>
      <c r="AD317" s="207">
        <f t="shared" si="27"/>
        <v>0</v>
      </c>
      <c r="AE317" s="207">
        <f t="shared" si="28"/>
        <v>61.18043327331543</v>
      </c>
      <c r="AF317" s="207">
        <f t="shared" si="29"/>
        <v>47.812652587890625</v>
      </c>
    </row>
    <row r="318" spans="3:32">
      <c r="C318" s="43"/>
      <c r="D318" s="27"/>
      <c r="Z318" s="206">
        <f t="shared" si="24"/>
        <v>0</v>
      </c>
      <c r="AA318" s="207">
        <f t="shared" si="24"/>
        <v>0</v>
      </c>
      <c r="AB318" s="207">
        <f t="shared" si="25"/>
        <v>105.73929214477539</v>
      </c>
      <c r="AC318" s="207">
        <f t="shared" si="26"/>
        <v>89.406955718994141</v>
      </c>
      <c r="AD318" s="207">
        <f t="shared" si="27"/>
        <v>0</v>
      </c>
      <c r="AE318" s="207">
        <f t="shared" si="28"/>
        <v>61.18043327331543</v>
      </c>
      <c r="AF318" s="207">
        <f t="shared" si="29"/>
        <v>47.812652587890625</v>
      </c>
    </row>
    <row r="319" spans="3:32">
      <c r="C319" s="43"/>
      <c r="D319" s="27"/>
      <c r="Z319" s="206">
        <f t="shared" si="24"/>
        <v>0</v>
      </c>
      <c r="AA319" s="207">
        <f t="shared" si="24"/>
        <v>0</v>
      </c>
      <c r="AB319" s="207">
        <f t="shared" si="25"/>
        <v>105.73929214477539</v>
      </c>
      <c r="AC319" s="207">
        <f t="shared" si="26"/>
        <v>89.406955718994141</v>
      </c>
      <c r="AD319" s="207">
        <f t="shared" si="27"/>
        <v>0</v>
      </c>
      <c r="AE319" s="207">
        <f t="shared" si="28"/>
        <v>61.18043327331543</v>
      </c>
      <c r="AF319" s="207">
        <f t="shared" si="29"/>
        <v>47.812652587890625</v>
      </c>
    </row>
    <row r="320" spans="3:32">
      <c r="C320" s="43"/>
      <c r="D320" s="27"/>
      <c r="Z320" s="206">
        <f t="shared" si="24"/>
        <v>0</v>
      </c>
      <c r="AA320" s="207">
        <f t="shared" si="24"/>
        <v>0</v>
      </c>
      <c r="AB320" s="207">
        <f t="shared" si="25"/>
        <v>105.73929214477539</v>
      </c>
      <c r="AC320" s="207">
        <f t="shared" si="26"/>
        <v>89.406955718994141</v>
      </c>
      <c r="AD320" s="207">
        <f t="shared" si="27"/>
        <v>0</v>
      </c>
      <c r="AE320" s="207">
        <f t="shared" si="28"/>
        <v>61.18043327331543</v>
      </c>
      <c r="AF320" s="207">
        <f t="shared" si="29"/>
        <v>47.812652587890625</v>
      </c>
    </row>
    <row r="321" spans="3:32">
      <c r="C321" s="43"/>
      <c r="D321" s="27"/>
      <c r="Z321" s="206">
        <f t="shared" si="24"/>
        <v>0</v>
      </c>
      <c r="AA321" s="207">
        <f t="shared" si="24"/>
        <v>0</v>
      </c>
      <c r="AB321" s="207">
        <f t="shared" si="25"/>
        <v>105.73929214477539</v>
      </c>
      <c r="AC321" s="207">
        <f t="shared" si="26"/>
        <v>89.406955718994141</v>
      </c>
      <c r="AD321" s="207">
        <f t="shared" si="27"/>
        <v>0</v>
      </c>
      <c r="AE321" s="207">
        <f t="shared" si="28"/>
        <v>61.18043327331543</v>
      </c>
      <c r="AF321" s="207">
        <f t="shared" si="29"/>
        <v>47.812652587890625</v>
      </c>
    </row>
    <row r="322" spans="3:32">
      <c r="C322" s="43"/>
      <c r="D322" s="27"/>
      <c r="Z322" s="206">
        <f t="shared" si="24"/>
        <v>0</v>
      </c>
      <c r="AA322" s="207">
        <f t="shared" si="24"/>
        <v>0</v>
      </c>
      <c r="AB322" s="207">
        <f t="shared" si="25"/>
        <v>105.73929214477539</v>
      </c>
      <c r="AC322" s="207">
        <f t="shared" si="26"/>
        <v>89.406955718994141</v>
      </c>
      <c r="AD322" s="207">
        <f t="shared" si="27"/>
        <v>0</v>
      </c>
      <c r="AE322" s="207">
        <f t="shared" si="28"/>
        <v>61.18043327331543</v>
      </c>
      <c r="AF322" s="207">
        <f t="shared" si="29"/>
        <v>47.812652587890625</v>
      </c>
    </row>
    <row r="323" spans="3:32">
      <c r="C323" s="43"/>
      <c r="D323" s="27"/>
      <c r="Z323" s="206">
        <f t="shared" si="24"/>
        <v>0</v>
      </c>
      <c r="AA323" s="207">
        <f t="shared" si="24"/>
        <v>0</v>
      </c>
      <c r="AB323" s="207">
        <f t="shared" si="25"/>
        <v>105.73929214477539</v>
      </c>
      <c r="AC323" s="207">
        <f t="shared" si="26"/>
        <v>89.406955718994141</v>
      </c>
      <c r="AD323" s="207">
        <f t="shared" si="27"/>
        <v>0</v>
      </c>
      <c r="AE323" s="207">
        <f t="shared" si="28"/>
        <v>61.18043327331543</v>
      </c>
      <c r="AF323" s="207">
        <f t="shared" si="29"/>
        <v>47.812652587890625</v>
      </c>
    </row>
    <row r="324" spans="3:32">
      <c r="C324" s="43"/>
      <c r="D324" s="27"/>
      <c r="Z324" s="206">
        <f t="shared" si="24"/>
        <v>0</v>
      </c>
      <c r="AA324" s="207">
        <f t="shared" si="24"/>
        <v>0</v>
      </c>
      <c r="AB324" s="207">
        <f t="shared" si="25"/>
        <v>105.73929214477539</v>
      </c>
      <c r="AC324" s="207">
        <f t="shared" si="26"/>
        <v>89.406955718994141</v>
      </c>
      <c r="AD324" s="207">
        <f t="shared" si="27"/>
        <v>0</v>
      </c>
      <c r="AE324" s="207">
        <f t="shared" si="28"/>
        <v>61.18043327331543</v>
      </c>
      <c r="AF324" s="207">
        <f t="shared" si="29"/>
        <v>47.812652587890625</v>
      </c>
    </row>
    <row r="325" spans="3:32">
      <c r="C325" s="43"/>
      <c r="D325" s="27"/>
      <c r="Z325" s="206">
        <f t="shared" si="24"/>
        <v>0</v>
      </c>
      <c r="AA325" s="207">
        <f t="shared" si="24"/>
        <v>0</v>
      </c>
      <c r="AB325" s="207">
        <f t="shared" si="25"/>
        <v>105.73929214477539</v>
      </c>
      <c r="AC325" s="207">
        <f t="shared" si="26"/>
        <v>89.406955718994141</v>
      </c>
      <c r="AD325" s="207">
        <f t="shared" si="27"/>
        <v>0</v>
      </c>
      <c r="AE325" s="207">
        <f t="shared" si="28"/>
        <v>61.18043327331543</v>
      </c>
      <c r="AF325" s="207">
        <f t="shared" si="29"/>
        <v>47.812652587890625</v>
      </c>
    </row>
    <row r="326" spans="3:32">
      <c r="C326" s="43"/>
      <c r="D326" s="27"/>
      <c r="Z326" s="206">
        <f t="shared" si="24"/>
        <v>0</v>
      </c>
      <c r="AA326" s="207">
        <f t="shared" si="24"/>
        <v>0</v>
      </c>
      <c r="AB326" s="207">
        <f t="shared" si="25"/>
        <v>105.73929214477539</v>
      </c>
      <c r="AC326" s="207">
        <f t="shared" si="26"/>
        <v>89.406955718994141</v>
      </c>
      <c r="AD326" s="207">
        <f t="shared" si="27"/>
        <v>0</v>
      </c>
      <c r="AE326" s="207">
        <f t="shared" si="28"/>
        <v>61.18043327331543</v>
      </c>
      <c r="AF326" s="207">
        <f t="shared" si="29"/>
        <v>47.812652587890625</v>
      </c>
    </row>
    <row r="327" spans="3:32">
      <c r="C327" s="43"/>
      <c r="D327" s="27"/>
      <c r="Z327" s="206">
        <f t="shared" si="24"/>
        <v>0</v>
      </c>
      <c r="AA327" s="207">
        <f t="shared" si="24"/>
        <v>0</v>
      </c>
      <c r="AB327" s="207">
        <f t="shared" si="25"/>
        <v>105.73929214477539</v>
      </c>
      <c r="AC327" s="207">
        <f t="shared" si="26"/>
        <v>89.406955718994141</v>
      </c>
      <c r="AD327" s="207">
        <f t="shared" si="27"/>
        <v>0</v>
      </c>
      <c r="AE327" s="207">
        <f t="shared" si="28"/>
        <v>61.18043327331543</v>
      </c>
      <c r="AF327" s="207">
        <f t="shared" si="29"/>
        <v>47.812652587890625</v>
      </c>
    </row>
    <row r="328" spans="3:32">
      <c r="C328" s="43"/>
      <c r="D328" s="27"/>
      <c r="Z328" s="206">
        <f t="shared" si="24"/>
        <v>0</v>
      </c>
      <c r="AA328" s="207">
        <f t="shared" si="24"/>
        <v>0</v>
      </c>
      <c r="AB328" s="207">
        <f t="shared" si="25"/>
        <v>105.73929214477539</v>
      </c>
      <c r="AC328" s="207">
        <f t="shared" si="26"/>
        <v>89.406955718994141</v>
      </c>
      <c r="AD328" s="207">
        <f t="shared" si="27"/>
        <v>0</v>
      </c>
      <c r="AE328" s="207">
        <f t="shared" si="28"/>
        <v>61.18043327331543</v>
      </c>
      <c r="AF328" s="207">
        <f t="shared" si="29"/>
        <v>47.812652587890625</v>
      </c>
    </row>
    <row r="329" spans="3:32">
      <c r="C329" s="43"/>
      <c r="D329" s="27"/>
      <c r="Z329" s="206">
        <f t="shared" si="24"/>
        <v>0</v>
      </c>
      <c r="AA329" s="207">
        <f t="shared" si="24"/>
        <v>0</v>
      </c>
      <c r="AB329" s="207">
        <f t="shared" si="25"/>
        <v>105.73929214477539</v>
      </c>
      <c r="AC329" s="207">
        <f t="shared" si="26"/>
        <v>89.406955718994141</v>
      </c>
      <c r="AD329" s="207">
        <f t="shared" si="27"/>
        <v>0</v>
      </c>
      <c r="AE329" s="207">
        <f t="shared" si="28"/>
        <v>61.18043327331543</v>
      </c>
      <c r="AF329" s="207">
        <f t="shared" si="29"/>
        <v>47.812652587890625</v>
      </c>
    </row>
    <row r="330" spans="3:32">
      <c r="C330" s="43"/>
      <c r="D330" s="27"/>
      <c r="Z330" s="206">
        <f t="shared" si="24"/>
        <v>0</v>
      </c>
      <c r="AA330" s="207">
        <f t="shared" si="24"/>
        <v>0</v>
      </c>
      <c r="AB330" s="207">
        <f t="shared" si="25"/>
        <v>105.73929214477539</v>
      </c>
      <c r="AC330" s="207">
        <f t="shared" si="26"/>
        <v>89.406955718994141</v>
      </c>
      <c r="AD330" s="207">
        <f t="shared" si="27"/>
        <v>0</v>
      </c>
      <c r="AE330" s="207">
        <f t="shared" si="28"/>
        <v>61.18043327331543</v>
      </c>
      <c r="AF330" s="207">
        <f t="shared" si="29"/>
        <v>47.812652587890625</v>
      </c>
    </row>
    <row r="331" spans="3:32">
      <c r="C331" s="43"/>
      <c r="D331" s="27"/>
      <c r="Z331" s="206">
        <f t="shared" si="24"/>
        <v>0</v>
      </c>
      <c r="AA331" s="207">
        <f t="shared" si="24"/>
        <v>0</v>
      </c>
      <c r="AB331" s="207">
        <f t="shared" si="25"/>
        <v>105.73929214477539</v>
      </c>
      <c r="AC331" s="207">
        <f t="shared" si="26"/>
        <v>89.406955718994141</v>
      </c>
      <c r="AD331" s="207">
        <f t="shared" si="27"/>
        <v>0</v>
      </c>
      <c r="AE331" s="207">
        <f t="shared" si="28"/>
        <v>61.18043327331543</v>
      </c>
      <c r="AF331" s="207">
        <f t="shared" si="29"/>
        <v>47.812652587890625</v>
      </c>
    </row>
    <row r="332" spans="3:32">
      <c r="C332" s="43"/>
      <c r="D332" s="27"/>
      <c r="Z332" s="206">
        <f t="shared" si="24"/>
        <v>0</v>
      </c>
      <c r="AA332" s="207">
        <f t="shared" si="24"/>
        <v>0</v>
      </c>
      <c r="AB332" s="207">
        <f t="shared" si="25"/>
        <v>105.73929214477539</v>
      </c>
      <c r="AC332" s="207">
        <f t="shared" si="26"/>
        <v>89.406955718994141</v>
      </c>
      <c r="AD332" s="207">
        <f t="shared" si="27"/>
        <v>0</v>
      </c>
      <c r="AE332" s="207">
        <f t="shared" si="28"/>
        <v>61.18043327331543</v>
      </c>
      <c r="AF332" s="207">
        <f t="shared" si="29"/>
        <v>47.812652587890625</v>
      </c>
    </row>
    <row r="333" spans="3:32">
      <c r="C333" s="43"/>
      <c r="D333" s="27"/>
      <c r="Z333" s="206">
        <f t="shared" si="24"/>
        <v>0</v>
      </c>
      <c r="AA333" s="207">
        <f t="shared" si="24"/>
        <v>0</v>
      </c>
      <c r="AB333" s="207">
        <f t="shared" si="25"/>
        <v>105.73929214477539</v>
      </c>
      <c r="AC333" s="207">
        <f t="shared" si="26"/>
        <v>89.406955718994141</v>
      </c>
      <c r="AD333" s="207">
        <f t="shared" si="27"/>
        <v>0</v>
      </c>
      <c r="AE333" s="207">
        <f t="shared" si="28"/>
        <v>61.18043327331543</v>
      </c>
      <c r="AF333" s="207">
        <f t="shared" si="29"/>
        <v>47.812652587890625</v>
      </c>
    </row>
    <row r="334" spans="3:32">
      <c r="C334" s="43"/>
      <c r="D334" s="27"/>
      <c r="Z334" s="206">
        <f t="shared" si="24"/>
        <v>0</v>
      </c>
      <c r="AA334" s="207">
        <f t="shared" si="24"/>
        <v>0</v>
      </c>
      <c r="AB334" s="207">
        <f t="shared" si="25"/>
        <v>105.73929214477539</v>
      </c>
      <c r="AC334" s="207">
        <f t="shared" si="26"/>
        <v>89.406955718994141</v>
      </c>
      <c r="AD334" s="207">
        <f t="shared" si="27"/>
        <v>0</v>
      </c>
      <c r="AE334" s="207">
        <f t="shared" si="28"/>
        <v>61.18043327331543</v>
      </c>
      <c r="AF334" s="207">
        <f t="shared" si="29"/>
        <v>47.812652587890625</v>
      </c>
    </row>
    <row r="335" spans="3:32">
      <c r="C335" s="43"/>
      <c r="D335" s="27"/>
      <c r="Z335" s="206">
        <f t="shared" ref="Z335:AA398" si="30">B335</f>
        <v>0</v>
      </c>
      <c r="AA335" s="207">
        <f t="shared" si="30"/>
        <v>0</v>
      </c>
      <c r="AB335" s="207">
        <f t="shared" ref="AB335:AB398" si="31">$J$24</f>
        <v>105.73929214477539</v>
      </c>
      <c r="AC335" s="207">
        <f t="shared" ref="AC335:AC398" si="32">$J$25</f>
        <v>89.406955718994141</v>
      </c>
      <c r="AD335" s="207">
        <f t="shared" ref="AD335:AD398" si="33">D335</f>
        <v>0</v>
      </c>
      <c r="AE335" s="207">
        <f t="shared" ref="AE335:AE398" si="34">$K$24</f>
        <v>61.18043327331543</v>
      </c>
      <c r="AF335" s="207">
        <f t="shared" ref="AF335:AF398" si="35">$K$25</f>
        <v>47.812652587890625</v>
      </c>
    </row>
    <row r="336" spans="3:32">
      <c r="C336" s="43"/>
      <c r="D336" s="27"/>
      <c r="Z336" s="206">
        <f t="shared" si="30"/>
        <v>0</v>
      </c>
      <c r="AA336" s="207">
        <f t="shared" si="30"/>
        <v>0</v>
      </c>
      <c r="AB336" s="207">
        <f t="shared" si="31"/>
        <v>105.73929214477539</v>
      </c>
      <c r="AC336" s="207">
        <f t="shared" si="32"/>
        <v>89.406955718994141</v>
      </c>
      <c r="AD336" s="207">
        <f t="shared" si="33"/>
        <v>0</v>
      </c>
      <c r="AE336" s="207">
        <f t="shared" si="34"/>
        <v>61.18043327331543</v>
      </c>
      <c r="AF336" s="207">
        <f t="shared" si="35"/>
        <v>47.812652587890625</v>
      </c>
    </row>
    <row r="337" spans="3:32">
      <c r="C337" s="43"/>
      <c r="D337" s="27"/>
      <c r="Z337" s="206">
        <f t="shared" si="30"/>
        <v>0</v>
      </c>
      <c r="AA337" s="207">
        <f t="shared" si="30"/>
        <v>0</v>
      </c>
      <c r="AB337" s="207">
        <f t="shared" si="31"/>
        <v>105.73929214477539</v>
      </c>
      <c r="AC337" s="207">
        <f t="shared" si="32"/>
        <v>89.406955718994141</v>
      </c>
      <c r="AD337" s="207">
        <f t="shared" si="33"/>
        <v>0</v>
      </c>
      <c r="AE337" s="207">
        <f t="shared" si="34"/>
        <v>61.18043327331543</v>
      </c>
      <c r="AF337" s="207">
        <f t="shared" si="35"/>
        <v>47.812652587890625</v>
      </c>
    </row>
    <row r="338" spans="3:32">
      <c r="C338" s="43"/>
      <c r="D338" s="27"/>
      <c r="Z338" s="206">
        <f t="shared" si="30"/>
        <v>0</v>
      </c>
      <c r="AA338" s="207">
        <f t="shared" si="30"/>
        <v>0</v>
      </c>
      <c r="AB338" s="207">
        <f t="shared" si="31"/>
        <v>105.73929214477539</v>
      </c>
      <c r="AC338" s="207">
        <f t="shared" si="32"/>
        <v>89.406955718994141</v>
      </c>
      <c r="AD338" s="207">
        <f t="shared" si="33"/>
        <v>0</v>
      </c>
      <c r="AE338" s="207">
        <f t="shared" si="34"/>
        <v>61.18043327331543</v>
      </c>
      <c r="AF338" s="207">
        <f t="shared" si="35"/>
        <v>47.812652587890625</v>
      </c>
    </row>
    <row r="339" spans="3:32">
      <c r="C339" s="43"/>
      <c r="D339" s="27"/>
      <c r="Z339" s="206">
        <f t="shared" si="30"/>
        <v>0</v>
      </c>
      <c r="AA339" s="207">
        <f t="shared" si="30"/>
        <v>0</v>
      </c>
      <c r="AB339" s="207">
        <f t="shared" si="31"/>
        <v>105.73929214477539</v>
      </c>
      <c r="AC339" s="207">
        <f t="shared" si="32"/>
        <v>89.406955718994141</v>
      </c>
      <c r="AD339" s="207">
        <f t="shared" si="33"/>
        <v>0</v>
      </c>
      <c r="AE339" s="207">
        <f t="shared" si="34"/>
        <v>61.18043327331543</v>
      </c>
      <c r="AF339" s="207">
        <f t="shared" si="35"/>
        <v>47.812652587890625</v>
      </c>
    </row>
    <row r="340" spans="3:32">
      <c r="C340" s="43"/>
      <c r="D340" s="27"/>
      <c r="Z340" s="206">
        <f t="shared" si="30"/>
        <v>0</v>
      </c>
      <c r="AA340" s="207">
        <f t="shared" si="30"/>
        <v>0</v>
      </c>
      <c r="AB340" s="207">
        <f t="shared" si="31"/>
        <v>105.73929214477539</v>
      </c>
      <c r="AC340" s="207">
        <f t="shared" si="32"/>
        <v>89.406955718994141</v>
      </c>
      <c r="AD340" s="207">
        <f t="shared" si="33"/>
        <v>0</v>
      </c>
      <c r="AE340" s="207">
        <f t="shared" si="34"/>
        <v>61.18043327331543</v>
      </c>
      <c r="AF340" s="207">
        <f t="shared" si="35"/>
        <v>47.812652587890625</v>
      </c>
    </row>
    <row r="341" spans="3:32">
      <c r="C341" s="43"/>
      <c r="D341" s="27"/>
      <c r="Z341" s="206">
        <f t="shared" si="30"/>
        <v>0</v>
      </c>
      <c r="AA341" s="207">
        <f t="shared" si="30"/>
        <v>0</v>
      </c>
      <c r="AB341" s="207">
        <f t="shared" si="31"/>
        <v>105.73929214477539</v>
      </c>
      <c r="AC341" s="207">
        <f t="shared" si="32"/>
        <v>89.406955718994141</v>
      </c>
      <c r="AD341" s="207">
        <f t="shared" si="33"/>
        <v>0</v>
      </c>
      <c r="AE341" s="207">
        <f t="shared" si="34"/>
        <v>61.18043327331543</v>
      </c>
      <c r="AF341" s="207">
        <f t="shared" si="35"/>
        <v>47.812652587890625</v>
      </c>
    </row>
    <row r="342" spans="3:32">
      <c r="C342" s="43"/>
      <c r="D342" s="27"/>
      <c r="Z342" s="206">
        <f t="shared" si="30"/>
        <v>0</v>
      </c>
      <c r="AA342" s="207">
        <f t="shared" si="30"/>
        <v>0</v>
      </c>
      <c r="AB342" s="207">
        <f t="shared" si="31"/>
        <v>105.73929214477539</v>
      </c>
      <c r="AC342" s="207">
        <f t="shared" si="32"/>
        <v>89.406955718994141</v>
      </c>
      <c r="AD342" s="207">
        <f t="shared" si="33"/>
        <v>0</v>
      </c>
      <c r="AE342" s="207">
        <f t="shared" si="34"/>
        <v>61.18043327331543</v>
      </c>
      <c r="AF342" s="207">
        <f t="shared" si="35"/>
        <v>47.812652587890625</v>
      </c>
    </row>
    <row r="343" spans="3:32">
      <c r="C343" s="43"/>
      <c r="D343" s="27"/>
      <c r="Z343" s="206">
        <f t="shared" si="30"/>
        <v>0</v>
      </c>
      <c r="AA343" s="207">
        <f t="shared" si="30"/>
        <v>0</v>
      </c>
      <c r="AB343" s="207">
        <f t="shared" si="31"/>
        <v>105.73929214477539</v>
      </c>
      <c r="AC343" s="207">
        <f t="shared" si="32"/>
        <v>89.406955718994141</v>
      </c>
      <c r="AD343" s="207">
        <f t="shared" si="33"/>
        <v>0</v>
      </c>
      <c r="AE343" s="207">
        <f t="shared" si="34"/>
        <v>61.18043327331543</v>
      </c>
      <c r="AF343" s="207">
        <f t="shared" si="35"/>
        <v>47.812652587890625</v>
      </c>
    </row>
    <row r="344" spans="3:32">
      <c r="C344" s="43"/>
      <c r="D344" s="27"/>
      <c r="Z344" s="206">
        <f t="shared" si="30"/>
        <v>0</v>
      </c>
      <c r="AA344" s="207">
        <f t="shared" si="30"/>
        <v>0</v>
      </c>
      <c r="AB344" s="207">
        <f t="shared" si="31"/>
        <v>105.73929214477539</v>
      </c>
      <c r="AC344" s="207">
        <f t="shared" si="32"/>
        <v>89.406955718994141</v>
      </c>
      <c r="AD344" s="207">
        <f t="shared" si="33"/>
        <v>0</v>
      </c>
      <c r="AE344" s="207">
        <f t="shared" si="34"/>
        <v>61.18043327331543</v>
      </c>
      <c r="AF344" s="207">
        <f t="shared" si="35"/>
        <v>47.812652587890625</v>
      </c>
    </row>
    <row r="345" spans="3:32">
      <c r="C345" s="43"/>
      <c r="D345" s="27"/>
      <c r="Z345" s="206">
        <f t="shared" si="30"/>
        <v>0</v>
      </c>
      <c r="AA345" s="207">
        <f t="shared" si="30"/>
        <v>0</v>
      </c>
      <c r="AB345" s="207">
        <f t="shared" si="31"/>
        <v>105.73929214477539</v>
      </c>
      <c r="AC345" s="207">
        <f t="shared" si="32"/>
        <v>89.406955718994141</v>
      </c>
      <c r="AD345" s="207">
        <f t="shared" si="33"/>
        <v>0</v>
      </c>
      <c r="AE345" s="207">
        <f t="shared" si="34"/>
        <v>61.18043327331543</v>
      </c>
      <c r="AF345" s="207">
        <f t="shared" si="35"/>
        <v>47.812652587890625</v>
      </c>
    </row>
    <row r="346" spans="3:32">
      <c r="C346" s="43"/>
      <c r="D346" s="27"/>
      <c r="Z346" s="206">
        <f t="shared" si="30"/>
        <v>0</v>
      </c>
      <c r="AA346" s="207">
        <f t="shared" si="30"/>
        <v>0</v>
      </c>
      <c r="AB346" s="207">
        <f t="shared" si="31"/>
        <v>105.73929214477539</v>
      </c>
      <c r="AC346" s="207">
        <f t="shared" si="32"/>
        <v>89.406955718994141</v>
      </c>
      <c r="AD346" s="207">
        <f t="shared" si="33"/>
        <v>0</v>
      </c>
      <c r="AE346" s="207">
        <f t="shared" si="34"/>
        <v>61.18043327331543</v>
      </c>
      <c r="AF346" s="207">
        <f t="shared" si="35"/>
        <v>47.812652587890625</v>
      </c>
    </row>
    <row r="347" spans="3:32">
      <c r="C347" s="43"/>
      <c r="D347" s="27"/>
      <c r="Z347" s="206">
        <f t="shared" si="30"/>
        <v>0</v>
      </c>
      <c r="AA347" s="207">
        <f t="shared" si="30"/>
        <v>0</v>
      </c>
      <c r="AB347" s="207">
        <f t="shared" si="31"/>
        <v>105.73929214477539</v>
      </c>
      <c r="AC347" s="207">
        <f t="shared" si="32"/>
        <v>89.406955718994141</v>
      </c>
      <c r="AD347" s="207">
        <f t="shared" si="33"/>
        <v>0</v>
      </c>
      <c r="AE347" s="207">
        <f t="shared" si="34"/>
        <v>61.18043327331543</v>
      </c>
      <c r="AF347" s="207">
        <f t="shared" si="35"/>
        <v>47.812652587890625</v>
      </c>
    </row>
    <row r="348" spans="3:32">
      <c r="C348" s="43"/>
      <c r="D348" s="27"/>
      <c r="Z348" s="206">
        <f t="shared" si="30"/>
        <v>0</v>
      </c>
      <c r="AA348" s="207">
        <f t="shared" si="30"/>
        <v>0</v>
      </c>
      <c r="AB348" s="207">
        <f t="shared" si="31"/>
        <v>105.73929214477539</v>
      </c>
      <c r="AC348" s="207">
        <f t="shared" si="32"/>
        <v>89.406955718994141</v>
      </c>
      <c r="AD348" s="207">
        <f t="shared" si="33"/>
        <v>0</v>
      </c>
      <c r="AE348" s="207">
        <f t="shared" si="34"/>
        <v>61.18043327331543</v>
      </c>
      <c r="AF348" s="207">
        <f t="shared" si="35"/>
        <v>47.812652587890625</v>
      </c>
    </row>
    <row r="349" spans="3:32">
      <c r="C349" s="43"/>
      <c r="D349" s="27"/>
      <c r="Z349" s="206">
        <f t="shared" si="30"/>
        <v>0</v>
      </c>
      <c r="AA349" s="207">
        <f t="shared" si="30"/>
        <v>0</v>
      </c>
      <c r="AB349" s="207">
        <f t="shared" si="31"/>
        <v>105.73929214477539</v>
      </c>
      <c r="AC349" s="207">
        <f t="shared" si="32"/>
        <v>89.406955718994141</v>
      </c>
      <c r="AD349" s="207">
        <f t="shared" si="33"/>
        <v>0</v>
      </c>
      <c r="AE349" s="207">
        <f t="shared" si="34"/>
        <v>61.18043327331543</v>
      </c>
      <c r="AF349" s="207">
        <f t="shared" si="35"/>
        <v>47.812652587890625</v>
      </c>
    </row>
    <row r="350" spans="3:32">
      <c r="C350" s="43"/>
      <c r="D350" s="27"/>
      <c r="Z350" s="206">
        <f t="shared" si="30"/>
        <v>0</v>
      </c>
      <c r="AA350" s="207">
        <f t="shared" si="30"/>
        <v>0</v>
      </c>
      <c r="AB350" s="207">
        <f t="shared" si="31"/>
        <v>105.73929214477539</v>
      </c>
      <c r="AC350" s="207">
        <f t="shared" si="32"/>
        <v>89.406955718994141</v>
      </c>
      <c r="AD350" s="207">
        <f t="shared" si="33"/>
        <v>0</v>
      </c>
      <c r="AE350" s="207">
        <f t="shared" si="34"/>
        <v>61.18043327331543</v>
      </c>
      <c r="AF350" s="207">
        <f t="shared" si="35"/>
        <v>47.812652587890625</v>
      </c>
    </row>
    <row r="351" spans="3:32">
      <c r="C351" s="43"/>
      <c r="D351" s="27"/>
      <c r="Z351" s="206">
        <f t="shared" si="30"/>
        <v>0</v>
      </c>
      <c r="AA351" s="207">
        <f t="shared" si="30"/>
        <v>0</v>
      </c>
      <c r="AB351" s="207">
        <f t="shared" si="31"/>
        <v>105.73929214477539</v>
      </c>
      <c r="AC351" s="207">
        <f t="shared" si="32"/>
        <v>89.406955718994141</v>
      </c>
      <c r="AD351" s="207">
        <f t="shared" si="33"/>
        <v>0</v>
      </c>
      <c r="AE351" s="207">
        <f t="shared" si="34"/>
        <v>61.18043327331543</v>
      </c>
      <c r="AF351" s="207">
        <f t="shared" si="35"/>
        <v>47.812652587890625</v>
      </c>
    </row>
    <row r="352" spans="3:32">
      <c r="C352" s="43"/>
      <c r="D352" s="27"/>
      <c r="Z352" s="206">
        <f t="shared" si="30"/>
        <v>0</v>
      </c>
      <c r="AA352" s="207">
        <f t="shared" si="30"/>
        <v>0</v>
      </c>
      <c r="AB352" s="207">
        <f t="shared" si="31"/>
        <v>105.73929214477539</v>
      </c>
      <c r="AC352" s="207">
        <f t="shared" si="32"/>
        <v>89.406955718994141</v>
      </c>
      <c r="AD352" s="207">
        <f t="shared" si="33"/>
        <v>0</v>
      </c>
      <c r="AE352" s="207">
        <f t="shared" si="34"/>
        <v>61.18043327331543</v>
      </c>
      <c r="AF352" s="207">
        <f t="shared" si="35"/>
        <v>47.812652587890625</v>
      </c>
    </row>
    <row r="353" spans="3:32">
      <c r="C353" s="43"/>
      <c r="D353" s="27"/>
      <c r="Z353" s="206">
        <f t="shared" si="30"/>
        <v>0</v>
      </c>
      <c r="AA353" s="207">
        <f t="shared" si="30"/>
        <v>0</v>
      </c>
      <c r="AB353" s="207">
        <f t="shared" si="31"/>
        <v>105.73929214477539</v>
      </c>
      <c r="AC353" s="207">
        <f t="shared" si="32"/>
        <v>89.406955718994141</v>
      </c>
      <c r="AD353" s="207">
        <f t="shared" si="33"/>
        <v>0</v>
      </c>
      <c r="AE353" s="207">
        <f t="shared" si="34"/>
        <v>61.18043327331543</v>
      </c>
      <c r="AF353" s="207">
        <f t="shared" si="35"/>
        <v>47.812652587890625</v>
      </c>
    </row>
    <row r="354" spans="3:32">
      <c r="C354" s="43"/>
      <c r="D354" s="27"/>
      <c r="Z354" s="206">
        <f t="shared" si="30"/>
        <v>0</v>
      </c>
      <c r="AA354" s="207">
        <f t="shared" si="30"/>
        <v>0</v>
      </c>
      <c r="AB354" s="207">
        <f t="shared" si="31"/>
        <v>105.73929214477539</v>
      </c>
      <c r="AC354" s="207">
        <f t="shared" si="32"/>
        <v>89.406955718994141</v>
      </c>
      <c r="AD354" s="207">
        <f t="shared" si="33"/>
        <v>0</v>
      </c>
      <c r="AE354" s="207">
        <f t="shared" si="34"/>
        <v>61.18043327331543</v>
      </c>
      <c r="AF354" s="207">
        <f t="shared" si="35"/>
        <v>47.812652587890625</v>
      </c>
    </row>
    <row r="355" spans="3:32">
      <c r="C355" s="43"/>
      <c r="D355" s="27"/>
      <c r="Z355" s="206">
        <f t="shared" si="30"/>
        <v>0</v>
      </c>
      <c r="AA355" s="207">
        <f t="shared" si="30"/>
        <v>0</v>
      </c>
      <c r="AB355" s="207">
        <f t="shared" si="31"/>
        <v>105.73929214477539</v>
      </c>
      <c r="AC355" s="207">
        <f t="shared" si="32"/>
        <v>89.406955718994141</v>
      </c>
      <c r="AD355" s="207">
        <f t="shared" si="33"/>
        <v>0</v>
      </c>
      <c r="AE355" s="207">
        <f t="shared" si="34"/>
        <v>61.18043327331543</v>
      </c>
      <c r="AF355" s="207">
        <f t="shared" si="35"/>
        <v>47.812652587890625</v>
      </c>
    </row>
    <row r="356" spans="3:32">
      <c r="C356" s="43"/>
      <c r="D356" s="27"/>
      <c r="Z356" s="206">
        <f t="shared" si="30"/>
        <v>0</v>
      </c>
      <c r="AA356" s="207">
        <f t="shared" si="30"/>
        <v>0</v>
      </c>
      <c r="AB356" s="207">
        <f t="shared" si="31"/>
        <v>105.73929214477539</v>
      </c>
      <c r="AC356" s="207">
        <f t="shared" si="32"/>
        <v>89.406955718994141</v>
      </c>
      <c r="AD356" s="207">
        <f t="shared" si="33"/>
        <v>0</v>
      </c>
      <c r="AE356" s="207">
        <f t="shared" si="34"/>
        <v>61.18043327331543</v>
      </c>
      <c r="AF356" s="207">
        <f t="shared" si="35"/>
        <v>47.812652587890625</v>
      </c>
    </row>
    <row r="357" spans="3:32">
      <c r="C357" s="43"/>
      <c r="D357" s="27"/>
      <c r="Z357" s="206">
        <f t="shared" si="30"/>
        <v>0</v>
      </c>
      <c r="AA357" s="207">
        <f t="shared" si="30"/>
        <v>0</v>
      </c>
      <c r="AB357" s="207">
        <f t="shared" si="31"/>
        <v>105.73929214477539</v>
      </c>
      <c r="AC357" s="207">
        <f t="shared" si="32"/>
        <v>89.406955718994141</v>
      </c>
      <c r="AD357" s="207">
        <f t="shared" si="33"/>
        <v>0</v>
      </c>
      <c r="AE357" s="207">
        <f t="shared" si="34"/>
        <v>61.18043327331543</v>
      </c>
      <c r="AF357" s="207">
        <f t="shared" si="35"/>
        <v>47.812652587890625</v>
      </c>
    </row>
    <row r="358" spans="3:32">
      <c r="C358" s="43"/>
      <c r="D358" s="27"/>
      <c r="Z358" s="206">
        <f t="shared" si="30"/>
        <v>0</v>
      </c>
      <c r="AA358" s="207">
        <f t="shared" si="30"/>
        <v>0</v>
      </c>
      <c r="AB358" s="207">
        <f t="shared" si="31"/>
        <v>105.73929214477539</v>
      </c>
      <c r="AC358" s="207">
        <f t="shared" si="32"/>
        <v>89.406955718994141</v>
      </c>
      <c r="AD358" s="207">
        <f t="shared" si="33"/>
        <v>0</v>
      </c>
      <c r="AE358" s="207">
        <f t="shared" si="34"/>
        <v>61.18043327331543</v>
      </c>
      <c r="AF358" s="207">
        <f t="shared" si="35"/>
        <v>47.812652587890625</v>
      </c>
    </row>
    <row r="359" spans="3:32">
      <c r="C359" s="43"/>
      <c r="D359" s="27"/>
      <c r="Z359" s="206">
        <f t="shared" si="30"/>
        <v>0</v>
      </c>
      <c r="AA359" s="207">
        <f t="shared" si="30"/>
        <v>0</v>
      </c>
      <c r="AB359" s="207">
        <f t="shared" si="31"/>
        <v>105.73929214477539</v>
      </c>
      <c r="AC359" s="207">
        <f t="shared" si="32"/>
        <v>89.406955718994141</v>
      </c>
      <c r="AD359" s="207">
        <f t="shared" si="33"/>
        <v>0</v>
      </c>
      <c r="AE359" s="207">
        <f t="shared" si="34"/>
        <v>61.18043327331543</v>
      </c>
      <c r="AF359" s="207">
        <f t="shared" si="35"/>
        <v>47.812652587890625</v>
      </c>
    </row>
    <row r="360" spans="3:32">
      <c r="C360" s="43"/>
      <c r="D360" s="27"/>
      <c r="Z360" s="206">
        <f t="shared" si="30"/>
        <v>0</v>
      </c>
      <c r="AA360" s="207">
        <f t="shared" si="30"/>
        <v>0</v>
      </c>
      <c r="AB360" s="207">
        <f t="shared" si="31"/>
        <v>105.73929214477539</v>
      </c>
      <c r="AC360" s="207">
        <f t="shared" si="32"/>
        <v>89.406955718994141</v>
      </c>
      <c r="AD360" s="207">
        <f t="shared" si="33"/>
        <v>0</v>
      </c>
      <c r="AE360" s="207">
        <f t="shared" si="34"/>
        <v>61.18043327331543</v>
      </c>
      <c r="AF360" s="207">
        <f t="shared" si="35"/>
        <v>47.812652587890625</v>
      </c>
    </row>
    <row r="361" spans="3:32">
      <c r="C361" s="43"/>
      <c r="D361" s="27"/>
      <c r="Z361" s="206">
        <f t="shared" si="30"/>
        <v>0</v>
      </c>
      <c r="AA361" s="207">
        <f t="shared" si="30"/>
        <v>0</v>
      </c>
      <c r="AB361" s="207">
        <f t="shared" si="31"/>
        <v>105.73929214477539</v>
      </c>
      <c r="AC361" s="207">
        <f t="shared" si="32"/>
        <v>89.406955718994141</v>
      </c>
      <c r="AD361" s="207">
        <f t="shared" si="33"/>
        <v>0</v>
      </c>
      <c r="AE361" s="207">
        <f t="shared" si="34"/>
        <v>61.18043327331543</v>
      </c>
      <c r="AF361" s="207">
        <f t="shared" si="35"/>
        <v>47.812652587890625</v>
      </c>
    </row>
    <row r="362" spans="3:32">
      <c r="C362" s="43"/>
      <c r="D362" s="27"/>
      <c r="Z362" s="206">
        <f t="shared" si="30"/>
        <v>0</v>
      </c>
      <c r="AA362" s="207">
        <f t="shared" si="30"/>
        <v>0</v>
      </c>
      <c r="AB362" s="207">
        <f t="shared" si="31"/>
        <v>105.73929214477539</v>
      </c>
      <c r="AC362" s="207">
        <f t="shared" si="32"/>
        <v>89.406955718994141</v>
      </c>
      <c r="AD362" s="207">
        <f t="shared" si="33"/>
        <v>0</v>
      </c>
      <c r="AE362" s="207">
        <f t="shared" si="34"/>
        <v>61.18043327331543</v>
      </c>
      <c r="AF362" s="207">
        <f t="shared" si="35"/>
        <v>47.812652587890625</v>
      </c>
    </row>
    <row r="363" spans="3:32">
      <c r="C363" s="43"/>
      <c r="D363" s="27"/>
      <c r="Z363" s="206">
        <f t="shared" si="30"/>
        <v>0</v>
      </c>
      <c r="AA363" s="207">
        <f t="shared" si="30"/>
        <v>0</v>
      </c>
      <c r="AB363" s="207">
        <f t="shared" si="31"/>
        <v>105.73929214477539</v>
      </c>
      <c r="AC363" s="207">
        <f t="shared" si="32"/>
        <v>89.406955718994141</v>
      </c>
      <c r="AD363" s="207">
        <f t="shared" si="33"/>
        <v>0</v>
      </c>
      <c r="AE363" s="207">
        <f t="shared" si="34"/>
        <v>61.18043327331543</v>
      </c>
      <c r="AF363" s="207">
        <f t="shared" si="35"/>
        <v>47.812652587890625</v>
      </c>
    </row>
    <row r="364" spans="3:32">
      <c r="C364" s="43"/>
      <c r="D364" s="27"/>
      <c r="Z364" s="206">
        <f t="shared" si="30"/>
        <v>0</v>
      </c>
      <c r="AA364" s="207">
        <f t="shared" si="30"/>
        <v>0</v>
      </c>
      <c r="AB364" s="207">
        <f t="shared" si="31"/>
        <v>105.73929214477539</v>
      </c>
      <c r="AC364" s="207">
        <f t="shared" si="32"/>
        <v>89.406955718994141</v>
      </c>
      <c r="AD364" s="207">
        <f t="shared" si="33"/>
        <v>0</v>
      </c>
      <c r="AE364" s="207">
        <f t="shared" si="34"/>
        <v>61.18043327331543</v>
      </c>
      <c r="AF364" s="207">
        <f t="shared" si="35"/>
        <v>47.812652587890625</v>
      </c>
    </row>
    <row r="365" spans="3:32">
      <c r="C365" s="43"/>
      <c r="D365" s="27"/>
      <c r="Z365" s="206">
        <f t="shared" si="30"/>
        <v>0</v>
      </c>
      <c r="AA365" s="207">
        <f t="shared" si="30"/>
        <v>0</v>
      </c>
      <c r="AB365" s="207">
        <f t="shared" si="31"/>
        <v>105.73929214477539</v>
      </c>
      <c r="AC365" s="207">
        <f t="shared" si="32"/>
        <v>89.406955718994141</v>
      </c>
      <c r="AD365" s="207">
        <f t="shared" si="33"/>
        <v>0</v>
      </c>
      <c r="AE365" s="207">
        <f t="shared" si="34"/>
        <v>61.18043327331543</v>
      </c>
      <c r="AF365" s="207">
        <f t="shared" si="35"/>
        <v>47.812652587890625</v>
      </c>
    </row>
    <row r="366" spans="3:32">
      <c r="C366" s="43"/>
      <c r="D366" s="27"/>
      <c r="Z366" s="206">
        <f t="shared" si="30"/>
        <v>0</v>
      </c>
      <c r="AA366" s="207">
        <f t="shared" si="30"/>
        <v>0</v>
      </c>
      <c r="AB366" s="207">
        <f t="shared" si="31"/>
        <v>105.73929214477539</v>
      </c>
      <c r="AC366" s="207">
        <f t="shared" si="32"/>
        <v>89.406955718994141</v>
      </c>
      <c r="AD366" s="207">
        <f t="shared" si="33"/>
        <v>0</v>
      </c>
      <c r="AE366" s="207">
        <f t="shared" si="34"/>
        <v>61.18043327331543</v>
      </c>
      <c r="AF366" s="207">
        <f t="shared" si="35"/>
        <v>47.812652587890625</v>
      </c>
    </row>
    <row r="367" spans="3:32">
      <c r="C367" s="43"/>
      <c r="D367" s="27"/>
      <c r="Z367" s="206">
        <f t="shared" si="30"/>
        <v>0</v>
      </c>
      <c r="AA367" s="207">
        <f t="shared" si="30"/>
        <v>0</v>
      </c>
      <c r="AB367" s="207">
        <f t="shared" si="31"/>
        <v>105.73929214477539</v>
      </c>
      <c r="AC367" s="207">
        <f t="shared" si="32"/>
        <v>89.406955718994141</v>
      </c>
      <c r="AD367" s="207">
        <f t="shared" si="33"/>
        <v>0</v>
      </c>
      <c r="AE367" s="207">
        <f t="shared" si="34"/>
        <v>61.18043327331543</v>
      </c>
      <c r="AF367" s="207">
        <f t="shared" si="35"/>
        <v>47.812652587890625</v>
      </c>
    </row>
    <row r="368" spans="3:32">
      <c r="C368" s="43"/>
      <c r="D368" s="27"/>
      <c r="Z368" s="206">
        <f t="shared" si="30"/>
        <v>0</v>
      </c>
      <c r="AA368" s="207">
        <f t="shared" si="30"/>
        <v>0</v>
      </c>
      <c r="AB368" s="207">
        <f t="shared" si="31"/>
        <v>105.73929214477539</v>
      </c>
      <c r="AC368" s="207">
        <f t="shared" si="32"/>
        <v>89.406955718994141</v>
      </c>
      <c r="AD368" s="207">
        <f t="shared" si="33"/>
        <v>0</v>
      </c>
      <c r="AE368" s="207">
        <f t="shared" si="34"/>
        <v>61.18043327331543</v>
      </c>
      <c r="AF368" s="207">
        <f t="shared" si="35"/>
        <v>47.812652587890625</v>
      </c>
    </row>
    <row r="369" spans="3:32">
      <c r="C369" s="43"/>
      <c r="D369" s="27"/>
      <c r="Z369" s="206">
        <f t="shared" si="30"/>
        <v>0</v>
      </c>
      <c r="AA369" s="207">
        <f t="shared" si="30"/>
        <v>0</v>
      </c>
      <c r="AB369" s="207">
        <f t="shared" si="31"/>
        <v>105.73929214477539</v>
      </c>
      <c r="AC369" s="207">
        <f t="shared" si="32"/>
        <v>89.406955718994141</v>
      </c>
      <c r="AD369" s="207">
        <f t="shared" si="33"/>
        <v>0</v>
      </c>
      <c r="AE369" s="207">
        <f t="shared" si="34"/>
        <v>61.18043327331543</v>
      </c>
      <c r="AF369" s="207">
        <f t="shared" si="35"/>
        <v>47.812652587890625</v>
      </c>
    </row>
    <row r="370" spans="3:32">
      <c r="C370" s="43"/>
      <c r="D370" s="27"/>
      <c r="Z370" s="206">
        <f t="shared" si="30"/>
        <v>0</v>
      </c>
      <c r="AA370" s="207">
        <f t="shared" si="30"/>
        <v>0</v>
      </c>
      <c r="AB370" s="207">
        <f t="shared" si="31"/>
        <v>105.73929214477539</v>
      </c>
      <c r="AC370" s="207">
        <f t="shared" si="32"/>
        <v>89.406955718994141</v>
      </c>
      <c r="AD370" s="207">
        <f t="shared" si="33"/>
        <v>0</v>
      </c>
      <c r="AE370" s="207">
        <f t="shared" si="34"/>
        <v>61.18043327331543</v>
      </c>
      <c r="AF370" s="207">
        <f t="shared" si="35"/>
        <v>47.812652587890625</v>
      </c>
    </row>
    <row r="371" spans="3:32">
      <c r="C371" s="43"/>
      <c r="D371" s="27"/>
      <c r="Z371" s="206">
        <f t="shared" si="30"/>
        <v>0</v>
      </c>
      <c r="AA371" s="207">
        <f t="shared" si="30"/>
        <v>0</v>
      </c>
      <c r="AB371" s="207">
        <f t="shared" si="31"/>
        <v>105.73929214477539</v>
      </c>
      <c r="AC371" s="207">
        <f t="shared" si="32"/>
        <v>89.406955718994141</v>
      </c>
      <c r="AD371" s="207">
        <f t="shared" si="33"/>
        <v>0</v>
      </c>
      <c r="AE371" s="207">
        <f t="shared" si="34"/>
        <v>61.18043327331543</v>
      </c>
      <c r="AF371" s="207">
        <f t="shared" si="35"/>
        <v>47.812652587890625</v>
      </c>
    </row>
    <row r="372" spans="3:32">
      <c r="C372" s="43"/>
      <c r="D372" s="27"/>
      <c r="Z372" s="206">
        <f t="shared" si="30"/>
        <v>0</v>
      </c>
      <c r="AA372" s="207">
        <f t="shared" si="30"/>
        <v>0</v>
      </c>
      <c r="AB372" s="207">
        <f t="shared" si="31"/>
        <v>105.73929214477539</v>
      </c>
      <c r="AC372" s="207">
        <f t="shared" si="32"/>
        <v>89.406955718994141</v>
      </c>
      <c r="AD372" s="207">
        <f t="shared" si="33"/>
        <v>0</v>
      </c>
      <c r="AE372" s="207">
        <f t="shared" si="34"/>
        <v>61.18043327331543</v>
      </c>
      <c r="AF372" s="207">
        <f t="shared" si="35"/>
        <v>47.812652587890625</v>
      </c>
    </row>
    <row r="373" spans="3:32">
      <c r="C373" s="43"/>
      <c r="D373" s="27"/>
      <c r="Z373" s="206">
        <f t="shared" si="30"/>
        <v>0</v>
      </c>
      <c r="AA373" s="207">
        <f t="shared" si="30"/>
        <v>0</v>
      </c>
      <c r="AB373" s="207">
        <f t="shared" si="31"/>
        <v>105.73929214477539</v>
      </c>
      <c r="AC373" s="207">
        <f t="shared" si="32"/>
        <v>89.406955718994141</v>
      </c>
      <c r="AD373" s="207">
        <f t="shared" si="33"/>
        <v>0</v>
      </c>
      <c r="AE373" s="207">
        <f t="shared" si="34"/>
        <v>61.18043327331543</v>
      </c>
      <c r="AF373" s="207">
        <f t="shared" si="35"/>
        <v>47.812652587890625</v>
      </c>
    </row>
    <row r="374" spans="3:32">
      <c r="C374" s="43"/>
      <c r="D374" s="27"/>
      <c r="Z374" s="206">
        <f t="shared" si="30"/>
        <v>0</v>
      </c>
      <c r="AA374" s="207">
        <f t="shared" si="30"/>
        <v>0</v>
      </c>
      <c r="AB374" s="207">
        <f t="shared" si="31"/>
        <v>105.73929214477539</v>
      </c>
      <c r="AC374" s="207">
        <f t="shared" si="32"/>
        <v>89.406955718994141</v>
      </c>
      <c r="AD374" s="207">
        <f t="shared" si="33"/>
        <v>0</v>
      </c>
      <c r="AE374" s="207">
        <f t="shared" si="34"/>
        <v>61.18043327331543</v>
      </c>
      <c r="AF374" s="207">
        <f t="shared" si="35"/>
        <v>47.812652587890625</v>
      </c>
    </row>
    <row r="375" spans="3:32">
      <c r="C375" s="43"/>
      <c r="D375" s="27"/>
      <c r="Z375" s="206">
        <f t="shared" si="30"/>
        <v>0</v>
      </c>
      <c r="AA375" s="207">
        <f t="shared" si="30"/>
        <v>0</v>
      </c>
      <c r="AB375" s="207">
        <f t="shared" si="31"/>
        <v>105.73929214477539</v>
      </c>
      <c r="AC375" s="207">
        <f t="shared" si="32"/>
        <v>89.406955718994141</v>
      </c>
      <c r="AD375" s="207">
        <f t="shared" si="33"/>
        <v>0</v>
      </c>
      <c r="AE375" s="207">
        <f t="shared" si="34"/>
        <v>61.18043327331543</v>
      </c>
      <c r="AF375" s="207">
        <f t="shared" si="35"/>
        <v>47.812652587890625</v>
      </c>
    </row>
    <row r="376" spans="3:32">
      <c r="C376" s="43"/>
      <c r="D376" s="27"/>
      <c r="Z376" s="206">
        <f t="shared" si="30"/>
        <v>0</v>
      </c>
      <c r="AA376" s="207">
        <f t="shared" si="30"/>
        <v>0</v>
      </c>
      <c r="AB376" s="207">
        <f t="shared" si="31"/>
        <v>105.73929214477539</v>
      </c>
      <c r="AC376" s="207">
        <f t="shared" si="32"/>
        <v>89.406955718994141</v>
      </c>
      <c r="AD376" s="207">
        <f t="shared" si="33"/>
        <v>0</v>
      </c>
      <c r="AE376" s="207">
        <f t="shared" si="34"/>
        <v>61.18043327331543</v>
      </c>
      <c r="AF376" s="207">
        <f t="shared" si="35"/>
        <v>47.812652587890625</v>
      </c>
    </row>
    <row r="377" spans="3:32">
      <c r="C377" s="43"/>
      <c r="D377" s="27"/>
      <c r="Z377" s="206">
        <f t="shared" si="30"/>
        <v>0</v>
      </c>
      <c r="AA377" s="207">
        <f t="shared" si="30"/>
        <v>0</v>
      </c>
      <c r="AB377" s="207">
        <f t="shared" si="31"/>
        <v>105.73929214477539</v>
      </c>
      <c r="AC377" s="207">
        <f t="shared" si="32"/>
        <v>89.406955718994141</v>
      </c>
      <c r="AD377" s="207">
        <f t="shared" si="33"/>
        <v>0</v>
      </c>
      <c r="AE377" s="207">
        <f t="shared" si="34"/>
        <v>61.18043327331543</v>
      </c>
      <c r="AF377" s="207">
        <f t="shared" si="35"/>
        <v>47.812652587890625</v>
      </c>
    </row>
    <row r="378" spans="3:32">
      <c r="C378" s="43"/>
      <c r="D378" s="27"/>
      <c r="Z378" s="206">
        <f t="shared" si="30"/>
        <v>0</v>
      </c>
      <c r="AA378" s="207">
        <f t="shared" si="30"/>
        <v>0</v>
      </c>
      <c r="AB378" s="207">
        <f t="shared" si="31"/>
        <v>105.73929214477539</v>
      </c>
      <c r="AC378" s="207">
        <f t="shared" si="32"/>
        <v>89.406955718994141</v>
      </c>
      <c r="AD378" s="207">
        <f t="shared" si="33"/>
        <v>0</v>
      </c>
      <c r="AE378" s="207">
        <f t="shared" si="34"/>
        <v>61.18043327331543</v>
      </c>
      <c r="AF378" s="207">
        <f t="shared" si="35"/>
        <v>47.812652587890625</v>
      </c>
    </row>
    <row r="379" spans="3:32">
      <c r="C379" s="43"/>
      <c r="D379" s="27"/>
      <c r="Z379" s="206">
        <f t="shared" si="30"/>
        <v>0</v>
      </c>
      <c r="AA379" s="207">
        <f t="shared" si="30"/>
        <v>0</v>
      </c>
      <c r="AB379" s="207">
        <f t="shared" si="31"/>
        <v>105.73929214477539</v>
      </c>
      <c r="AC379" s="207">
        <f t="shared" si="32"/>
        <v>89.406955718994141</v>
      </c>
      <c r="AD379" s="207">
        <f t="shared" si="33"/>
        <v>0</v>
      </c>
      <c r="AE379" s="207">
        <f t="shared" si="34"/>
        <v>61.18043327331543</v>
      </c>
      <c r="AF379" s="207">
        <f t="shared" si="35"/>
        <v>47.812652587890625</v>
      </c>
    </row>
    <row r="380" spans="3:32">
      <c r="C380" s="43"/>
      <c r="D380" s="27"/>
      <c r="Z380" s="206">
        <f t="shared" si="30"/>
        <v>0</v>
      </c>
      <c r="AA380" s="207">
        <f t="shared" si="30"/>
        <v>0</v>
      </c>
      <c r="AB380" s="207">
        <f t="shared" si="31"/>
        <v>105.73929214477539</v>
      </c>
      <c r="AC380" s="207">
        <f t="shared" si="32"/>
        <v>89.406955718994141</v>
      </c>
      <c r="AD380" s="207">
        <f t="shared" si="33"/>
        <v>0</v>
      </c>
      <c r="AE380" s="207">
        <f t="shared" si="34"/>
        <v>61.18043327331543</v>
      </c>
      <c r="AF380" s="207">
        <f t="shared" si="35"/>
        <v>47.812652587890625</v>
      </c>
    </row>
    <row r="381" spans="3:32">
      <c r="C381" s="43"/>
      <c r="D381" s="27"/>
      <c r="Z381" s="206">
        <f t="shared" si="30"/>
        <v>0</v>
      </c>
      <c r="AA381" s="207">
        <f t="shared" si="30"/>
        <v>0</v>
      </c>
      <c r="AB381" s="207">
        <f t="shared" si="31"/>
        <v>105.73929214477539</v>
      </c>
      <c r="AC381" s="207">
        <f t="shared" si="32"/>
        <v>89.406955718994141</v>
      </c>
      <c r="AD381" s="207">
        <f t="shared" si="33"/>
        <v>0</v>
      </c>
      <c r="AE381" s="207">
        <f t="shared" si="34"/>
        <v>61.18043327331543</v>
      </c>
      <c r="AF381" s="207">
        <f t="shared" si="35"/>
        <v>47.812652587890625</v>
      </c>
    </row>
    <row r="382" spans="3:32">
      <c r="C382" s="43"/>
      <c r="D382" s="27"/>
      <c r="Z382" s="206">
        <f t="shared" si="30"/>
        <v>0</v>
      </c>
      <c r="AA382" s="207">
        <f t="shared" si="30"/>
        <v>0</v>
      </c>
      <c r="AB382" s="207">
        <f t="shared" si="31"/>
        <v>105.73929214477539</v>
      </c>
      <c r="AC382" s="207">
        <f t="shared" si="32"/>
        <v>89.406955718994141</v>
      </c>
      <c r="AD382" s="207">
        <f t="shared" si="33"/>
        <v>0</v>
      </c>
      <c r="AE382" s="207">
        <f t="shared" si="34"/>
        <v>61.18043327331543</v>
      </c>
      <c r="AF382" s="207">
        <f t="shared" si="35"/>
        <v>47.812652587890625</v>
      </c>
    </row>
    <row r="383" spans="3:32">
      <c r="C383" s="43"/>
      <c r="D383" s="27"/>
      <c r="Z383" s="206">
        <f t="shared" si="30"/>
        <v>0</v>
      </c>
      <c r="AA383" s="207">
        <f t="shared" si="30"/>
        <v>0</v>
      </c>
      <c r="AB383" s="207">
        <f t="shared" si="31"/>
        <v>105.73929214477539</v>
      </c>
      <c r="AC383" s="207">
        <f t="shared" si="32"/>
        <v>89.406955718994141</v>
      </c>
      <c r="AD383" s="207">
        <f t="shared" si="33"/>
        <v>0</v>
      </c>
      <c r="AE383" s="207">
        <f t="shared" si="34"/>
        <v>61.18043327331543</v>
      </c>
      <c r="AF383" s="207">
        <f t="shared" si="35"/>
        <v>47.812652587890625</v>
      </c>
    </row>
    <row r="384" spans="3:32">
      <c r="C384" s="43"/>
      <c r="D384" s="27"/>
      <c r="Z384" s="206">
        <f t="shared" si="30"/>
        <v>0</v>
      </c>
      <c r="AA384" s="207">
        <f t="shared" si="30"/>
        <v>0</v>
      </c>
      <c r="AB384" s="207">
        <f t="shared" si="31"/>
        <v>105.73929214477539</v>
      </c>
      <c r="AC384" s="207">
        <f t="shared" si="32"/>
        <v>89.406955718994141</v>
      </c>
      <c r="AD384" s="207">
        <f t="shared" si="33"/>
        <v>0</v>
      </c>
      <c r="AE384" s="207">
        <f t="shared" si="34"/>
        <v>61.18043327331543</v>
      </c>
      <c r="AF384" s="207">
        <f t="shared" si="35"/>
        <v>47.812652587890625</v>
      </c>
    </row>
    <row r="385" spans="3:32">
      <c r="C385" s="43"/>
      <c r="D385" s="27"/>
      <c r="Z385" s="206">
        <f t="shared" si="30"/>
        <v>0</v>
      </c>
      <c r="AA385" s="207">
        <f t="shared" si="30"/>
        <v>0</v>
      </c>
      <c r="AB385" s="207">
        <f t="shared" si="31"/>
        <v>105.73929214477539</v>
      </c>
      <c r="AC385" s="207">
        <f t="shared" si="32"/>
        <v>89.406955718994141</v>
      </c>
      <c r="AD385" s="207">
        <f t="shared" si="33"/>
        <v>0</v>
      </c>
      <c r="AE385" s="207">
        <f t="shared" si="34"/>
        <v>61.18043327331543</v>
      </c>
      <c r="AF385" s="207">
        <f t="shared" si="35"/>
        <v>47.812652587890625</v>
      </c>
    </row>
    <row r="386" spans="3:32">
      <c r="C386" s="43"/>
      <c r="D386" s="27"/>
      <c r="Z386" s="206">
        <f t="shared" si="30"/>
        <v>0</v>
      </c>
      <c r="AA386" s="207">
        <f t="shared" si="30"/>
        <v>0</v>
      </c>
      <c r="AB386" s="207">
        <f t="shared" si="31"/>
        <v>105.73929214477539</v>
      </c>
      <c r="AC386" s="207">
        <f t="shared" si="32"/>
        <v>89.406955718994141</v>
      </c>
      <c r="AD386" s="207">
        <f t="shared" si="33"/>
        <v>0</v>
      </c>
      <c r="AE386" s="207">
        <f t="shared" si="34"/>
        <v>61.18043327331543</v>
      </c>
      <c r="AF386" s="207">
        <f t="shared" si="35"/>
        <v>47.812652587890625</v>
      </c>
    </row>
    <row r="387" spans="3:32">
      <c r="C387" s="43"/>
      <c r="D387" s="27"/>
      <c r="Z387" s="206">
        <f t="shared" si="30"/>
        <v>0</v>
      </c>
      <c r="AA387" s="207">
        <f t="shared" si="30"/>
        <v>0</v>
      </c>
      <c r="AB387" s="207">
        <f t="shared" si="31"/>
        <v>105.73929214477539</v>
      </c>
      <c r="AC387" s="207">
        <f t="shared" si="32"/>
        <v>89.406955718994141</v>
      </c>
      <c r="AD387" s="207">
        <f t="shared" si="33"/>
        <v>0</v>
      </c>
      <c r="AE387" s="207">
        <f t="shared" si="34"/>
        <v>61.18043327331543</v>
      </c>
      <c r="AF387" s="207">
        <f t="shared" si="35"/>
        <v>47.812652587890625</v>
      </c>
    </row>
    <row r="388" spans="3:32">
      <c r="C388" s="43"/>
      <c r="D388" s="27"/>
      <c r="Z388" s="206">
        <f t="shared" si="30"/>
        <v>0</v>
      </c>
      <c r="AA388" s="207">
        <f t="shared" si="30"/>
        <v>0</v>
      </c>
      <c r="AB388" s="207">
        <f t="shared" si="31"/>
        <v>105.73929214477539</v>
      </c>
      <c r="AC388" s="207">
        <f t="shared" si="32"/>
        <v>89.406955718994141</v>
      </c>
      <c r="AD388" s="207">
        <f t="shared" si="33"/>
        <v>0</v>
      </c>
      <c r="AE388" s="207">
        <f t="shared" si="34"/>
        <v>61.18043327331543</v>
      </c>
      <c r="AF388" s="207">
        <f t="shared" si="35"/>
        <v>47.812652587890625</v>
      </c>
    </row>
    <row r="389" spans="3:32">
      <c r="C389" s="43"/>
      <c r="D389" s="27"/>
      <c r="Z389" s="206">
        <f t="shared" si="30"/>
        <v>0</v>
      </c>
      <c r="AA389" s="207">
        <f t="shared" si="30"/>
        <v>0</v>
      </c>
      <c r="AB389" s="207">
        <f t="shared" si="31"/>
        <v>105.73929214477539</v>
      </c>
      <c r="AC389" s="207">
        <f t="shared" si="32"/>
        <v>89.406955718994141</v>
      </c>
      <c r="AD389" s="207">
        <f t="shared" si="33"/>
        <v>0</v>
      </c>
      <c r="AE389" s="207">
        <f t="shared" si="34"/>
        <v>61.18043327331543</v>
      </c>
      <c r="AF389" s="207">
        <f t="shared" si="35"/>
        <v>47.812652587890625</v>
      </c>
    </row>
    <row r="390" spans="3:32">
      <c r="C390" s="43"/>
      <c r="D390" s="27"/>
      <c r="Z390" s="206">
        <f t="shared" si="30"/>
        <v>0</v>
      </c>
      <c r="AA390" s="207">
        <f t="shared" si="30"/>
        <v>0</v>
      </c>
      <c r="AB390" s="207">
        <f t="shared" si="31"/>
        <v>105.73929214477539</v>
      </c>
      <c r="AC390" s="207">
        <f t="shared" si="32"/>
        <v>89.406955718994141</v>
      </c>
      <c r="AD390" s="207">
        <f t="shared" si="33"/>
        <v>0</v>
      </c>
      <c r="AE390" s="207">
        <f t="shared" si="34"/>
        <v>61.18043327331543</v>
      </c>
      <c r="AF390" s="207">
        <f t="shared" si="35"/>
        <v>47.812652587890625</v>
      </c>
    </row>
    <row r="391" spans="3:32">
      <c r="C391" s="43"/>
      <c r="D391" s="27"/>
      <c r="Z391" s="206">
        <f t="shared" si="30"/>
        <v>0</v>
      </c>
      <c r="AA391" s="207">
        <f t="shared" si="30"/>
        <v>0</v>
      </c>
      <c r="AB391" s="207">
        <f t="shared" si="31"/>
        <v>105.73929214477539</v>
      </c>
      <c r="AC391" s="207">
        <f t="shared" si="32"/>
        <v>89.406955718994141</v>
      </c>
      <c r="AD391" s="207">
        <f t="shared" si="33"/>
        <v>0</v>
      </c>
      <c r="AE391" s="207">
        <f t="shared" si="34"/>
        <v>61.18043327331543</v>
      </c>
      <c r="AF391" s="207">
        <f t="shared" si="35"/>
        <v>47.812652587890625</v>
      </c>
    </row>
    <row r="392" spans="3:32">
      <c r="C392" s="43"/>
      <c r="D392" s="27"/>
      <c r="Z392" s="206">
        <f t="shared" si="30"/>
        <v>0</v>
      </c>
      <c r="AA392" s="207">
        <f t="shared" si="30"/>
        <v>0</v>
      </c>
      <c r="AB392" s="207">
        <f t="shared" si="31"/>
        <v>105.73929214477539</v>
      </c>
      <c r="AC392" s="207">
        <f t="shared" si="32"/>
        <v>89.406955718994141</v>
      </c>
      <c r="AD392" s="207">
        <f t="shared" si="33"/>
        <v>0</v>
      </c>
      <c r="AE392" s="207">
        <f t="shared" si="34"/>
        <v>61.18043327331543</v>
      </c>
      <c r="AF392" s="207">
        <f t="shared" si="35"/>
        <v>47.812652587890625</v>
      </c>
    </row>
    <row r="393" spans="3:32">
      <c r="C393" s="43"/>
      <c r="D393" s="27"/>
      <c r="Z393" s="206">
        <f t="shared" si="30"/>
        <v>0</v>
      </c>
      <c r="AA393" s="207">
        <f t="shared" si="30"/>
        <v>0</v>
      </c>
      <c r="AB393" s="207">
        <f t="shared" si="31"/>
        <v>105.73929214477539</v>
      </c>
      <c r="AC393" s="207">
        <f t="shared" si="32"/>
        <v>89.406955718994141</v>
      </c>
      <c r="AD393" s="207">
        <f t="shared" si="33"/>
        <v>0</v>
      </c>
      <c r="AE393" s="207">
        <f t="shared" si="34"/>
        <v>61.18043327331543</v>
      </c>
      <c r="AF393" s="207">
        <f t="shared" si="35"/>
        <v>47.812652587890625</v>
      </c>
    </row>
    <row r="394" spans="3:32">
      <c r="C394" s="43"/>
      <c r="D394" s="27"/>
      <c r="Z394" s="206">
        <f t="shared" si="30"/>
        <v>0</v>
      </c>
      <c r="AA394" s="207">
        <f t="shared" si="30"/>
        <v>0</v>
      </c>
      <c r="AB394" s="207">
        <f t="shared" si="31"/>
        <v>105.73929214477539</v>
      </c>
      <c r="AC394" s="207">
        <f t="shared" si="32"/>
        <v>89.406955718994141</v>
      </c>
      <c r="AD394" s="207">
        <f t="shared" si="33"/>
        <v>0</v>
      </c>
      <c r="AE394" s="207">
        <f t="shared" si="34"/>
        <v>61.18043327331543</v>
      </c>
      <c r="AF394" s="207">
        <f t="shared" si="35"/>
        <v>47.812652587890625</v>
      </c>
    </row>
    <row r="395" spans="3:32">
      <c r="C395" s="43"/>
      <c r="D395" s="27"/>
      <c r="Z395" s="206">
        <f t="shared" si="30"/>
        <v>0</v>
      </c>
      <c r="AA395" s="207">
        <f t="shared" si="30"/>
        <v>0</v>
      </c>
      <c r="AB395" s="207">
        <f t="shared" si="31"/>
        <v>105.73929214477539</v>
      </c>
      <c r="AC395" s="207">
        <f t="shared" si="32"/>
        <v>89.406955718994141</v>
      </c>
      <c r="AD395" s="207">
        <f t="shared" si="33"/>
        <v>0</v>
      </c>
      <c r="AE395" s="207">
        <f t="shared" si="34"/>
        <v>61.18043327331543</v>
      </c>
      <c r="AF395" s="207">
        <f t="shared" si="35"/>
        <v>47.812652587890625</v>
      </c>
    </row>
    <row r="396" spans="3:32">
      <c r="C396" s="43"/>
      <c r="D396" s="27"/>
      <c r="Z396" s="206">
        <f t="shared" si="30"/>
        <v>0</v>
      </c>
      <c r="AA396" s="207">
        <f t="shared" si="30"/>
        <v>0</v>
      </c>
      <c r="AB396" s="207">
        <f t="shared" si="31"/>
        <v>105.73929214477539</v>
      </c>
      <c r="AC396" s="207">
        <f t="shared" si="32"/>
        <v>89.406955718994141</v>
      </c>
      <c r="AD396" s="207">
        <f t="shared" si="33"/>
        <v>0</v>
      </c>
      <c r="AE396" s="207">
        <f t="shared" si="34"/>
        <v>61.18043327331543</v>
      </c>
      <c r="AF396" s="207">
        <f t="shared" si="35"/>
        <v>47.812652587890625</v>
      </c>
    </row>
    <row r="397" spans="3:32">
      <c r="C397" s="43"/>
      <c r="D397" s="27"/>
      <c r="Z397" s="206">
        <f t="shared" si="30"/>
        <v>0</v>
      </c>
      <c r="AA397" s="207">
        <f t="shared" si="30"/>
        <v>0</v>
      </c>
      <c r="AB397" s="207">
        <f t="shared" si="31"/>
        <v>105.73929214477539</v>
      </c>
      <c r="AC397" s="207">
        <f t="shared" si="32"/>
        <v>89.406955718994141</v>
      </c>
      <c r="AD397" s="207">
        <f t="shared" si="33"/>
        <v>0</v>
      </c>
      <c r="AE397" s="207">
        <f t="shared" si="34"/>
        <v>61.18043327331543</v>
      </c>
      <c r="AF397" s="207">
        <f t="shared" si="35"/>
        <v>47.812652587890625</v>
      </c>
    </row>
    <row r="398" spans="3:32">
      <c r="C398" s="43"/>
      <c r="D398" s="27"/>
      <c r="Z398" s="206">
        <f t="shared" si="30"/>
        <v>0</v>
      </c>
      <c r="AA398" s="207">
        <f t="shared" si="30"/>
        <v>0</v>
      </c>
      <c r="AB398" s="207">
        <f t="shared" si="31"/>
        <v>105.73929214477539</v>
      </c>
      <c r="AC398" s="207">
        <f t="shared" si="32"/>
        <v>89.406955718994141</v>
      </c>
      <c r="AD398" s="207">
        <f t="shared" si="33"/>
        <v>0</v>
      </c>
      <c r="AE398" s="207">
        <f t="shared" si="34"/>
        <v>61.18043327331543</v>
      </c>
      <c r="AF398" s="207">
        <f t="shared" si="35"/>
        <v>47.812652587890625</v>
      </c>
    </row>
    <row r="399" spans="3:32">
      <c r="C399" s="43"/>
      <c r="D399" s="27"/>
      <c r="Z399" s="206">
        <f t="shared" ref="Z399:AA462" si="36">B399</f>
        <v>0</v>
      </c>
      <c r="AA399" s="207">
        <f t="shared" si="36"/>
        <v>0</v>
      </c>
      <c r="AB399" s="207">
        <f t="shared" ref="AB399:AB462" si="37">$J$24</f>
        <v>105.73929214477539</v>
      </c>
      <c r="AC399" s="207">
        <f t="shared" ref="AC399:AC462" si="38">$J$25</f>
        <v>89.406955718994141</v>
      </c>
      <c r="AD399" s="207">
        <f t="shared" ref="AD399:AD462" si="39">D399</f>
        <v>0</v>
      </c>
      <c r="AE399" s="207">
        <f t="shared" ref="AE399:AE462" si="40">$K$24</f>
        <v>61.18043327331543</v>
      </c>
      <c r="AF399" s="207">
        <f t="shared" ref="AF399:AF462" si="41">$K$25</f>
        <v>47.812652587890625</v>
      </c>
    </row>
    <row r="400" spans="3:32">
      <c r="C400" s="43"/>
      <c r="D400" s="27"/>
      <c r="Z400" s="206">
        <f t="shared" si="36"/>
        <v>0</v>
      </c>
      <c r="AA400" s="207">
        <f t="shared" si="36"/>
        <v>0</v>
      </c>
      <c r="AB400" s="207">
        <f t="shared" si="37"/>
        <v>105.73929214477539</v>
      </c>
      <c r="AC400" s="207">
        <f t="shared" si="38"/>
        <v>89.406955718994141</v>
      </c>
      <c r="AD400" s="207">
        <f t="shared" si="39"/>
        <v>0</v>
      </c>
      <c r="AE400" s="207">
        <f t="shared" si="40"/>
        <v>61.18043327331543</v>
      </c>
      <c r="AF400" s="207">
        <f t="shared" si="41"/>
        <v>47.812652587890625</v>
      </c>
    </row>
    <row r="401" spans="3:32">
      <c r="C401" s="43"/>
      <c r="D401" s="27"/>
      <c r="Z401" s="206">
        <f t="shared" si="36"/>
        <v>0</v>
      </c>
      <c r="AA401" s="207">
        <f t="shared" si="36"/>
        <v>0</v>
      </c>
      <c r="AB401" s="207">
        <f t="shared" si="37"/>
        <v>105.73929214477539</v>
      </c>
      <c r="AC401" s="207">
        <f t="shared" si="38"/>
        <v>89.406955718994141</v>
      </c>
      <c r="AD401" s="207">
        <f t="shared" si="39"/>
        <v>0</v>
      </c>
      <c r="AE401" s="207">
        <f t="shared" si="40"/>
        <v>61.18043327331543</v>
      </c>
      <c r="AF401" s="207">
        <f t="shared" si="41"/>
        <v>47.812652587890625</v>
      </c>
    </row>
    <row r="402" spans="3:32">
      <c r="C402" s="43"/>
      <c r="D402" s="27"/>
      <c r="Z402" s="206">
        <f t="shared" si="36"/>
        <v>0</v>
      </c>
      <c r="AA402" s="207">
        <f t="shared" si="36"/>
        <v>0</v>
      </c>
      <c r="AB402" s="207">
        <f t="shared" si="37"/>
        <v>105.73929214477539</v>
      </c>
      <c r="AC402" s="207">
        <f t="shared" si="38"/>
        <v>89.406955718994141</v>
      </c>
      <c r="AD402" s="207">
        <f t="shared" si="39"/>
        <v>0</v>
      </c>
      <c r="AE402" s="207">
        <f t="shared" si="40"/>
        <v>61.18043327331543</v>
      </c>
      <c r="AF402" s="207">
        <f t="shared" si="41"/>
        <v>47.812652587890625</v>
      </c>
    </row>
    <row r="403" spans="3:32">
      <c r="C403" s="43"/>
      <c r="D403" s="27"/>
      <c r="Z403" s="206">
        <f t="shared" si="36"/>
        <v>0</v>
      </c>
      <c r="AA403" s="207">
        <f t="shared" si="36"/>
        <v>0</v>
      </c>
      <c r="AB403" s="207">
        <f t="shared" si="37"/>
        <v>105.73929214477539</v>
      </c>
      <c r="AC403" s="207">
        <f t="shared" si="38"/>
        <v>89.406955718994141</v>
      </c>
      <c r="AD403" s="207">
        <f t="shared" si="39"/>
        <v>0</v>
      </c>
      <c r="AE403" s="207">
        <f t="shared" si="40"/>
        <v>61.18043327331543</v>
      </c>
      <c r="AF403" s="207">
        <f t="shared" si="41"/>
        <v>47.812652587890625</v>
      </c>
    </row>
    <row r="404" spans="3:32">
      <c r="C404" s="43"/>
      <c r="D404" s="27"/>
      <c r="Z404" s="206">
        <f t="shared" si="36"/>
        <v>0</v>
      </c>
      <c r="AA404" s="207">
        <f t="shared" si="36"/>
        <v>0</v>
      </c>
      <c r="AB404" s="207">
        <f t="shared" si="37"/>
        <v>105.73929214477539</v>
      </c>
      <c r="AC404" s="207">
        <f t="shared" si="38"/>
        <v>89.406955718994141</v>
      </c>
      <c r="AD404" s="207">
        <f t="shared" si="39"/>
        <v>0</v>
      </c>
      <c r="AE404" s="207">
        <f t="shared" si="40"/>
        <v>61.18043327331543</v>
      </c>
      <c r="AF404" s="207">
        <f t="shared" si="41"/>
        <v>47.812652587890625</v>
      </c>
    </row>
    <row r="405" spans="3:32">
      <c r="C405" s="43"/>
      <c r="D405" s="27"/>
      <c r="Z405" s="206">
        <f t="shared" si="36"/>
        <v>0</v>
      </c>
      <c r="AA405" s="207">
        <f t="shared" si="36"/>
        <v>0</v>
      </c>
      <c r="AB405" s="207">
        <f t="shared" si="37"/>
        <v>105.73929214477539</v>
      </c>
      <c r="AC405" s="207">
        <f t="shared" si="38"/>
        <v>89.406955718994141</v>
      </c>
      <c r="AD405" s="207">
        <f t="shared" si="39"/>
        <v>0</v>
      </c>
      <c r="AE405" s="207">
        <f t="shared" si="40"/>
        <v>61.18043327331543</v>
      </c>
      <c r="AF405" s="207">
        <f t="shared" si="41"/>
        <v>47.812652587890625</v>
      </c>
    </row>
    <row r="406" spans="3:32">
      <c r="C406" s="43"/>
      <c r="D406" s="27"/>
      <c r="Z406" s="206">
        <f t="shared" si="36"/>
        <v>0</v>
      </c>
      <c r="AA406" s="207">
        <f t="shared" si="36"/>
        <v>0</v>
      </c>
      <c r="AB406" s="207">
        <f t="shared" si="37"/>
        <v>105.73929214477539</v>
      </c>
      <c r="AC406" s="207">
        <f t="shared" si="38"/>
        <v>89.406955718994141</v>
      </c>
      <c r="AD406" s="207">
        <f t="shared" si="39"/>
        <v>0</v>
      </c>
      <c r="AE406" s="207">
        <f t="shared" si="40"/>
        <v>61.18043327331543</v>
      </c>
      <c r="AF406" s="207">
        <f t="shared" si="41"/>
        <v>47.812652587890625</v>
      </c>
    </row>
    <row r="407" spans="3:32">
      <c r="C407" s="43"/>
      <c r="D407" s="27"/>
      <c r="Z407" s="206">
        <f t="shared" si="36"/>
        <v>0</v>
      </c>
      <c r="AA407" s="207">
        <f t="shared" si="36"/>
        <v>0</v>
      </c>
      <c r="AB407" s="207">
        <f t="shared" si="37"/>
        <v>105.73929214477539</v>
      </c>
      <c r="AC407" s="207">
        <f t="shared" si="38"/>
        <v>89.406955718994141</v>
      </c>
      <c r="AD407" s="207">
        <f t="shared" si="39"/>
        <v>0</v>
      </c>
      <c r="AE407" s="207">
        <f t="shared" si="40"/>
        <v>61.18043327331543</v>
      </c>
      <c r="AF407" s="207">
        <f t="shared" si="41"/>
        <v>47.812652587890625</v>
      </c>
    </row>
    <row r="408" spans="3:32">
      <c r="C408" s="43"/>
      <c r="D408" s="27"/>
      <c r="Z408" s="206">
        <f t="shared" si="36"/>
        <v>0</v>
      </c>
      <c r="AA408" s="207">
        <f t="shared" si="36"/>
        <v>0</v>
      </c>
      <c r="AB408" s="207">
        <f t="shared" si="37"/>
        <v>105.73929214477539</v>
      </c>
      <c r="AC408" s="207">
        <f t="shared" si="38"/>
        <v>89.406955718994141</v>
      </c>
      <c r="AD408" s="207">
        <f t="shared" si="39"/>
        <v>0</v>
      </c>
      <c r="AE408" s="207">
        <f t="shared" si="40"/>
        <v>61.18043327331543</v>
      </c>
      <c r="AF408" s="207">
        <f t="shared" si="41"/>
        <v>47.812652587890625</v>
      </c>
    </row>
    <row r="409" spans="3:32">
      <c r="C409" s="43"/>
      <c r="D409" s="27"/>
      <c r="Z409" s="206">
        <f t="shared" si="36"/>
        <v>0</v>
      </c>
      <c r="AA409" s="207">
        <f t="shared" si="36"/>
        <v>0</v>
      </c>
      <c r="AB409" s="207">
        <f t="shared" si="37"/>
        <v>105.73929214477539</v>
      </c>
      <c r="AC409" s="207">
        <f t="shared" si="38"/>
        <v>89.406955718994141</v>
      </c>
      <c r="AD409" s="207">
        <f t="shared" si="39"/>
        <v>0</v>
      </c>
      <c r="AE409" s="207">
        <f t="shared" si="40"/>
        <v>61.18043327331543</v>
      </c>
      <c r="AF409" s="207">
        <f t="shared" si="41"/>
        <v>47.812652587890625</v>
      </c>
    </row>
    <row r="410" spans="3:32">
      <c r="C410" s="43"/>
      <c r="D410" s="27"/>
      <c r="Z410" s="206">
        <f t="shared" si="36"/>
        <v>0</v>
      </c>
      <c r="AA410" s="207">
        <f t="shared" si="36"/>
        <v>0</v>
      </c>
      <c r="AB410" s="207">
        <f t="shared" si="37"/>
        <v>105.73929214477539</v>
      </c>
      <c r="AC410" s="207">
        <f t="shared" si="38"/>
        <v>89.406955718994141</v>
      </c>
      <c r="AD410" s="207">
        <f t="shared" si="39"/>
        <v>0</v>
      </c>
      <c r="AE410" s="207">
        <f t="shared" si="40"/>
        <v>61.18043327331543</v>
      </c>
      <c r="AF410" s="207">
        <f t="shared" si="41"/>
        <v>47.812652587890625</v>
      </c>
    </row>
    <row r="411" spans="3:32">
      <c r="C411" s="43"/>
      <c r="D411" s="27"/>
      <c r="Z411" s="206">
        <f t="shared" si="36"/>
        <v>0</v>
      </c>
      <c r="AA411" s="207">
        <f t="shared" si="36"/>
        <v>0</v>
      </c>
      <c r="AB411" s="207">
        <f t="shared" si="37"/>
        <v>105.73929214477539</v>
      </c>
      <c r="AC411" s="207">
        <f t="shared" si="38"/>
        <v>89.406955718994141</v>
      </c>
      <c r="AD411" s="207">
        <f t="shared" si="39"/>
        <v>0</v>
      </c>
      <c r="AE411" s="207">
        <f t="shared" si="40"/>
        <v>61.18043327331543</v>
      </c>
      <c r="AF411" s="207">
        <f t="shared" si="41"/>
        <v>47.812652587890625</v>
      </c>
    </row>
    <row r="412" spans="3:32">
      <c r="C412" s="43"/>
      <c r="D412" s="27"/>
      <c r="Z412" s="206">
        <f t="shared" si="36"/>
        <v>0</v>
      </c>
      <c r="AA412" s="207">
        <f t="shared" si="36"/>
        <v>0</v>
      </c>
      <c r="AB412" s="207">
        <f t="shared" si="37"/>
        <v>105.73929214477539</v>
      </c>
      <c r="AC412" s="207">
        <f t="shared" si="38"/>
        <v>89.406955718994141</v>
      </c>
      <c r="AD412" s="207">
        <f t="shared" si="39"/>
        <v>0</v>
      </c>
      <c r="AE412" s="207">
        <f t="shared" si="40"/>
        <v>61.18043327331543</v>
      </c>
      <c r="AF412" s="207">
        <f t="shared" si="41"/>
        <v>47.812652587890625</v>
      </c>
    </row>
    <row r="413" spans="3:32">
      <c r="C413" s="43"/>
      <c r="D413" s="27"/>
      <c r="Z413" s="206">
        <f t="shared" si="36"/>
        <v>0</v>
      </c>
      <c r="AA413" s="207">
        <f t="shared" si="36"/>
        <v>0</v>
      </c>
      <c r="AB413" s="207">
        <f t="shared" si="37"/>
        <v>105.73929214477539</v>
      </c>
      <c r="AC413" s="207">
        <f t="shared" si="38"/>
        <v>89.406955718994141</v>
      </c>
      <c r="AD413" s="207">
        <f t="shared" si="39"/>
        <v>0</v>
      </c>
      <c r="AE413" s="207">
        <f t="shared" si="40"/>
        <v>61.18043327331543</v>
      </c>
      <c r="AF413" s="207">
        <f t="shared" si="41"/>
        <v>47.812652587890625</v>
      </c>
    </row>
    <row r="414" spans="3:32">
      <c r="C414" s="43"/>
      <c r="D414" s="27"/>
      <c r="Z414" s="206">
        <f t="shared" si="36"/>
        <v>0</v>
      </c>
      <c r="AA414" s="207">
        <f t="shared" si="36"/>
        <v>0</v>
      </c>
      <c r="AB414" s="207">
        <f t="shared" si="37"/>
        <v>105.73929214477539</v>
      </c>
      <c r="AC414" s="207">
        <f t="shared" si="38"/>
        <v>89.406955718994141</v>
      </c>
      <c r="AD414" s="207">
        <f t="shared" si="39"/>
        <v>0</v>
      </c>
      <c r="AE414" s="207">
        <f t="shared" si="40"/>
        <v>61.18043327331543</v>
      </c>
      <c r="AF414" s="207">
        <f t="shared" si="41"/>
        <v>47.812652587890625</v>
      </c>
    </row>
    <row r="415" spans="3:32">
      <c r="C415" s="43"/>
      <c r="D415" s="27"/>
      <c r="Z415" s="206">
        <f t="shared" si="36"/>
        <v>0</v>
      </c>
      <c r="AA415" s="207">
        <f t="shared" si="36"/>
        <v>0</v>
      </c>
      <c r="AB415" s="207">
        <f t="shared" si="37"/>
        <v>105.73929214477539</v>
      </c>
      <c r="AC415" s="207">
        <f t="shared" si="38"/>
        <v>89.406955718994141</v>
      </c>
      <c r="AD415" s="207">
        <f t="shared" si="39"/>
        <v>0</v>
      </c>
      <c r="AE415" s="207">
        <f t="shared" si="40"/>
        <v>61.18043327331543</v>
      </c>
      <c r="AF415" s="207">
        <f t="shared" si="41"/>
        <v>47.812652587890625</v>
      </c>
    </row>
    <row r="416" spans="3:32">
      <c r="C416" s="43"/>
      <c r="D416" s="27"/>
      <c r="Z416" s="206">
        <f t="shared" si="36"/>
        <v>0</v>
      </c>
      <c r="AA416" s="207">
        <f t="shared" si="36"/>
        <v>0</v>
      </c>
      <c r="AB416" s="207">
        <f t="shared" si="37"/>
        <v>105.73929214477539</v>
      </c>
      <c r="AC416" s="207">
        <f t="shared" si="38"/>
        <v>89.406955718994141</v>
      </c>
      <c r="AD416" s="207">
        <f t="shared" si="39"/>
        <v>0</v>
      </c>
      <c r="AE416" s="207">
        <f t="shared" si="40"/>
        <v>61.18043327331543</v>
      </c>
      <c r="AF416" s="207">
        <f t="shared" si="41"/>
        <v>47.812652587890625</v>
      </c>
    </row>
    <row r="417" spans="3:32">
      <c r="C417" s="43"/>
      <c r="D417" s="27"/>
      <c r="Z417" s="206">
        <f t="shared" si="36"/>
        <v>0</v>
      </c>
      <c r="AA417" s="207">
        <f t="shared" si="36"/>
        <v>0</v>
      </c>
      <c r="AB417" s="207">
        <f t="shared" si="37"/>
        <v>105.73929214477539</v>
      </c>
      <c r="AC417" s="207">
        <f t="shared" si="38"/>
        <v>89.406955718994141</v>
      </c>
      <c r="AD417" s="207">
        <f t="shared" si="39"/>
        <v>0</v>
      </c>
      <c r="AE417" s="207">
        <f t="shared" si="40"/>
        <v>61.18043327331543</v>
      </c>
      <c r="AF417" s="207">
        <f t="shared" si="41"/>
        <v>47.812652587890625</v>
      </c>
    </row>
    <row r="418" spans="3:32">
      <c r="C418" s="43"/>
      <c r="D418" s="27"/>
      <c r="Z418" s="206">
        <f t="shared" si="36"/>
        <v>0</v>
      </c>
      <c r="AA418" s="207">
        <f t="shared" si="36"/>
        <v>0</v>
      </c>
      <c r="AB418" s="207">
        <f t="shared" si="37"/>
        <v>105.73929214477539</v>
      </c>
      <c r="AC418" s="207">
        <f t="shared" si="38"/>
        <v>89.406955718994141</v>
      </c>
      <c r="AD418" s="207">
        <f t="shared" si="39"/>
        <v>0</v>
      </c>
      <c r="AE418" s="207">
        <f t="shared" si="40"/>
        <v>61.18043327331543</v>
      </c>
      <c r="AF418" s="207">
        <f t="shared" si="41"/>
        <v>47.812652587890625</v>
      </c>
    </row>
    <row r="419" spans="3:32">
      <c r="C419" s="43"/>
      <c r="D419" s="27"/>
      <c r="Z419" s="206">
        <f t="shared" si="36"/>
        <v>0</v>
      </c>
      <c r="AA419" s="207">
        <f t="shared" si="36"/>
        <v>0</v>
      </c>
      <c r="AB419" s="207">
        <f t="shared" si="37"/>
        <v>105.73929214477539</v>
      </c>
      <c r="AC419" s="207">
        <f t="shared" si="38"/>
        <v>89.406955718994141</v>
      </c>
      <c r="AD419" s="207">
        <f t="shared" si="39"/>
        <v>0</v>
      </c>
      <c r="AE419" s="207">
        <f t="shared" si="40"/>
        <v>61.18043327331543</v>
      </c>
      <c r="AF419" s="207">
        <f t="shared" si="41"/>
        <v>47.812652587890625</v>
      </c>
    </row>
    <row r="420" spans="3:32">
      <c r="C420" s="43"/>
      <c r="D420" s="27"/>
      <c r="Z420" s="206">
        <f t="shared" si="36"/>
        <v>0</v>
      </c>
      <c r="AA420" s="207">
        <f t="shared" si="36"/>
        <v>0</v>
      </c>
      <c r="AB420" s="207">
        <f t="shared" si="37"/>
        <v>105.73929214477539</v>
      </c>
      <c r="AC420" s="207">
        <f t="shared" si="38"/>
        <v>89.406955718994141</v>
      </c>
      <c r="AD420" s="207">
        <f t="shared" si="39"/>
        <v>0</v>
      </c>
      <c r="AE420" s="207">
        <f t="shared" si="40"/>
        <v>61.18043327331543</v>
      </c>
      <c r="AF420" s="207">
        <f t="shared" si="41"/>
        <v>47.812652587890625</v>
      </c>
    </row>
    <row r="421" spans="3:32">
      <c r="C421" s="43"/>
      <c r="D421" s="27"/>
      <c r="Z421" s="206">
        <f t="shared" si="36"/>
        <v>0</v>
      </c>
      <c r="AA421" s="207">
        <f t="shared" si="36"/>
        <v>0</v>
      </c>
      <c r="AB421" s="207">
        <f t="shared" si="37"/>
        <v>105.73929214477539</v>
      </c>
      <c r="AC421" s="207">
        <f t="shared" si="38"/>
        <v>89.406955718994141</v>
      </c>
      <c r="AD421" s="207">
        <f t="shared" si="39"/>
        <v>0</v>
      </c>
      <c r="AE421" s="207">
        <f t="shared" si="40"/>
        <v>61.18043327331543</v>
      </c>
      <c r="AF421" s="207">
        <f t="shared" si="41"/>
        <v>47.812652587890625</v>
      </c>
    </row>
    <row r="422" spans="3:32">
      <c r="C422" s="43"/>
      <c r="D422" s="27"/>
      <c r="Z422" s="206">
        <f t="shared" si="36"/>
        <v>0</v>
      </c>
      <c r="AA422" s="207">
        <f t="shared" si="36"/>
        <v>0</v>
      </c>
      <c r="AB422" s="207">
        <f t="shared" si="37"/>
        <v>105.73929214477539</v>
      </c>
      <c r="AC422" s="207">
        <f t="shared" si="38"/>
        <v>89.406955718994141</v>
      </c>
      <c r="AD422" s="207">
        <f t="shared" si="39"/>
        <v>0</v>
      </c>
      <c r="AE422" s="207">
        <f t="shared" si="40"/>
        <v>61.18043327331543</v>
      </c>
      <c r="AF422" s="207">
        <f t="shared" si="41"/>
        <v>47.812652587890625</v>
      </c>
    </row>
    <row r="423" spans="3:32">
      <c r="C423" s="43"/>
      <c r="D423" s="27"/>
      <c r="Z423" s="206">
        <f t="shared" si="36"/>
        <v>0</v>
      </c>
      <c r="AA423" s="207">
        <f t="shared" si="36"/>
        <v>0</v>
      </c>
      <c r="AB423" s="207">
        <f t="shared" si="37"/>
        <v>105.73929214477539</v>
      </c>
      <c r="AC423" s="207">
        <f t="shared" si="38"/>
        <v>89.406955718994141</v>
      </c>
      <c r="AD423" s="207">
        <f t="shared" si="39"/>
        <v>0</v>
      </c>
      <c r="AE423" s="207">
        <f t="shared" si="40"/>
        <v>61.18043327331543</v>
      </c>
      <c r="AF423" s="207">
        <f t="shared" si="41"/>
        <v>47.812652587890625</v>
      </c>
    </row>
    <row r="424" spans="3:32">
      <c r="C424" s="43"/>
      <c r="D424" s="27"/>
      <c r="Z424" s="206">
        <f t="shared" si="36"/>
        <v>0</v>
      </c>
      <c r="AA424" s="207">
        <f t="shared" si="36"/>
        <v>0</v>
      </c>
      <c r="AB424" s="207">
        <f t="shared" si="37"/>
        <v>105.73929214477539</v>
      </c>
      <c r="AC424" s="207">
        <f t="shared" si="38"/>
        <v>89.406955718994141</v>
      </c>
      <c r="AD424" s="207">
        <f t="shared" si="39"/>
        <v>0</v>
      </c>
      <c r="AE424" s="207">
        <f t="shared" si="40"/>
        <v>61.18043327331543</v>
      </c>
      <c r="AF424" s="207">
        <f t="shared" si="41"/>
        <v>47.812652587890625</v>
      </c>
    </row>
    <row r="425" spans="3:32">
      <c r="C425" s="43"/>
      <c r="D425" s="27"/>
      <c r="Z425" s="206">
        <f t="shared" si="36"/>
        <v>0</v>
      </c>
      <c r="AA425" s="207">
        <f t="shared" si="36"/>
        <v>0</v>
      </c>
      <c r="AB425" s="207">
        <f t="shared" si="37"/>
        <v>105.73929214477539</v>
      </c>
      <c r="AC425" s="207">
        <f t="shared" si="38"/>
        <v>89.406955718994141</v>
      </c>
      <c r="AD425" s="207">
        <f t="shared" si="39"/>
        <v>0</v>
      </c>
      <c r="AE425" s="207">
        <f t="shared" si="40"/>
        <v>61.18043327331543</v>
      </c>
      <c r="AF425" s="207">
        <f t="shared" si="41"/>
        <v>47.812652587890625</v>
      </c>
    </row>
    <row r="426" spans="3:32">
      <c r="C426" s="43"/>
      <c r="D426" s="27"/>
      <c r="Z426" s="206">
        <f t="shared" si="36"/>
        <v>0</v>
      </c>
      <c r="AA426" s="207">
        <f t="shared" si="36"/>
        <v>0</v>
      </c>
      <c r="AB426" s="207">
        <f t="shared" si="37"/>
        <v>105.73929214477539</v>
      </c>
      <c r="AC426" s="207">
        <f t="shared" si="38"/>
        <v>89.406955718994141</v>
      </c>
      <c r="AD426" s="207">
        <f t="shared" si="39"/>
        <v>0</v>
      </c>
      <c r="AE426" s="207">
        <f t="shared" si="40"/>
        <v>61.18043327331543</v>
      </c>
      <c r="AF426" s="207">
        <f t="shared" si="41"/>
        <v>47.812652587890625</v>
      </c>
    </row>
    <row r="427" spans="3:32">
      <c r="C427" s="43"/>
      <c r="D427" s="27"/>
      <c r="Z427" s="206">
        <f t="shared" si="36"/>
        <v>0</v>
      </c>
      <c r="AA427" s="207">
        <f t="shared" si="36"/>
        <v>0</v>
      </c>
      <c r="AB427" s="207">
        <f t="shared" si="37"/>
        <v>105.73929214477539</v>
      </c>
      <c r="AC427" s="207">
        <f t="shared" si="38"/>
        <v>89.406955718994141</v>
      </c>
      <c r="AD427" s="207">
        <f t="shared" si="39"/>
        <v>0</v>
      </c>
      <c r="AE427" s="207">
        <f t="shared" si="40"/>
        <v>61.18043327331543</v>
      </c>
      <c r="AF427" s="207">
        <f t="shared" si="41"/>
        <v>47.812652587890625</v>
      </c>
    </row>
    <row r="428" spans="3:32">
      <c r="C428" s="43"/>
      <c r="D428" s="27"/>
      <c r="Z428" s="206">
        <f t="shared" si="36"/>
        <v>0</v>
      </c>
      <c r="AA428" s="207">
        <f t="shared" si="36"/>
        <v>0</v>
      </c>
      <c r="AB428" s="207">
        <f t="shared" si="37"/>
        <v>105.73929214477539</v>
      </c>
      <c r="AC428" s="207">
        <f t="shared" si="38"/>
        <v>89.406955718994141</v>
      </c>
      <c r="AD428" s="207">
        <f t="shared" si="39"/>
        <v>0</v>
      </c>
      <c r="AE428" s="207">
        <f t="shared" si="40"/>
        <v>61.18043327331543</v>
      </c>
      <c r="AF428" s="207">
        <f t="shared" si="41"/>
        <v>47.812652587890625</v>
      </c>
    </row>
    <row r="429" spans="3:32">
      <c r="C429" s="43"/>
      <c r="D429" s="27"/>
      <c r="Z429" s="206">
        <f t="shared" si="36"/>
        <v>0</v>
      </c>
      <c r="AA429" s="207">
        <f t="shared" si="36"/>
        <v>0</v>
      </c>
      <c r="AB429" s="207">
        <f t="shared" si="37"/>
        <v>105.73929214477539</v>
      </c>
      <c r="AC429" s="207">
        <f t="shared" si="38"/>
        <v>89.406955718994141</v>
      </c>
      <c r="AD429" s="207">
        <f t="shared" si="39"/>
        <v>0</v>
      </c>
      <c r="AE429" s="207">
        <f t="shared" si="40"/>
        <v>61.18043327331543</v>
      </c>
      <c r="AF429" s="207">
        <f t="shared" si="41"/>
        <v>47.812652587890625</v>
      </c>
    </row>
    <row r="430" spans="3:32">
      <c r="C430" s="43"/>
      <c r="D430" s="27"/>
      <c r="Z430" s="206">
        <f t="shared" si="36"/>
        <v>0</v>
      </c>
      <c r="AA430" s="207">
        <f t="shared" si="36"/>
        <v>0</v>
      </c>
      <c r="AB430" s="207">
        <f t="shared" si="37"/>
        <v>105.73929214477539</v>
      </c>
      <c r="AC430" s="207">
        <f t="shared" si="38"/>
        <v>89.406955718994141</v>
      </c>
      <c r="AD430" s="207">
        <f t="shared" si="39"/>
        <v>0</v>
      </c>
      <c r="AE430" s="207">
        <f t="shared" si="40"/>
        <v>61.18043327331543</v>
      </c>
      <c r="AF430" s="207">
        <f t="shared" si="41"/>
        <v>47.812652587890625</v>
      </c>
    </row>
    <row r="431" spans="3:32">
      <c r="C431" s="43"/>
      <c r="D431" s="27"/>
      <c r="Z431" s="206">
        <f t="shared" si="36"/>
        <v>0</v>
      </c>
      <c r="AA431" s="207">
        <f t="shared" si="36"/>
        <v>0</v>
      </c>
      <c r="AB431" s="207">
        <f t="shared" si="37"/>
        <v>105.73929214477539</v>
      </c>
      <c r="AC431" s="207">
        <f t="shared" si="38"/>
        <v>89.406955718994141</v>
      </c>
      <c r="AD431" s="207">
        <f t="shared" si="39"/>
        <v>0</v>
      </c>
      <c r="AE431" s="207">
        <f t="shared" si="40"/>
        <v>61.18043327331543</v>
      </c>
      <c r="AF431" s="207">
        <f t="shared" si="41"/>
        <v>47.812652587890625</v>
      </c>
    </row>
    <row r="432" spans="3:32">
      <c r="C432" s="43"/>
      <c r="D432" s="27"/>
      <c r="Z432" s="206">
        <f t="shared" si="36"/>
        <v>0</v>
      </c>
      <c r="AA432" s="207">
        <f t="shared" si="36"/>
        <v>0</v>
      </c>
      <c r="AB432" s="207">
        <f t="shared" si="37"/>
        <v>105.73929214477539</v>
      </c>
      <c r="AC432" s="207">
        <f t="shared" si="38"/>
        <v>89.406955718994141</v>
      </c>
      <c r="AD432" s="207">
        <f t="shared" si="39"/>
        <v>0</v>
      </c>
      <c r="AE432" s="207">
        <f t="shared" si="40"/>
        <v>61.18043327331543</v>
      </c>
      <c r="AF432" s="207">
        <f t="shared" si="41"/>
        <v>47.812652587890625</v>
      </c>
    </row>
    <row r="433" spans="3:32">
      <c r="C433" s="43"/>
      <c r="D433" s="27"/>
      <c r="Z433" s="206">
        <f t="shared" si="36"/>
        <v>0</v>
      </c>
      <c r="AA433" s="207">
        <f t="shared" si="36"/>
        <v>0</v>
      </c>
      <c r="AB433" s="207">
        <f t="shared" si="37"/>
        <v>105.73929214477539</v>
      </c>
      <c r="AC433" s="207">
        <f t="shared" si="38"/>
        <v>89.406955718994141</v>
      </c>
      <c r="AD433" s="207">
        <f t="shared" si="39"/>
        <v>0</v>
      </c>
      <c r="AE433" s="207">
        <f t="shared" si="40"/>
        <v>61.18043327331543</v>
      </c>
      <c r="AF433" s="207">
        <f t="shared" si="41"/>
        <v>47.812652587890625</v>
      </c>
    </row>
    <row r="434" spans="3:32">
      <c r="C434" s="43"/>
      <c r="D434" s="27"/>
      <c r="Z434" s="206">
        <f t="shared" si="36"/>
        <v>0</v>
      </c>
      <c r="AA434" s="207">
        <f t="shared" si="36"/>
        <v>0</v>
      </c>
      <c r="AB434" s="207">
        <f t="shared" si="37"/>
        <v>105.73929214477539</v>
      </c>
      <c r="AC434" s="207">
        <f t="shared" si="38"/>
        <v>89.406955718994141</v>
      </c>
      <c r="AD434" s="207">
        <f t="shared" si="39"/>
        <v>0</v>
      </c>
      <c r="AE434" s="207">
        <f t="shared" si="40"/>
        <v>61.18043327331543</v>
      </c>
      <c r="AF434" s="207">
        <f t="shared" si="41"/>
        <v>47.812652587890625</v>
      </c>
    </row>
    <row r="435" spans="3:32">
      <c r="C435" s="43"/>
      <c r="D435" s="27"/>
      <c r="Z435" s="206">
        <f t="shared" si="36"/>
        <v>0</v>
      </c>
      <c r="AA435" s="207">
        <f t="shared" si="36"/>
        <v>0</v>
      </c>
      <c r="AB435" s="207">
        <f t="shared" si="37"/>
        <v>105.73929214477539</v>
      </c>
      <c r="AC435" s="207">
        <f t="shared" si="38"/>
        <v>89.406955718994141</v>
      </c>
      <c r="AD435" s="207">
        <f t="shared" si="39"/>
        <v>0</v>
      </c>
      <c r="AE435" s="207">
        <f t="shared" si="40"/>
        <v>61.18043327331543</v>
      </c>
      <c r="AF435" s="207">
        <f t="shared" si="41"/>
        <v>47.812652587890625</v>
      </c>
    </row>
    <row r="436" spans="3:32">
      <c r="C436" s="43"/>
      <c r="D436" s="27"/>
      <c r="Z436" s="206">
        <f t="shared" si="36"/>
        <v>0</v>
      </c>
      <c r="AA436" s="207">
        <f t="shared" si="36"/>
        <v>0</v>
      </c>
      <c r="AB436" s="207">
        <f t="shared" si="37"/>
        <v>105.73929214477539</v>
      </c>
      <c r="AC436" s="207">
        <f t="shared" si="38"/>
        <v>89.406955718994141</v>
      </c>
      <c r="AD436" s="207">
        <f t="shared" si="39"/>
        <v>0</v>
      </c>
      <c r="AE436" s="207">
        <f t="shared" si="40"/>
        <v>61.18043327331543</v>
      </c>
      <c r="AF436" s="207">
        <f t="shared" si="41"/>
        <v>47.812652587890625</v>
      </c>
    </row>
    <row r="437" spans="3:32">
      <c r="C437" s="43"/>
      <c r="D437" s="27"/>
      <c r="Z437" s="206">
        <f t="shared" si="36"/>
        <v>0</v>
      </c>
      <c r="AA437" s="207">
        <f t="shared" si="36"/>
        <v>0</v>
      </c>
      <c r="AB437" s="207">
        <f t="shared" si="37"/>
        <v>105.73929214477539</v>
      </c>
      <c r="AC437" s="207">
        <f t="shared" si="38"/>
        <v>89.406955718994141</v>
      </c>
      <c r="AD437" s="207">
        <f t="shared" si="39"/>
        <v>0</v>
      </c>
      <c r="AE437" s="207">
        <f t="shared" si="40"/>
        <v>61.18043327331543</v>
      </c>
      <c r="AF437" s="207">
        <f t="shared" si="41"/>
        <v>47.812652587890625</v>
      </c>
    </row>
    <row r="438" spans="3:32">
      <c r="C438" s="43"/>
      <c r="D438" s="27"/>
      <c r="Z438" s="206">
        <f t="shared" si="36"/>
        <v>0</v>
      </c>
      <c r="AA438" s="207">
        <f t="shared" si="36"/>
        <v>0</v>
      </c>
      <c r="AB438" s="207">
        <f t="shared" si="37"/>
        <v>105.73929214477539</v>
      </c>
      <c r="AC438" s="207">
        <f t="shared" si="38"/>
        <v>89.406955718994141</v>
      </c>
      <c r="AD438" s="207">
        <f t="shared" si="39"/>
        <v>0</v>
      </c>
      <c r="AE438" s="207">
        <f t="shared" si="40"/>
        <v>61.18043327331543</v>
      </c>
      <c r="AF438" s="207">
        <f t="shared" si="41"/>
        <v>47.812652587890625</v>
      </c>
    </row>
    <row r="439" spans="3:32">
      <c r="C439" s="43"/>
      <c r="D439" s="27"/>
      <c r="Z439" s="206">
        <f t="shared" si="36"/>
        <v>0</v>
      </c>
      <c r="AA439" s="207">
        <f t="shared" si="36"/>
        <v>0</v>
      </c>
      <c r="AB439" s="207">
        <f t="shared" si="37"/>
        <v>105.73929214477539</v>
      </c>
      <c r="AC439" s="207">
        <f t="shared" si="38"/>
        <v>89.406955718994141</v>
      </c>
      <c r="AD439" s="207">
        <f t="shared" si="39"/>
        <v>0</v>
      </c>
      <c r="AE439" s="207">
        <f t="shared" si="40"/>
        <v>61.18043327331543</v>
      </c>
      <c r="AF439" s="207">
        <f t="shared" si="41"/>
        <v>47.812652587890625</v>
      </c>
    </row>
    <row r="440" spans="3:32">
      <c r="C440" s="43"/>
      <c r="D440" s="27"/>
      <c r="Z440" s="206">
        <f t="shared" si="36"/>
        <v>0</v>
      </c>
      <c r="AA440" s="207">
        <f t="shared" si="36"/>
        <v>0</v>
      </c>
      <c r="AB440" s="207">
        <f t="shared" si="37"/>
        <v>105.73929214477539</v>
      </c>
      <c r="AC440" s="207">
        <f t="shared" si="38"/>
        <v>89.406955718994141</v>
      </c>
      <c r="AD440" s="207">
        <f t="shared" si="39"/>
        <v>0</v>
      </c>
      <c r="AE440" s="207">
        <f t="shared" si="40"/>
        <v>61.18043327331543</v>
      </c>
      <c r="AF440" s="207">
        <f t="shared" si="41"/>
        <v>47.812652587890625</v>
      </c>
    </row>
    <row r="441" spans="3:32">
      <c r="C441" s="43"/>
      <c r="D441" s="27"/>
      <c r="Z441" s="206">
        <f t="shared" si="36"/>
        <v>0</v>
      </c>
      <c r="AA441" s="207">
        <f t="shared" si="36"/>
        <v>0</v>
      </c>
      <c r="AB441" s="207">
        <f t="shared" si="37"/>
        <v>105.73929214477539</v>
      </c>
      <c r="AC441" s="207">
        <f t="shared" si="38"/>
        <v>89.406955718994141</v>
      </c>
      <c r="AD441" s="207">
        <f t="shared" si="39"/>
        <v>0</v>
      </c>
      <c r="AE441" s="207">
        <f t="shared" si="40"/>
        <v>61.18043327331543</v>
      </c>
      <c r="AF441" s="207">
        <f t="shared" si="41"/>
        <v>47.812652587890625</v>
      </c>
    </row>
    <row r="442" spans="3:32">
      <c r="C442" s="43"/>
      <c r="D442" s="27"/>
      <c r="Z442" s="206">
        <f t="shared" si="36"/>
        <v>0</v>
      </c>
      <c r="AA442" s="207">
        <f t="shared" si="36"/>
        <v>0</v>
      </c>
      <c r="AB442" s="207">
        <f t="shared" si="37"/>
        <v>105.73929214477539</v>
      </c>
      <c r="AC442" s="207">
        <f t="shared" si="38"/>
        <v>89.406955718994141</v>
      </c>
      <c r="AD442" s="207">
        <f t="shared" si="39"/>
        <v>0</v>
      </c>
      <c r="AE442" s="207">
        <f t="shared" si="40"/>
        <v>61.18043327331543</v>
      </c>
      <c r="AF442" s="207">
        <f t="shared" si="41"/>
        <v>47.812652587890625</v>
      </c>
    </row>
    <row r="443" spans="3:32">
      <c r="C443" s="43"/>
      <c r="D443" s="27"/>
      <c r="Z443" s="206">
        <f t="shared" si="36"/>
        <v>0</v>
      </c>
      <c r="AA443" s="207">
        <f t="shared" si="36"/>
        <v>0</v>
      </c>
      <c r="AB443" s="207">
        <f t="shared" si="37"/>
        <v>105.73929214477539</v>
      </c>
      <c r="AC443" s="207">
        <f t="shared" si="38"/>
        <v>89.406955718994141</v>
      </c>
      <c r="AD443" s="207">
        <f t="shared" si="39"/>
        <v>0</v>
      </c>
      <c r="AE443" s="207">
        <f t="shared" si="40"/>
        <v>61.18043327331543</v>
      </c>
      <c r="AF443" s="207">
        <f t="shared" si="41"/>
        <v>47.812652587890625</v>
      </c>
    </row>
    <row r="444" spans="3:32">
      <c r="C444" s="43"/>
      <c r="D444" s="27"/>
      <c r="Z444" s="206">
        <f t="shared" si="36"/>
        <v>0</v>
      </c>
      <c r="AA444" s="207">
        <f t="shared" si="36"/>
        <v>0</v>
      </c>
      <c r="AB444" s="207">
        <f t="shared" si="37"/>
        <v>105.73929214477539</v>
      </c>
      <c r="AC444" s="207">
        <f t="shared" si="38"/>
        <v>89.406955718994141</v>
      </c>
      <c r="AD444" s="207">
        <f t="shared" si="39"/>
        <v>0</v>
      </c>
      <c r="AE444" s="207">
        <f t="shared" si="40"/>
        <v>61.18043327331543</v>
      </c>
      <c r="AF444" s="207">
        <f t="shared" si="41"/>
        <v>47.812652587890625</v>
      </c>
    </row>
    <row r="445" spans="3:32">
      <c r="C445" s="43"/>
      <c r="D445" s="27"/>
      <c r="Z445" s="206">
        <f t="shared" si="36"/>
        <v>0</v>
      </c>
      <c r="AA445" s="207">
        <f t="shared" si="36"/>
        <v>0</v>
      </c>
      <c r="AB445" s="207">
        <f t="shared" si="37"/>
        <v>105.73929214477539</v>
      </c>
      <c r="AC445" s="207">
        <f t="shared" si="38"/>
        <v>89.406955718994141</v>
      </c>
      <c r="AD445" s="207">
        <f t="shared" si="39"/>
        <v>0</v>
      </c>
      <c r="AE445" s="207">
        <f t="shared" si="40"/>
        <v>61.18043327331543</v>
      </c>
      <c r="AF445" s="207">
        <f t="shared" si="41"/>
        <v>47.812652587890625</v>
      </c>
    </row>
    <row r="446" spans="3:32">
      <c r="C446" s="43"/>
      <c r="D446" s="27"/>
      <c r="Z446" s="206">
        <f t="shared" si="36"/>
        <v>0</v>
      </c>
      <c r="AA446" s="207">
        <f t="shared" si="36"/>
        <v>0</v>
      </c>
      <c r="AB446" s="207">
        <f t="shared" si="37"/>
        <v>105.73929214477539</v>
      </c>
      <c r="AC446" s="207">
        <f t="shared" si="38"/>
        <v>89.406955718994141</v>
      </c>
      <c r="AD446" s="207">
        <f t="shared" si="39"/>
        <v>0</v>
      </c>
      <c r="AE446" s="207">
        <f t="shared" si="40"/>
        <v>61.18043327331543</v>
      </c>
      <c r="AF446" s="207">
        <f t="shared" si="41"/>
        <v>47.812652587890625</v>
      </c>
    </row>
    <row r="447" spans="3:32">
      <c r="C447" s="43"/>
      <c r="D447" s="27"/>
      <c r="Z447" s="206">
        <f t="shared" si="36"/>
        <v>0</v>
      </c>
      <c r="AA447" s="207">
        <f t="shared" si="36"/>
        <v>0</v>
      </c>
      <c r="AB447" s="207">
        <f t="shared" si="37"/>
        <v>105.73929214477539</v>
      </c>
      <c r="AC447" s="207">
        <f t="shared" si="38"/>
        <v>89.406955718994141</v>
      </c>
      <c r="AD447" s="207">
        <f t="shared" si="39"/>
        <v>0</v>
      </c>
      <c r="AE447" s="207">
        <f t="shared" si="40"/>
        <v>61.18043327331543</v>
      </c>
      <c r="AF447" s="207">
        <f t="shared" si="41"/>
        <v>47.812652587890625</v>
      </c>
    </row>
    <row r="448" spans="3:32">
      <c r="C448" s="43"/>
      <c r="D448" s="27"/>
      <c r="Z448" s="206">
        <f t="shared" si="36"/>
        <v>0</v>
      </c>
      <c r="AA448" s="207">
        <f t="shared" si="36"/>
        <v>0</v>
      </c>
      <c r="AB448" s="207">
        <f t="shared" si="37"/>
        <v>105.73929214477539</v>
      </c>
      <c r="AC448" s="207">
        <f t="shared" si="38"/>
        <v>89.406955718994141</v>
      </c>
      <c r="AD448" s="207">
        <f t="shared" si="39"/>
        <v>0</v>
      </c>
      <c r="AE448" s="207">
        <f t="shared" si="40"/>
        <v>61.18043327331543</v>
      </c>
      <c r="AF448" s="207">
        <f t="shared" si="41"/>
        <v>47.812652587890625</v>
      </c>
    </row>
    <row r="449" spans="3:32">
      <c r="C449" s="43"/>
      <c r="D449" s="27"/>
      <c r="Z449" s="206">
        <f t="shared" si="36"/>
        <v>0</v>
      </c>
      <c r="AA449" s="207">
        <f t="shared" si="36"/>
        <v>0</v>
      </c>
      <c r="AB449" s="207">
        <f t="shared" si="37"/>
        <v>105.73929214477539</v>
      </c>
      <c r="AC449" s="207">
        <f t="shared" si="38"/>
        <v>89.406955718994141</v>
      </c>
      <c r="AD449" s="207">
        <f t="shared" si="39"/>
        <v>0</v>
      </c>
      <c r="AE449" s="207">
        <f t="shared" si="40"/>
        <v>61.18043327331543</v>
      </c>
      <c r="AF449" s="207">
        <f t="shared" si="41"/>
        <v>47.812652587890625</v>
      </c>
    </row>
    <row r="450" spans="3:32">
      <c r="C450" s="43"/>
      <c r="D450" s="27"/>
      <c r="Z450" s="206">
        <f t="shared" si="36"/>
        <v>0</v>
      </c>
      <c r="AA450" s="207">
        <f t="shared" si="36"/>
        <v>0</v>
      </c>
      <c r="AB450" s="207">
        <f t="shared" si="37"/>
        <v>105.73929214477539</v>
      </c>
      <c r="AC450" s="207">
        <f t="shared" si="38"/>
        <v>89.406955718994141</v>
      </c>
      <c r="AD450" s="207">
        <f t="shared" si="39"/>
        <v>0</v>
      </c>
      <c r="AE450" s="207">
        <f t="shared" si="40"/>
        <v>61.18043327331543</v>
      </c>
      <c r="AF450" s="207">
        <f t="shared" si="41"/>
        <v>47.812652587890625</v>
      </c>
    </row>
    <row r="451" spans="3:32">
      <c r="C451" s="43"/>
      <c r="D451" s="27"/>
      <c r="Z451" s="206">
        <f t="shared" si="36"/>
        <v>0</v>
      </c>
      <c r="AA451" s="207">
        <f t="shared" si="36"/>
        <v>0</v>
      </c>
      <c r="AB451" s="207">
        <f t="shared" si="37"/>
        <v>105.73929214477539</v>
      </c>
      <c r="AC451" s="207">
        <f t="shared" si="38"/>
        <v>89.406955718994141</v>
      </c>
      <c r="AD451" s="207">
        <f t="shared" si="39"/>
        <v>0</v>
      </c>
      <c r="AE451" s="207">
        <f t="shared" si="40"/>
        <v>61.18043327331543</v>
      </c>
      <c r="AF451" s="207">
        <f t="shared" si="41"/>
        <v>47.812652587890625</v>
      </c>
    </row>
    <row r="452" spans="3:32">
      <c r="C452" s="43"/>
      <c r="D452" s="27"/>
      <c r="Z452" s="206">
        <f t="shared" si="36"/>
        <v>0</v>
      </c>
      <c r="AA452" s="207">
        <f t="shared" si="36"/>
        <v>0</v>
      </c>
      <c r="AB452" s="207">
        <f t="shared" si="37"/>
        <v>105.73929214477539</v>
      </c>
      <c r="AC452" s="207">
        <f t="shared" si="38"/>
        <v>89.406955718994141</v>
      </c>
      <c r="AD452" s="207">
        <f t="shared" si="39"/>
        <v>0</v>
      </c>
      <c r="AE452" s="207">
        <f t="shared" si="40"/>
        <v>61.18043327331543</v>
      </c>
      <c r="AF452" s="207">
        <f t="shared" si="41"/>
        <v>47.812652587890625</v>
      </c>
    </row>
    <row r="453" spans="3:32">
      <c r="C453" s="43"/>
      <c r="D453" s="27"/>
      <c r="Z453" s="206">
        <f t="shared" si="36"/>
        <v>0</v>
      </c>
      <c r="AA453" s="207">
        <f t="shared" si="36"/>
        <v>0</v>
      </c>
      <c r="AB453" s="207">
        <f t="shared" si="37"/>
        <v>105.73929214477539</v>
      </c>
      <c r="AC453" s="207">
        <f t="shared" si="38"/>
        <v>89.406955718994141</v>
      </c>
      <c r="AD453" s="207">
        <f t="shared" si="39"/>
        <v>0</v>
      </c>
      <c r="AE453" s="207">
        <f t="shared" si="40"/>
        <v>61.18043327331543</v>
      </c>
      <c r="AF453" s="207">
        <f t="shared" si="41"/>
        <v>47.812652587890625</v>
      </c>
    </row>
    <row r="454" spans="3:32">
      <c r="C454" s="43"/>
      <c r="D454" s="27"/>
      <c r="Z454" s="206">
        <f t="shared" si="36"/>
        <v>0</v>
      </c>
      <c r="AA454" s="207">
        <f t="shared" si="36"/>
        <v>0</v>
      </c>
      <c r="AB454" s="207">
        <f t="shared" si="37"/>
        <v>105.73929214477539</v>
      </c>
      <c r="AC454" s="207">
        <f t="shared" si="38"/>
        <v>89.406955718994141</v>
      </c>
      <c r="AD454" s="207">
        <f t="shared" si="39"/>
        <v>0</v>
      </c>
      <c r="AE454" s="207">
        <f t="shared" si="40"/>
        <v>61.18043327331543</v>
      </c>
      <c r="AF454" s="207">
        <f t="shared" si="41"/>
        <v>47.812652587890625</v>
      </c>
    </row>
    <row r="455" spans="3:32">
      <c r="C455" s="43"/>
      <c r="D455" s="27"/>
      <c r="Z455" s="206">
        <f t="shared" si="36"/>
        <v>0</v>
      </c>
      <c r="AA455" s="207">
        <f t="shared" si="36"/>
        <v>0</v>
      </c>
      <c r="AB455" s="207">
        <f t="shared" si="37"/>
        <v>105.73929214477539</v>
      </c>
      <c r="AC455" s="207">
        <f t="shared" si="38"/>
        <v>89.406955718994141</v>
      </c>
      <c r="AD455" s="207">
        <f t="shared" si="39"/>
        <v>0</v>
      </c>
      <c r="AE455" s="207">
        <f t="shared" si="40"/>
        <v>61.18043327331543</v>
      </c>
      <c r="AF455" s="207">
        <f t="shared" si="41"/>
        <v>47.812652587890625</v>
      </c>
    </row>
    <row r="456" spans="3:32">
      <c r="C456" s="43"/>
      <c r="D456" s="27"/>
      <c r="Z456" s="206">
        <f t="shared" si="36"/>
        <v>0</v>
      </c>
      <c r="AA456" s="207">
        <f t="shared" si="36"/>
        <v>0</v>
      </c>
      <c r="AB456" s="207">
        <f t="shared" si="37"/>
        <v>105.73929214477539</v>
      </c>
      <c r="AC456" s="207">
        <f t="shared" si="38"/>
        <v>89.406955718994141</v>
      </c>
      <c r="AD456" s="207">
        <f t="shared" si="39"/>
        <v>0</v>
      </c>
      <c r="AE456" s="207">
        <f t="shared" si="40"/>
        <v>61.18043327331543</v>
      </c>
      <c r="AF456" s="207">
        <f t="shared" si="41"/>
        <v>47.812652587890625</v>
      </c>
    </row>
    <row r="457" spans="3:32">
      <c r="C457" s="43"/>
      <c r="D457" s="27"/>
      <c r="Z457" s="206">
        <f t="shared" si="36"/>
        <v>0</v>
      </c>
      <c r="AA457" s="207">
        <f t="shared" si="36"/>
        <v>0</v>
      </c>
      <c r="AB457" s="207">
        <f t="shared" si="37"/>
        <v>105.73929214477539</v>
      </c>
      <c r="AC457" s="207">
        <f t="shared" si="38"/>
        <v>89.406955718994141</v>
      </c>
      <c r="AD457" s="207">
        <f t="shared" si="39"/>
        <v>0</v>
      </c>
      <c r="AE457" s="207">
        <f t="shared" si="40"/>
        <v>61.18043327331543</v>
      </c>
      <c r="AF457" s="207">
        <f t="shared" si="41"/>
        <v>47.812652587890625</v>
      </c>
    </row>
    <row r="458" spans="3:32">
      <c r="C458" s="43"/>
      <c r="D458" s="27"/>
      <c r="Z458" s="206">
        <f t="shared" si="36"/>
        <v>0</v>
      </c>
      <c r="AA458" s="207">
        <f t="shared" si="36"/>
        <v>0</v>
      </c>
      <c r="AB458" s="207">
        <f t="shared" si="37"/>
        <v>105.73929214477539</v>
      </c>
      <c r="AC458" s="207">
        <f t="shared" si="38"/>
        <v>89.406955718994141</v>
      </c>
      <c r="AD458" s="207">
        <f t="shared" si="39"/>
        <v>0</v>
      </c>
      <c r="AE458" s="207">
        <f t="shared" si="40"/>
        <v>61.18043327331543</v>
      </c>
      <c r="AF458" s="207">
        <f t="shared" si="41"/>
        <v>47.812652587890625</v>
      </c>
    </row>
    <row r="459" spans="3:32">
      <c r="C459" s="43"/>
      <c r="D459" s="27"/>
      <c r="Z459" s="206">
        <f t="shared" si="36"/>
        <v>0</v>
      </c>
      <c r="AA459" s="207">
        <f t="shared" si="36"/>
        <v>0</v>
      </c>
      <c r="AB459" s="207">
        <f t="shared" si="37"/>
        <v>105.73929214477539</v>
      </c>
      <c r="AC459" s="207">
        <f t="shared" si="38"/>
        <v>89.406955718994141</v>
      </c>
      <c r="AD459" s="207">
        <f t="shared" si="39"/>
        <v>0</v>
      </c>
      <c r="AE459" s="207">
        <f t="shared" si="40"/>
        <v>61.18043327331543</v>
      </c>
      <c r="AF459" s="207">
        <f t="shared" si="41"/>
        <v>47.812652587890625</v>
      </c>
    </row>
    <row r="460" spans="3:32">
      <c r="C460" s="43"/>
      <c r="D460" s="27"/>
      <c r="Z460" s="206">
        <f t="shared" si="36"/>
        <v>0</v>
      </c>
      <c r="AA460" s="207">
        <f t="shared" si="36"/>
        <v>0</v>
      </c>
      <c r="AB460" s="207">
        <f t="shared" si="37"/>
        <v>105.73929214477539</v>
      </c>
      <c r="AC460" s="207">
        <f t="shared" si="38"/>
        <v>89.406955718994141</v>
      </c>
      <c r="AD460" s="207">
        <f t="shared" si="39"/>
        <v>0</v>
      </c>
      <c r="AE460" s="207">
        <f t="shared" si="40"/>
        <v>61.18043327331543</v>
      </c>
      <c r="AF460" s="207">
        <f t="shared" si="41"/>
        <v>47.812652587890625</v>
      </c>
    </row>
    <row r="461" spans="3:32">
      <c r="C461" s="43"/>
      <c r="D461" s="27"/>
      <c r="Z461" s="206">
        <f t="shared" si="36"/>
        <v>0</v>
      </c>
      <c r="AA461" s="207">
        <f t="shared" si="36"/>
        <v>0</v>
      </c>
      <c r="AB461" s="207">
        <f t="shared" si="37"/>
        <v>105.73929214477539</v>
      </c>
      <c r="AC461" s="207">
        <f t="shared" si="38"/>
        <v>89.406955718994141</v>
      </c>
      <c r="AD461" s="207">
        <f t="shared" si="39"/>
        <v>0</v>
      </c>
      <c r="AE461" s="207">
        <f t="shared" si="40"/>
        <v>61.18043327331543</v>
      </c>
      <c r="AF461" s="207">
        <f t="shared" si="41"/>
        <v>47.812652587890625</v>
      </c>
    </row>
    <row r="462" spans="3:32">
      <c r="C462" s="43"/>
      <c r="D462" s="27"/>
      <c r="Z462" s="206">
        <f t="shared" si="36"/>
        <v>0</v>
      </c>
      <c r="AA462" s="207">
        <f t="shared" si="36"/>
        <v>0</v>
      </c>
      <c r="AB462" s="207">
        <f t="shared" si="37"/>
        <v>105.73929214477539</v>
      </c>
      <c r="AC462" s="207">
        <f t="shared" si="38"/>
        <v>89.406955718994141</v>
      </c>
      <c r="AD462" s="207">
        <f t="shared" si="39"/>
        <v>0</v>
      </c>
      <c r="AE462" s="207">
        <f t="shared" si="40"/>
        <v>61.18043327331543</v>
      </c>
      <c r="AF462" s="207">
        <f t="shared" si="41"/>
        <v>47.812652587890625</v>
      </c>
    </row>
    <row r="463" spans="3:32">
      <c r="C463" s="43"/>
      <c r="D463" s="27"/>
      <c r="Z463" s="206">
        <f t="shared" ref="Z463:AA526" si="42">B463</f>
        <v>0</v>
      </c>
      <c r="AA463" s="207">
        <f t="shared" si="42"/>
        <v>0</v>
      </c>
      <c r="AB463" s="207">
        <f t="shared" ref="AB463:AB526" si="43">$J$24</f>
        <v>105.73929214477539</v>
      </c>
      <c r="AC463" s="207">
        <f t="shared" ref="AC463:AC526" si="44">$J$25</f>
        <v>89.406955718994141</v>
      </c>
      <c r="AD463" s="207">
        <f t="shared" ref="AD463:AD526" si="45">D463</f>
        <v>0</v>
      </c>
      <c r="AE463" s="207">
        <f t="shared" ref="AE463:AE526" si="46">$K$24</f>
        <v>61.18043327331543</v>
      </c>
      <c r="AF463" s="207">
        <f t="shared" ref="AF463:AF526" si="47">$K$25</f>
        <v>47.812652587890625</v>
      </c>
    </row>
    <row r="464" spans="3:32">
      <c r="C464" s="43"/>
      <c r="D464" s="27"/>
      <c r="Z464" s="206">
        <f t="shared" si="42"/>
        <v>0</v>
      </c>
      <c r="AA464" s="207">
        <f t="shared" si="42"/>
        <v>0</v>
      </c>
      <c r="AB464" s="207">
        <f t="shared" si="43"/>
        <v>105.73929214477539</v>
      </c>
      <c r="AC464" s="207">
        <f t="shared" si="44"/>
        <v>89.406955718994141</v>
      </c>
      <c r="AD464" s="207">
        <f t="shared" si="45"/>
        <v>0</v>
      </c>
      <c r="AE464" s="207">
        <f t="shared" si="46"/>
        <v>61.18043327331543</v>
      </c>
      <c r="AF464" s="207">
        <f t="shared" si="47"/>
        <v>47.812652587890625</v>
      </c>
    </row>
    <row r="465" spans="3:32">
      <c r="C465" s="43"/>
      <c r="D465" s="27"/>
      <c r="Z465" s="206">
        <f t="shared" si="42"/>
        <v>0</v>
      </c>
      <c r="AA465" s="207">
        <f t="shared" si="42"/>
        <v>0</v>
      </c>
      <c r="AB465" s="207">
        <f t="shared" si="43"/>
        <v>105.73929214477539</v>
      </c>
      <c r="AC465" s="207">
        <f t="shared" si="44"/>
        <v>89.406955718994141</v>
      </c>
      <c r="AD465" s="207">
        <f t="shared" si="45"/>
        <v>0</v>
      </c>
      <c r="AE465" s="207">
        <f t="shared" si="46"/>
        <v>61.18043327331543</v>
      </c>
      <c r="AF465" s="207">
        <f t="shared" si="47"/>
        <v>47.812652587890625</v>
      </c>
    </row>
    <row r="466" spans="3:32">
      <c r="C466" s="43"/>
      <c r="D466" s="27"/>
      <c r="Z466" s="206">
        <f t="shared" si="42"/>
        <v>0</v>
      </c>
      <c r="AA466" s="207">
        <f t="shared" si="42"/>
        <v>0</v>
      </c>
      <c r="AB466" s="207">
        <f t="shared" si="43"/>
        <v>105.73929214477539</v>
      </c>
      <c r="AC466" s="207">
        <f t="shared" si="44"/>
        <v>89.406955718994141</v>
      </c>
      <c r="AD466" s="207">
        <f t="shared" si="45"/>
        <v>0</v>
      </c>
      <c r="AE466" s="207">
        <f t="shared" si="46"/>
        <v>61.18043327331543</v>
      </c>
      <c r="AF466" s="207">
        <f t="shared" si="47"/>
        <v>47.812652587890625</v>
      </c>
    </row>
    <row r="467" spans="3:32">
      <c r="C467" s="43"/>
      <c r="D467" s="27"/>
      <c r="Z467" s="206">
        <f t="shared" si="42"/>
        <v>0</v>
      </c>
      <c r="AA467" s="207">
        <f t="shared" si="42"/>
        <v>0</v>
      </c>
      <c r="AB467" s="207">
        <f t="shared" si="43"/>
        <v>105.73929214477539</v>
      </c>
      <c r="AC467" s="207">
        <f t="shared" si="44"/>
        <v>89.406955718994141</v>
      </c>
      <c r="AD467" s="207">
        <f t="shared" si="45"/>
        <v>0</v>
      </c>
      <c r="AE467" s="207">
        <f t="shared" si="46"/>
        <v>61.18043327331543</v>
      </c>
      <c r="AF467" s="207">
        <f t="shared" si="47"/>
        <v>47.812652587890625</v>
      </c>
    </row>
    <row r="468" spans="3:32">
      <c r="C468" s="43"/>
      <c r="D468" s="27"/>
      <c r="Z468" s="206">
        <f t="shared" si="42"/>
        <v>0</v>
      </c>
      <c r="AA468" s="207">
        <f t="shared" si="42"/>
        <v>0</v>
      </c>
      <c r="AB468" s="207">
        <f t="shared" si="43"/>
        <v>105.73929214477539</v>
      </c>
      <c r="AC468" s="207">
        <f t="shared" si="44"/>
        <v>89.406955718994141</v>
      </c>
      <c r="AD468" s="207">
        <f t="shared" si="45"/>
        <v>0</v>
      </c>
      <c r="AE468" s="207">
        <f t="shared" si="46"/>
        <v>61.18043327331543</v>
      </c>
      <c r="AF468" s="207">
        <f t="shared" si="47"/>
        <v>47.812652587890625</v>
      </c>
    </row>
    <row r="469" spans="3:32">
      <c r="C469" s="43"/>
      <c r="D469" s="27"/>
      <c r="Z469" s="206">
        <f t="shared" si="42"/>
        <v>0</v>
      </c>
      <c r="AA469" s="207">
        <f t="shared" si="42"/>
        <v>0</v>
      </c>
      <c r="AB469" s="207">
        <f t="shared" si="43"/>
        <v>105.73929214477539</v>
      </c>
      <c r="AC469" s="207">
        <f t="shared" si="44"/>
        <v>89.406955718994141</v>
      </c>
      <c r="AD469" s="207">
        <f t="shared" si="45"/>
        <v>0</v>
      </c>
      <c r="AE469" s="207">
        <f t="shared" si="46"/>
        <v>61.18043327331543</v>
      </c>
      <c r="AF469" s="207">
        <f t="shared" si="47"/>
        <v>47.812652587890625</v>
      </c>
    </row>
    <row r="470" spans="3:32">
      <c r="C470" s="43"/>
      <c r="D470" s="27"/>
      <c r="Z470" s="206">
        <f t="shared" si="42"/>
        <v>0</v>
      </c>
      <c r="AA470" s="207">
        <f t="shared" si="42"/>
        <v>0</v>
      </c>
      <c r="AB470" s="207">
        <f t="shared" si="43"/>
        <v>105.73929214477539</v>
      </c>
      <c r="AC470" s="207">
        <f t="shared" si="44"/>
        <v>89.406955718994141</v>
      </c>
      <c r="AD470" s="207">
        <f t="shared" si="45"/>
        <v>0</v>
      </c>
      <c r="AE470" s="207">
        <f t="shared" si="46"/>
        <v>61.18043327331543</v>
      </c>
      <c r="AF470" s="207">
        <f t="shared" si="47"/>
        <v>47.812652587890625</v>
      </c>
    </row>
    <row r="471" spans="3:32">
      <c r="C471" s="43"/>
      <c r="D471" s="27"/>
      <c r="Z471" s="206">
        <f t="shared" si="42"/>
        <v>0</v>
      </c>
      <c r="AA471" s="207">
        <f t="shared" si="42"/>
        <v>0</v>
      </c>
      <c r="AB471" s="207">
        <f t="shared" si="43"/>
        <v>105.73929214477539</v>
      </c>
      <c r="AC471" s="207">
        <f t="shared" si="44"/>
        <v>89.406955718994141</v>
      </c>
      <c r="AD471" s="207">
        <f t="shared" si="45"/>
        <v>0</v>
      </c>
      <c r="AE471" s="207">
        <f t="shared" si="46"/>
        <v>61.18043327331543</v>
      </c>
      <c r="AF471" s="207">
        <f t="shared" si="47"/>
        <v>47.812652587890625</v>
      </c>
    </row>
    <row r="472" spans="3:32">
      <c r="C472" s="43"/>
      <c r="D472" s="27"/>
      <c r="Z472" s="206">
        <f t="shared" si="42"/>
        <v>0</v>
      </c>
      <c r="AA472" s="207">
        <f t="shared" si="42"/>
        <v>0</v>
      </c>
      <c r="AB472" s="207">
        <f t="shared" si="43"/>
        <v>105.73929214477539</v>
      </c>
      <c r="AC472" s="207">
        <f t="shared" si="44"/>
        <v>89.406955718994141</v>
      </c>
      <c r="AD472" s="207">
        <f t="shared" si="45"/>
        <v>0</v>
      </c>
      <c r="AE472" s="207">
        <f t="shared" si="46"/>
        <v>61.18043327331543</v>
      </c>
      <c r="AF472" s="207">
        <f t="shared" si="47"/>
        <v>47.812652587890625</v>
      </c>
    </row>
    <row r="473" spans="3:32">
      <c r="C473" s="43"/>
      <c r="D473" s="27"/>
      <c r="Z473" s="206">
        <f t="shared" si="42"/>
        <v>0</v>
      </c>
      <c r="AA473" s="207">
        <f t="shared" si="42"/>
        <v>0</v>
      </c>
      <c r="AB473" s="207">
        <f t="shared" si="43"/>
        <v>105.73929214477539</v>
      </c>
      <c r="AC473" s="207">
        <f t="shared" si="44"/>
        <v>89.406955718994141</v>
      </c>
      <c r="AD473" s="207">
        <f t="shared" si="45"/>
        <v>0</v>
      </c>
      <c r="AE473" s="207">
        <f t="shared" si="46"/>
        <v>61.18043327331543</v>
      </c>
      <c r="AF473" s="207">
        <f t="shared" si="47"/>
        <v>47.812652587890625</v>
      </c>
    </row>
    <row r="474" spans="3:32">
      <c r="C474" s="43"/>
      <c r="D474" s="27"/>
      <c r="Z474" s="206">
        <f t="shared" si="42"/>
        <v>0</v>
      </c>
      <c r="AA474" s="207">
        <f t="shared" si="42"/>
        <v>0</v>
      </c>
      <c r="AB474" s="207">
        <f t="shared" si="43"/>
        <v>105.73929214477539</v>
      </c>
      <c r="AC474" s="207">
        <f t="shared" si="44"/>
        <v>89.406955718994141</v>
      </c>
      <c r="AD474" s="207">
        <f t="shared" si="45"/>
        <v>0</v>
      </c>
      <c r="AE474" s="207">
        <f t="shared" si="46"/>
        <v>61.18043327331543</v>
      </c>
      <c r="AF474" s="207">
        <f t="shared" si="47"/>
        <v>47.812652587890625</v>
      </c>
    </row>
    <row r="475" spans="3:32">
      <c r="C475" s="43"/>
      <c r="D475" s="27"/>
      <c r="Z475" s="206">
        <f t="shared" si="42"/>
        <v>0</v>
      </c>
      <c r="AA475" s="207">
        <f t="shared" si="42"/>
        <v>0</v>
      </c>
      <c r="AB475" s="207">
        <f t="shared" si="43"/>
        <v>105.73929214477539</v>
      </c>
      <c r="AC475" s="207">
        <f t="shared" si="44"/>
        <v>89.406955718994141</v>
      </c>
      <c r="AD475" s="207">
        <f t="shared" si="45"/>
        <v>0</v>
      </c>
      <c r="AE475" s="207">
        <f t="shared" si="46"/>
        <v>61.18043327331543</v>
      </c>
      <c r="AF475" s="207">
        <f t="shared" si="47"/>
        <v>47.812652587890625</v>
      </c>
    </row>
    <row r="476" spans="3:32">
      <c r="C476" s="43"/>
      <c r="D476" s="27"/>
      <c r="Z476" s="206">
        <f t="shared" si="42"/>
        <v>0</v>
      </c>
      <c r="AA476" s="207">
        <f t="shared" si="42"/>
        <v>0</v>
      </c>
      <c r="AB476" s="207">
        <f t="shared" si="43"/>
        <v>105.73929214477539</v>
      </c>
      <c r="AC476" s="207">
        <f t="shared" si="44"/>
        <v>89.406955718994141</v>
      </c>
      <c r="AD476" s="207">
        <f t="shared" si="45"/>
        <v>0</v>
      </c>
      <c r="AE476" s="207">
        <f t="shared" si="46"/>
        <v>61.18043327331543</v>
      </c>
      <c r="AF476" s="207">
        <f t="shared" si="47"/>
        <v>47.812652587890625</v>
      </c>
    </row>
    <row r="477" spans="3:32">
      <c r="C477" s="43"/>
      <c r="D477" s="27"/>
      <c r="Z477" s="206">
        <f t="shared" si="42"/>
        <v>0</v>
      </c>
      <c r="AA477" s="207">
        <f t="shared" si="42"/>
        <v>0</v>
      </c>
      <c r="AB477" s="207">
        <f t="shared" si="43"/>
        <v>105.73929214477539</v>
      </c>
      <c r="AC477" s="207">
        <f t="shared" si="44"/>
        <v>89.406955718994141</v>
      </c>
      <c r="AD477" s="207">
        <f t="shared" si="45"/>
        <v>0</v>
      </c>
      <c r="AE477" s="207">
        <f t="shared" si="46"/>
        <v>61.18043327331543</v>
      </c>
      <c r="AF477" s="207">
        <f t="shared" si="47"/>
        <v>47.812652587890625</v>
      </c>
    </row>
    <row r="478" spans="3:32">
      <c r="C478" s="43"/>
      <c r="D478" s="27"/>
      <c r="Z478" s="206">
        <f t="shared" si="42"/>
        <v>0</v>
      </c>
      <c r="AA478" s="207">
        <f t="shared" si="42"/>
        <v>0</v>
      </c>
      <c r="AB478" s="207">
        <f t="shared" si="43"/>
        <v>105.73929214477539</v>
      </c>
      <c r="AC478" s="207">
        <f t="shared" si="44"/>
        <v>89.406955718994141</v>
      </c>
      <c r="AD478" s="207">
        <f t="shared" si="45"/>
        <v>0</v>
      </c>
      <c r="AE478" s="207">
        <f t="shared" si="46"/>
        <v>61.18043327331543</v>
      </c>
      <c r="AF478" s="207">
        <f t="shared" si="47"/>
        <v>47.812652587890625</v>
      </c>
    </row>
    <row r="479" spans="3:32">
      <c r="C479" s="43"/>
      <c r="D479" s="27"/>
      <c r="Z479" s="206">
        <f t="shared" si="42"/>
        <v>0</v>
      </c>
      <c r="AA479" s="207">
        <f t="shared" si="42"/>
        <v>0</v>
      </c>
      <c r="AB479" s="207">
        <f t="shared" si="43"/>
        <v>105.73929214477539</v>
      </c>
      <c r="AC479" s="207">
        <f t="shared" si="44"/>
        <v>89.406955718994141</v>
      </c>
      <c r="AD479" s="207">
        <f t="shared" si="45"/>
        <v>0</v>
      </c>
      <c r="AE479" s="207">
        <f t="shared" si="46"/>
        <v>61.18043327331543</v>
      </c>
      <c r="AF479" s="207">
        <f t="shared" si="47"/>
        <v>47.812652587890625</v>
      </c>
    </row>
    <row r="480" spans="3:32">
      <c r="C480" s="43"/>
      <c r="D480" s="27"/>
      <c r="Z480" s="206">
        <f t="shared" si="42"/>
        <v>0</v>
      </c>
      <c r="AA480" s="207">
        <f t="shared" si="42"/>
        <v>0</v>
      </c>
      <c r="AB480" s="207">
        <f t="shared" si="43"/>
        <v>105.73929214477539</v>
      </c>
      <c r="AC480" s="207">
        <f t="shared" si="44"/>
        <v>89.406955718994141</v>
      </c>
      <c r="AD480" s="207">
        <f t="shared" si="45"/>
        <v>0</v>
      </c>
      <c r="AE480" s="207">
        <f t="shared" si="46"/>
        <v>61.18043327331543</v>
      </c>
      <c r="AF480" s="207">
        <f t="shared" si="47"/>
        <v>47.812652587890625</v>
      </c>
    </row>
    <row r="481" spans="3:32">
      <c r="C481" s="43"/>
      <c r="D481" s="27"/>
      <c r="Z481" s="206">
        <f t="shared" si="42"/>
        <v>0</v>
      </c>
      <c r="AA481" s="207">
        <f t="shared" si="42"/>
        <v>0</v>
      </c>
      <c r="AB481" s="207">
        <f t="shared" si="43"/>
        <v>105.73929214477539</v>
      </c>
      <c r="AC481" s="207">
        <f t="shared" si="44"/>
        <v>89.406955718994141</v>
      </c>
      <c r="AD481" s="207">
        <f t="shared" si="45"/>
        <v>0</v>
      </c>
      <c r="AE481" s="207">
        <f t="shared" si="46"/>
        <v>61.18043327331543</v>
      </c>
      <c r="AF481" s="207">
        <f t="shared" si="47"/>
        <v>47.812652587890625</v>
      </c>
    </row>
    <row r="482" spans="3:32">
      <c r="C482" s="43"/>
      <c r="D482" s="27"/>
      <c r="Z482" s="206">
        <f t="shared" si="42"/>
        <v>0</v>
      </c>
      <c r="AA482" s="207">
        <f t="shared" si="42"/>
        <v>0</v>
      </c>
      <c r="AB482" s="207">
        <f t="shared" si="43"/>
        <v>105.73929214477539</v>
      </c>
      <c r="AC482" s="207">
        <f t="shared" si="44"/>
        <v>89.406955718994141</v>
      </c>
      <c r="AD482" s="207">
        <f t="shared" si="45"/>
        <v>0</v>
      </c>
      <c r="AE482" s="207">
        <f t="shared" si="46"/>
        <v>61.18043327331543</v>
      </c>
      <c r="AF482" s="207">
        <f t="shared" si="47"/>
        <v>47.812652587890625</v>
      </c>
    </row>
    <row r="483" spans="3:32">
      <c r="C483" s="43"/>
      <c r="D483" s="27"/>
      <c r="Z483" s="206">
        <f t="shared" si="42"/>
        <v>0</v>
      </c>
      <c r="AA483" s="207">
        <f t="shared" si="42"/>
        <v>0</v>
      </c>
      <c r="AB483" s="207">
        <f t="shared" si="43"/>
        <v>105.73929214477539</v>
      </c>
      <c r="AC483" s="207">
        <f t="shared" si="44"/>
        <v>89.406955718994141</v>
      </c>
      <c r="AD483" s="207">
        <f t="shared" si="45"/>
        <v>0</v>
      </c>
      <c r="AE483" s="207">
        <f t="shared" si="46"/>
        <v>61.18043327331543</v>
      </c>
      <c r="AF483" s="207">
        <f t="shared" si="47"/>
        <v>47.812652587890625</v>
      </c>
    </row>
    <row r="484" spans="3:32">
      <c r="C484" s="43"/>
      <c r="D484" s="27"/>
      <c r="Z484" s="206">
        <f t="shared" si="42"/>
        <v>0</v>
      </c>
      <c r="AA484" s="207">
        <f t="shared" si="42"/>
        <v>0</v>
      </c>
      <c r="AB484" s="207">
        <f t="shared" si="43"/>
        <v>105.73929214477539</v>
      </c>
      <c r="AC484" s="207">
        <f t="shared" si="44"/>
        <v>89.406955718994141</v>
      </c>
      <c r="AD484" s="207">
        <f t="shared" si="45"/>
        <v>0</v>
      </c>
      <c r="AE484" s="207">
        <f t="shared" si="46"/>
        <v>61.18043327331543</v>
      </c>
      <c r="AF484" s="207">
        <f t="shared" si="47"/>
        <v>47.812652587890625</v>
      </c>
    </row>
    <row r="485" spans="3:32">
      <c r="C485" s="43"/>
      <c r="D485" s="27"/>
      <c r="Z485" s="206">
        <f t="shared" si="42"/>
        <v>0</v>
      </c>
      <c r="AA485" s="207">
        <f t="shared" si="42"/>
        <v>0</v>
      </c>
      <c r="AB485" s="207">
        <f t="shared" si="43"/>
        <v>105.73929214477539</v>
      </c>
      <c r="AC485" s="207">
        <f t="shared" si="44"/>
        <v>89.406955718994141</v>
      </c>
      <c r="AD485" s="207">
        <f t="shared" si="45"/>
        <v>0</v>
      </c>
      <c r="AE485" s="207">
        <f t="shared" si="46"/>
        <v>61.18043327331543</v>
      </c>
      <c r="AF485" s="207">
        <f t="shared" si="47"/>
        <v>47.812652587890625</v>
      </c>
    </row>
    <row r="486" spans="3:32">
      <c r="C486" s="43"/>
      <c r="D486" s="27"/>
      <c r="Z486" s="206">
        <f t="shared" si="42"/>
        <v>0</v>
      </c>
      <c r="AA486" s="207">
        <f t="shared" si="42"/>
        <v>0</v>
      </c>
      <c r="AB486" s="207">
        <f t="shared" si="43"/>
        <v>105.73929214477539</v>
      </c>
      <c r="AC486" s="207">
        <f t="shared" si="44"/>
        <v>89.406955718994141</v>
      </c>
      <c r="AD486" s="207">
        <f t="shared" si="45"/>
        <v>0</v>
      </c>
      <c r="AE486" s="207">
        <f t="shared" si="46"/>
        <v>61.18043327331543</v>
      </c>
      <c r="AF486" s="207">
        <f t="shared" si="47"/>
        <v>47.812652587890625</v>
      </c>
    </row>
    <row r="487" spans="3:32">
      <c r="C487" s="43"/>
      <c r="D487" s="27"/>
      <c r="Z487" s="206">
        <f t="shared" si="42"/>
        <v>0</v>
      </c>
      <c r="AA487" s="207">
        <f t="shared" si="42"/>
        <v>0</v>
      </c>
      <c r="AB487" s="207">
        <f t="shared" si="43"/>
        <v>105.73929214477539</v>
      </c>
      <c r="AC487" s="207">
        <f t="shared" si="44"/>
        <v>89.406955718994141</v>
      </c>
      <c r="AD487" s="207">
        <f t="shared" si="45"/>
        <v>0</v>
      </c>
      <c r="AE487" s="207">
        <f t="shared" si="46"/>
        <v>61.18043327331543</v>
      </c>
      <c r="AF487" s="207">
        <f t="shared" si="47"/>
        <v>47.812652587890625</v>
      </c>
    </row>
    <row r="488" spans="3:32">
      <c r="C488" s="43"/>
      <c r="D488" s="27"/>
      <c r="Z488" s="206">
        <f t="shared" si="42"/>
        <v>0</v>
      </c>
      <c r="AA488" s="207">
        <f t="shared" si="42"/>
        <v>0</v>
      </c>
      <c r="AB488" s="207">
        <f t="shared" si="43"/>
        <v>105.73929214477539</v>
      </c>
      <c r="AC488" s="207">
        <f t="shared" si="44"/>
        <v>89.406955718994141</v>
      </c>
      <c r="AD488" s="207">
        <f t="shared" si="45"/>
        <v>0</v>
      </c>
      <c r="AE488" s="207">
        <f t="shared" si="46"/>
        <v>61.18043327331543</v>
      </c>
      <c r="AF488" s="207">
        <f t="shared" si="47"/>
        <v>47.812652587890625</v>
      </c>
    </row>
    <row r="489" spans="3:32">
      <c r="C489" s="43"/>
      <c r="D489" s="27"/>
      <c r="Z489" s="206">
        <f t="shared" si="42"/>
        <v>0</v>
      </c>
      <c r="AA489" s="207">
        <f t="shared" si="42"/>
        <v>0</v>
      </c>
      <c r="AB489" s="207">
        <f t="shared" si="43"/>
        <v>105.73929214477539</v>
      </c>
      <c r="AC489" s="207">
        <f t="shared" si="44"/>
        <v>89.406955718994141</v>
      </c>
      <c r="AD489" s="207">
        <f t="shared" si="45"/>
        <v>0</v>
      </c>
      <c r="AE489" s="207">
        <f t="shared" si="46"/>
        <v>61.18043327331543</v>
      </c>
      <c r="AF489" s="207">
        <f t="shared" si="47"/>
        <v>47.812652587890625</v>
      </c>
    </row>
    <row r="490" spans="3:32">
      <c r="C490" s="43"/>
      <c r="D490" s="27"/>
      <c r="Z490" s="206">
        <f t="shared" si="42"/>
        <v>0</v>
      </c>
      <c r="AA490" s="207">
        <f t="shared" si="42"/>
        <v>0</v>
      </c>
      <c r="AB490" s="207">
        <f t="shared" si="43"/>
        <v>105.73929214477539</v>
      </c>
      <c r="AC490" s="207">
        <f t="shared" si="44"/>
        <v>89.406955718994141</v>
      </c>
      <c r="AD490" s="207">
        <f t="shared" si="45"/>
        <v>0</v>
      </c>
      <c r="AE490" s="207">
        <f t="shared" si="46"/>
        <v>61.18043327331543</v>
      </c>
      <c r="AF490" s="207">
        <f t="shared" si="47"/>
        <v>47.812652587890625</v>
      </c>
    </row>
    <row r="491" spans="3:32">
      <c r="C491" s="43"/>
      <c r="D491" s="27"/>
      <c r="Z491" s="206">
        <f t="shared" si="42"/>
        <v>0</v>
      </c>
      <c r="AA491" s="207">
        <f t="shared" si="42"/>
        <v>0</v>
      </c>
      <c r="AB491" s="207">
        <f t="shared" si="43"/>
        <v>105.73929214477539</v>
      </c>
      <c r="AC491" s="207">
        <f t="shared" si="44"/>
        <v>89.406955718994141</v>
      </c>
      <c r="AD491" s="207">
        <f t="shared" si="45"/>
        <v>0</v>
      </c>
      <c r="AE491" s="207">
        <f t="shared" si="46"/>
        <v>61.18043327331543</v>
      </c>
      <c r="AF491" s="207">
        <f t="shared" si="47"/>
        <v>47.812652587890625</v>
      </c>
    </row>
    <row r="492" spans="3:32">
      <c r="C492" s="43"/>
      <c r="D492" s="27"/>
      <c r="Z492" s="206">
        <f t="shared" si="42"/>
        <v>0</v>
      </c>
      <c r="AA492" s="207">
        <f t="shared" si="42"/>
        <v>0</v>
      </c>
      <c r="AB492" s="207">
        <f t="shared" si="43"/>
        <v>105.73929214477539</v>
      </c>
      <c r="AC492" s="207">
        <f t="shared" si="44"/>
        <v>89.406955718994141</v>
      </c>
      <c r="AD492" s="207">
        <f t="shared" si="45"/>
        <v>0</v>
      </c>
      <c r="AE492" s="207">
        <f t="shared" si="46"/>
        <v>61.18043327331543</v>
      </c>
      <c r="AF492" s="207">
        <f t="shared" si="47"/>
        <v>47.812652587890625</v>
      </c>
    </row>
    <row r="493" spans="3:32">
      <c r="C493" s="43"/>
      <c r="D493" s="27"/>
      <c r="Z493" s="206">
        <f t="shared" si="42"/>
        <v>0</v>
      </c>
      <c r="AA493" s="207">
        <f t="shared" si="42"/>
        <v>0</v>
      </c>
      <c r="AB493" s="207">
        <f t="shared" si="43"/>
        <v>105.73929214477539</v>
      </c>
      <c r="AC493" s="207">
        <f t="shared" si="44"/>
        <v>89.406955718994141</v>
      </c>
      <c r="AD493" s="207">
        <f t="shared" si="45"/>
        <v>0</v>
      </c>
      <c r="AE493" s="207">
        <f t="shared" si="46"/>
        <v>61.18043327331543</v>
      </c>
      <c r="AF493" s="207">
        <f t="shared" si="47"/>
        <v>47.812652587890625</v>
      </c>
    </row>
    <row r="494" spans="3:32">
      <c r="C494" s="43"/>
      <c r="D494" s="27"/>
      <c r="Z494" s="206">
        <f t="shared" si="42"/>
        <v>0</v>
      </c>
      <c r="AA494" s="207">
        <f t="shared" si="42"/>
        <v>0</v>
      </c>
      <c r="AB494" s="207">
        <f t="shared" si="43"/>
        <v>105.73929214477539</v>
      </c>
      <c r="AC494" s="207">
        <f t="shared" si="44"/>
        <v>89.406955718994141</v>
      </c>
      <c r="AD494" s="207">
        <f t="shared" si="45"/>
        <v>0</v>
      </c>
      <c r="AE494" s="207">
        <f t="shared" si="46"/>
        <v>61.18043327331543</v>
      </c>
      <c r="AF494" s="207">
        <f t="shared" si="47"/>
        <v>47.812652587890625</v>
      </c>
    </row>
    <row r="495" spans="3:32">
      <c r="C495" s="43"/>
      <c r="D495" s="27"/>
      <c r="Z495" s="206">
        <f t="shared" si="42"/>
        <v>0</v>
      </c>
      <c r="AA495" s="207">
        <f t="shared" si="42"/>
        <v>0</v>
      </c>
      <c r="AB495" s="207">
        <f t="shared" si="43"/>
        <v>105.73929214477539</v>
      </c>
      <c r="AC495" s="207">
        <f t="shared" si="44"/>
        <v>89.406955718994141</v>
      </c>
      <c r="AD495" s="207">
        <f t="shared" si="45"/>
        <v>0</v>
      </c>
      <c r="AE495" s="207">
        <f t="shared" si="46"/>
        <v>61.18043327331543</v>
      </c>
      <c r="AF495" s="207">
        <f t="shared" si="47"/>
        <v>47.812652587890625</v>
      </c>
    </row>
    <row r="496" spans="3:32">
      <c r="C496" s="43"/>
      <c r="D496" s="27"/>
      <c r="Z496" s="206">
        <f t="shared" si="42"/>
        <v>0</v>
      </c>
      <c r="AA496" s="207">
        <f t="shared" si="42"/>
        <v>0</v>
      </c>
      <c r="AB496" s="207">
        <f t="shared" si="43"/>
        <v>105.73929214477539</v>
      </c>
      <c r="AC496" s="207">
        <f t="shared" si="44"/>
        <v>89.406955718994141</v>
      </c>
      <c r="AD496" s="207">
        <f t="shared" si="45"/>
        <v>0</v>
      </c>
      <c r="AE496" s="207">
        <f t="shared" si="46"/>
        <v>61.18043327331543</v>
      </c>
      <c r="AF496" s="207">
        <f t="shared" si="47"/>
        <v>47.812652587890625</v>
      </c>
    </row>
    <row r="497" spans="3:32">
      <c r="C497" s="43"/>
      <c r="D497" s="27"/>
      <c r="Z497" s="206">
        <f t="shared" si="42"/>
        <v>0</v>
      </c>
      <c r="AA497" s="207">
        <f t="shared" si="42"/>
        <v>0</v>
      </c>
      <c r="AB497" s="207">
        <f t="shared" si="43"/>
        <v>105.73929214477539</v>
      </c>
      <c r="AC497" s="207">
        <f t="shared" si="44"/>
        <v>89.406955718994141</v>
      </c>
      <c r="AD497" s="207">
        <f t="shared" si="45"/>
        <v>0</v>
      </c>
      <c r="AE497" s="207">
        <f t="shared" si="46"/>
        <v>61.18043327331543</v>
      </c>
      <c r="AF497" s="207">
        <f t="shared" si="47"/>
        <v>47.812652587890625</v>
      </c>
    </row>
    <row r="498" spans="3:32">
      <c r="C498" s="43"/>
      <c r="D498" s="27"/>
      <c r="Z498" s="206">
        <f t="shared" si="42"/>
        <v>0</v>
      </c>
      <c r="AA498" s="207">
        <f t="shared" si="42"/>
        <v>0</v>
      </c>
      <c r="AB498" s="207">
        <f t="shared" si="43"/>
        <v>105.73929214477539</v>
      </c>
      <c r="AC498" s="207">
        <f t="shared" si="44"/>
        <v>89.406955718994141</v>
      </c>
      <c r="AD498" s="207">
        <f t="shared" si="45"/>
        <v>0</v>
      </c>
      <c r="AE498" s="207">
        <f t="shared" si="46"/>
        <v>61.18043327331543</v>
      </c>
      <c r="AF498" s="207">
        <f t="shared" si="47"/>
        <v>47.812652587890625</v>
      </c>
    </row>
    <row r="499" spans="3:32">
      <c r="C499" s="43"/>
      <c r="D499" s="27"/>
      <c r="Z499" s="206">
        <f t="shared" si="42"/>
        <v>0</v>
      </c>
      <c r="AA499" s="207">
        <f t="shared" si="42"/>
        <v>0</v>
      </c>
      <c r="AB499" s="207">
        <f t="shared" si="43"/>
        <v>105.73929214477539</v>
      </c>
      <c r="AC499" s="207">
        <f t="shared" si="44"/>
        <v>89.406955718994141</v>
      </c>
      <c r="AD499" s="207">
        <f t="shared" si="45"/>
        <v>0</v>
      </c>
      <c r="AE499" s="207">
        <f t="shared" si="46"/>
        <v>61.18043327331543</v>
      </c>
      <c r="AF499" s="207">
        <f t="shared" si="47"/>
        <v>47.812652587890625</v>
      </c>
    </row>
    <row r="500" spans="3:32">
      <c r="C500" s="43"/>
      <c r="D500" s="27"/>
      <c r="Z500" s="206">
        <f t="shared" si="42"/>
        <v>0</v>
      </c>
      <c r="AA500" s="207">
        <f t="shared" si="42"/>
        <v>0</v>
      </c>
      <c r="AB500" s="207">
        <f t="shared" si="43"/>
        <v>105.73929214477539</v>
      </c>
      <c r="AC500" s="207">
        <f t="shared" si="44"/>
        <v>89.406955718994141</v>
      </c>
      <c r="AD500" s="207">
        <f t="shared" si="45"/>
        <v>0</v>
      </c>
      <c r="AE500" s="207">
        <f t="shared" si="46"/>
        <v>61.18043327331543</v>
      </c>
      <c r="AF500" s="207">
        <f t="shared" si="47"/>
        <v>47.812652587890625</v>
      </c>
    </row>
    <row r="501" spans="3:32">
      <c r="C501" s="43"/>
      <c r="D501" s="27"/>
      <c r="Z501" s="206">
        <f t="shared" si="42"/>
        <v>0</v>
      </c>
      <c r="AA501" s="207">
        <f t="shared" si="42"/>
        <v>0</v>
      </c>
      <c r="AB501" s="207">
        <f t="shared" si="43"/>
        <v>105.73929214477539</v>
      </c>
      <c r="AC501" s="207">
        <f t="shared" si="44"/>
        <v>89.406955718994141</v>
      </c>
      <c r="AD501" s="207">
        <f t="shared" si="45"/>
        <v>0</v>
      </c>
      <c r="AE501" s="207">
        <f t="shared" si="46"/>
        <v>61.18043327331543</v>
      </c>
      <c r="AF501" s="207">
        <f t="shared" si="47"/>
        <v>47.812652587890625</v>
      </c>
    </row>
    <row r="502" spans="3:32">
      <c r="C502" s="43"/>
      <c r="D502" s="27"/>
      <c r="Z502" s="206">
        <f t="shared" si="42"/>
        <v>0</v>
      </c>
      <c r="AA502" s="207">
        <f t="shared" si="42"/>
        <v>0</v>
      </c>
      <c r="AB502" s="207">
        <f t="shared" si="43"/>
        <v>105.73929214477539</v>
      </c>
      <c r="AC502" s="207">
        <f t="shared" si="44"/>
        <v>89.406955718994141</v>
      </c>
      <c r="AD502" s="207">
        <f t="shared" si="45"/>
        <v>0</v>
      </c>
      <c r="AE502" s="207">
        <f t="shared" si="46"/>
        <v>61.18043327331543</v>
      </c>
      <c r="AF502" s="207">
        <f t="shared" si="47"/>
        <v>47.812652587890625</v>
      </c>
    </row>
    <row r="503" spans="3:32">
      <c r="C503" s="43"/>
      <c r="D503" s="27"/>
      <c r="Z503" s="206">
        <f t="shared" si="42"/>
        <v>0</v>
      </c>
      <c r="AA503" s="207">
        <f t="shared" si="42"/>
        <v>0</v>
      </c>
      <c r="AB503" s="207">
        <f t="shared" si="43"/>
        <v>105.73929214477539</v>
      </c>
      <c r="AC503" s="207">
        <f t="shared" si="44"/>
        <v>89.406955718994141</v>
      </c>
      <c r="AD503" s="207">
        <f t="shared" si="45"/>
        <v>0</v>
      </c>
      <c r="AE503" s="207">
        <f t="shared" si="46"/>
        <v>61.18043327331543</v>
      </c>
      <c r="AF503" s="207">
        <f t="shared" si="47"/>
        <v>47.812652587890625</v>
      </c>
    </row>
    <row r="504" spans="3:32">
      <c r="C504" s="43"/>
      <c r="D504" s="27"/>
      <c r="Z504" s="206">
        <f t="shared" si="42"/>
        <v>0</v>
      </c>
      <c r="AA504" s="207">
        <f t="shared" si="42"/>
        <v>0</v>
      </c>
      <c r="AB504" s="207">
        <f t="shared" si="43"/>
        <v>105.73929214477539</v>
      </c>
      <c r="AC504" s="207">
        <f t="shared" si="44"/>
        <v>89.406955718994141</v>
      </c>
      <c r="AD504" s="207">
        <f t="shared" si="45"/>
        <v>0</v>
      </c>
      <c r="AE504" s="207">
        <f t="shared" si="46"/>
        <v>61.18043327331543</v>
      </c>
      <c r="AF504" s="207">
        <f t="shared" si="47"/>
        <v>47.812652587890625</v>
      </c>
    </row>
    <row r="505" spans="3:32">
      <c r="C505" s="43"/>
      <c r="D505" s="27"/>
      <c r="Z505" s="206">
        <f t="shared" si="42"/>
        <v>0</v>
      </c>
      <c r="AA505" s="207">
        <f t="shared" si="42"/>
        <v>0</v>
      </c>
      <c r="AB505" s="207">
        <f t="shared" si="43"/>
        <v>105.73929214477539</v>
      </c>
      <c r="AC505" s="207">
        <f t="shared" si="44"/>
        <v>89.406955718994141</v>
      </c>
      <c r="AD505" s="207">
        <f t="shared" si="45"/>
        <v>0</v>
      </c>
      <c r="AE505" s="207">
        <f t="shared" si="46"/>
        <v>61.18043327331543</v>
      </c>
      <c r="AF505" s="207">
        <f t="shared" si="47"/>
        <v>47.812652587890625</v>
      </c>
    </row>
    <row r="506" spans="3:32">
      <c r="C506" s="43"/>
      <c r="D506" s="27"/>
      <c r="Z506" s="206">
        <f t="shared" si="42"/>
        <v>0</v>
      </c>
      <c r="AA506" s="207">
        <f t="shared" si="42"/>
        <v>0</v>
      </c>
      <c r="AB506" s="207">
        <f t="shared" si="43"/>
        <v>105.73929214477539</v>
      </c>
      <c r="AC506" s="207">
        <f t="shared" si="44"/>
        <v>89.406955718994141</v>
      </c>
      <c r="AD506" s="207">
        <f t="shared" si="45"/>
        <v>0</v>
      </c>
      <c r="AE506" s="207">
        <f t="shared" si="46"/>
        <v>61.18043327331543</v>
      </c>
      <c r="AF506" s="207">
        <f t="shared" si="47"/>
        <v>47.812652587890625</v>
      </c>
    </row>
    <row r="507" spans="3:32">
      <c r="C507" s="43"/>
      <c r="D507" s="27"/>
      <c r="Z507" s="206">
        <f t="shared" si="42"/>
        <v>0</v>
      </c>
      <c r="AA507" s="207">
        <f t="shared" si="42"/>
        <v>0</v>
      </c>
      <c r="AB507" s="207">
        <f t="shared" si="43"/>
        <v>105.73929214477539</v>
      </c>
      <c r="AC507" s="207">
        <f t="shared" si="44"/>
        <v>89.406955718994141</v>
      </c>
      <c r="AD507" s="207">
        <f t="shared" si="45"/>
        <v>0</v>
      </c>
      <c r="AE507" s="207">
        <f t="shared" si="46"/>
        <v>61.18043327331543</v>
      </c>
      <c r="AF507" s="207">
        <f t="shared" si="47"/>
        <v>47.812652587890625</v>
      </c>
    </row>
    <row r="508" spans="3:32">
      <c r="C508" s="43"/>
      <c r="D508" s="27"/>
      <c r="Z508" s="206">
        <f t="shared" si="42"/>
        <v>0</v>
      </c>
      <c r="AA508" s="207">
        <f t="shared" si="42"/>
        <v>0</v>
      </c>
      <c r="AB508" s="207">
        <f t="shared" si="43"/>
        <v>105.73929214477539</v>
      </c>
      <c r="AC508" s="207">
        <f t="shared" si="44"/>
        <v>89.406955718994141</v>
      </c>
      <c r="AD508" s="207">
        <f t="shared" si="45"/>
        <v>0</v>
      </c>
      <c r="AE508" s="207">
        <f t="shared" si="46"/>
        <v>61.18043327331543</v>
      </c>
      <c r="AF508" s="207">
        <f t="shared" si="47"/>
        <v>47.812652587890625</v>
      </c>
    </row>
    <row r="509" spans="3:32">
      <c r="C509" s="43"/>
      <c r="D509" s="27"/>
      <c r="Z509" s="206">
        <f t="shared" si="42"/>
        <v>0</v>
      </c>
      <c r="AA509" s="207">
        <f t="shared" si="42"/>
        <v>0</v>
      </c>
      <c r="AB509" s="207">
        <f t="shared" si="43"/>
        <v>105.73929214477539</v>
      </c>
      <c r="AC509" s="207">
        <f t="shared" si="44"/>
        <v>89.406955718994141</v>
      </c>
      <c r="AD509" s="207">
        <f t="shared" si="45"/>
        <v>0</v>
      </c>
      <c r="AE509" s="207">
        <f t="shared" si="46"/>
        <v>61.18043327331543</v>
      </c>
      <c r="AF509" s="207">
        <f t="shared" si="47"/>
        <v>47.812652587890625</v>
      </c>
    </row>
    <row r="510" spans="3:32">
      <c r="C510" s="43"/>
      <c r="D510" s="27"/>
      <c r="Z510" s="206">
        <f t="shared" si="42"/>
        <v>0</v>
      </c>
      <c r="AA510" s="207">
        <f t="shared" si="42"/>
        <v>0</v>
      </c>
      <c r="AB510" s="207">
        <f t="shared" si="43"/>
        <v>105.73929214477539</v>
      </c>
      <c r="AC510" s="207">
        <f t="shared" si="44"/>
        <v>89.406955718994141</v>
      </c>
      <c r="AD510" s="207">
        <f t="shared" si="45"/>
        <v>0</v>
      </c>
      <c r="AE510" s="207">
        <f t="shared" si="46"/>
        <v>61.18043327331543</v>
      </c>
      <c r="AF510" s="207">
        <f t="shared" si="47"/>
        <v>47.812652587890625</v>
      </c>
    </row>
    <row r="511" spans="3:32">
      <c r="C511" s="43"/>
      <c r="D511" s="27"/>
      <c r="Z511" s="206">
        <f t="shared" si="42"/>
        <v>0</v>
      </c>
      <c r="AA511" s="207">
        <f t="shared" si="42"/>
        <v>0</v>
      </c>
      <c r="AB511" s="207">
        <f t="shared" si="43"/>
        <v>105.73929214477539</v>
      </c>
      <c r="AC511" s="207">
        <f t="shared" si="44"/>
        <v>89.406955718994141</v>
      </c>
      <c r="AD511" s="207">
        <f t="shared" si="45"/>
        <v>0</v>
      </c>
      <c r="AE511" s="207">
        <f t="shared" si="46"/>
        <v>61.18043327331543</v>
      </c>
      <c r="AF511" s="207">
        <f t="shared" si="47"/>
        <v>47.812652587890625</v>
      </c>
    </row>
    <row r="512" spans="3:32">
      <c r="C512" s="43"/>
      <c r="D512" s="27"/>
      <c r="Z512" s="206">
        <f t="shared" si="42"/>
        <v>0</v>
      </c>
      <c r="AA512" s="207">
        <f t="shared" si="42"/>
        <v>0</v>
      </c>
      <c r="AB512" s="207">
        <f t="shared" si="43"/>
        <v>105.73929214477539</v>
      </c>
      <c r="AC512" s="207">
        <f t="shared" si="44"/>
        <v>89.406955718994141</v>
      </c>
      <c r="AD512" s="207">
        <f t="shared" si="45"/>
        <v>0</v>
      </c>
      <c r="AE512" s="207">
        <f t="shared" si="46"/>
        <v>61.18043327331543</v>
      </c>
      <c r="AF512" s="207">
        <f t="shared" si="47"/>
        <v>47.812652587890625</v>
      </c>
    </row>
    <row r="513" spans="3:32">
      <c r="C513" s="43"/>
      <c r="D513" s="27"/>
      <c r="Z513" s="206">
        <f t="shared" si="42"/>
        <v>0</v>
      </c>
      <c r="AA513" s="207">
        <f t="shared" si="42"/>
        <v>0</v>
      </c>
      <c r="AB513" s="207">
        <f t="shared" si="43"/>
        <v>105.73929214477539</v>
      </c>
      <c r="AC513" s="207">
        <f t="shared" si="44"/>
        <v>89.406955718994141</v>
      </c>
      <c r="AD513" s="207">
        <f t="shared" si="45"/>
        <v>0</v>
      </c>
      <c r="AE513" s="207">
        <f t="shared" si="46"/>
        <v>61.18043327331543</v>
      </c>
      <c r="AF513" s="207">
        <f t="shared" si="47"/>
        <v>47.812652587890625</v>
      </c>
    </row>
    <row r="514" spans="3:32">
      <c r="C514" s="43"/>
      <c r="D514" s="27"/>
      <c r="Z514" s="206">
        <f t="shared" si="42"/>
        <v>0</v>
      </c>
      <c r="AA514" s="207">
        <f t="shared" si="42"/>
        <v>0</v>
      </c>
      <c r="AB514" s="207">
        <f t="shared" si="43"/>
        <v>105.73929214477539</v>
      </c>
      <c r="AC514" s="207">
        <f t="shared" si="44"/>
        <v>89.406955718994141</v>
      </c>
      <c r="AD514" s="207">
        <f t="shared" si="45"/>
        <v>0</v>
      </c>
      <c r="AE514" s="207">
        <f t="shared" si="46"/>
        <v>61.18043327331543</v>
      </c>
      <c r="AF514" s="207">
        <f t="shared" si="47"/>
        <v>47.812652587890625</v>
      </c>
    </row>
    <row r="515" spans="3:32">
      <c r="C515" s="43"/>
      <c r="D515" s="27"/>
      <c r="Z515" s="206">
        <f t="shared" si="42"/>
        <v>0</v>
      </c>
      <c r="AA515" s="207">
        <f t="shared" si="42"/>
        <v>0</v>
      </c>
      <c r="AB515" s="207">
        <f t="shared" si="43"/>
        <v>105.73929214477539</v>
      </c>
      <c r="AC515" s="207">
        <f t="shared" si="44"/>
        <v>89.406955718994141</v>
      </c>
      <c r="AD515" s="207">
        <f t="shared" si="45"/>
        <v>0</v>
      </c>
      <c r="AE515" s="207">
        <f t="shared" si="46"/>
        <v>61.18043327331543</v>
      </c>
      <c r="AF515" s="207">
        <f t="shared" si="47"/>
        <v>47.812652587890625</v>
      </c>
    </row>
    <row r="516" spans="3:32">
      <c r="C516" s="43"/>
      <c r="D516" s="27"/>
      <c r="Z516" s="206">
        <f t="shared" si="42"/>
        <v>0</v>
      </c>
      <c r="AA516" s="207">
        <f t="shared" si="42"/>
        <v>0</v>
      </c>
      <c r="AB516" s="207">
        <f t="shared" si="43"/>
        <v>105.73929214477539</v>
      </c>
      <c r="AC516" s="207">
        <f t="shared" si="44"/>
        <v>89.406955718994141</v>
      </c>
      <c r="AD516" s="207">
        <f t="shared" si="45"/>
        <v>0</v>
      </c>
      <c r="AE516" s="207">
        <f t="shared" si="46"/>
        <v>61.18043327331543</v>
      </c>
      <c r="AF516" s="207">
        <f t="shared" si="47"/>
        <v>47.812652587890625</v>
      </c>
    </row>
    <row r="517" spans="3:32">
      <c r="C517" s="43"/>
      <c r="D517" s="27"/>
      <c r="Z517" s="206">
        <f t="shared" si="42"/>
        <v>0</v>
      </c>
      <c r="AA517" s="207">
        <f t="shared" si="42"/>
        <v>0</v>
      </c>
      <c r="AB517" s="207">
        <f t="shared" si="43"/>
        <v>105.73929214477539</v>
      </c>
      <c r="AC517" s="207">
        <f t="shared" si="44"/>
        <v>89.406955718994141</v>
      </c>
      <c r="AD517" s="207">
        <f t="shared" si="45"/>
        <v>0</v>
      </c>
      <c r="AE517" s="207">
        <f t="shared" si="46"/>
        <v>61.18043327331543</v>
      </c>
      <c r="AF517" s="207">
        <f t="shared" si="47"/>
        <v>47.812652587890625</v>
      </c>
    </row>
    <row r="518" spans="3:32">
      <c r="C518" s="43"/>
      <c r="D518" s="27"/>
      <c r="Z518" s="206">
        <f t="shared" si="42"/>
        <v>0</v>
      </c>
      <c r="AA518" s="207">
        <f t="shared" si="42"/>
        <v>0</v>
      </c>
      <c r="AB518" s="207">
        <f t="shared" si="43"/>
        <v>105.73929214477539</v>
      </c>
      <c r="AC518" s="207">
        <f t="shared" si="44"/>
        <v>89.406955718994141</v>
      </c>
      <c r="AD518" s="207">
        <f t="shared" si="45"/>
        <v>0</v>
      </c>
      <c r="AE518" s="207">
        <f t="shared" si="46"/>
        <v>61.18043327331543</v>
      </c>
      <c r="AF518" s="207">
        <f t="shared" si="47"/>
        <v>47.812652587890625</v>
      </c>
    </row>
    <row r="519" spans="3:32">
      <c r="C519" s="43"/>
      <c r="D519" s="27"/>
      <c r="Z519" s="206">
        <f t="shared" si="42"/>
        <v>0</v>
      </c>
      <c r="AA519" s="207">
        <f t="shared" si="42"/>
        <v>0</v>
      </c>
      <c r="AB519" s="207">
        <f t="shared" si="43"/>
        <v>105.73929214477539</v>
      </c>
      <c r="AC519" s="207">
        <f t="shared" si="44"/>
        <v>89.406955718994141</v>
      </c>
      <c r="AD519" s="207">
        <f t="shared" si="45"/>
        <v>0</v>
      </c>
      <c r="AE519" s="207">
        <f t="shared" si="46"/>
        <v>61.18043327331543</v>
      </c>
      <c r="AF519" s="207">
        <f t="shared" si="47"/>
        <v>47.812652587890625</v>
      </c>
    </row>
    <row r="520" spans="3:32">
      <c r="C520" s="43"/>
      <c r="D520" s="27"/>
      <c r="Z520" s="206">
        <f t="shared" si="42"/>
        <v>0</v>
      </c>
      <c r="AA520" s="207">
        <f t="shared" si="42"/>
        <v>0</v>
      </c>
      <c r="AB520" s="207">
        <f t="shared" si="43"/>
        <v>105.73929214477539</v>
      </c>
      <c r="AC520" s="207">
        <f t="shared" si="44"/>
        <v>89.406955718994141</v>
      </c>
      <c r="AD520" s="207">
        <f t="shared" si="45"/>
        <v>0</v>
      </c>
      <c r="AE520" s="207">
        <f t="shared" si="46"/>
        <v>61.18043327331543</v>
      </c>
      <c r="AF520" s="207">
        <f t="shared" si="47"/>
        <v>47.812652587890625</v>
      </c>
    </row>
    <row r="521" spans="3:32">
      <c r="C521" s="43"/>
      <c r="D521" s="27"/>
      <c r="Z521" s="206">
        <f t="shared" si="42"/>
        <v>0</v>
      </c>
      <c r="AA521" s="207">
        <f t="shared" si="42"/>
        <v>0</v>
      </c>
      <c r="AB521" s="207">
        <f t="shared" si="43"/>
        <v>105.73929214477539</v>
      </c>
      <c r="AC521" s="207">
        <f t="shared" si="44"/>
        <v>89.406955718994141</v>
      </c>
      <c r="AD521" s="207">
        <f t="shared" si="45"/>
        <v>0</v>
      </c>
      <c r="AE521" s="207">
        <f t="shared" si="46"/>
        <v>61.18043327331543</v>
      </c>
      <c r="AF521" s="207">
        <f t="shared" si="47"/>
        <v>47.812652587890625</v>
      </c>
    </row>
    <row r="522" spans="3:32">
      <c r="C522" s="43"/>
      <c r="D522" s="27"/>
      <c r="Z522" s="206">
        <f t="shared" si="42"/>
        <v>0</v>
      </c>
      <c r="AA522" s="207">
        <f t="shared" si="42"/>
        <v>0</v>
      </c>
      <c r="AB522" s="207">
        <f t="shared" si="43"/>
        <v>105.73929214477539</v>
      </c>
      <c r="AC522" s="207">
        <f t="shared" si="44"/>
        <v>89.406955718994141</v>
      </c>
      <c r="AD522" s="207">
        <f t="shared" si="45"/>
        <v>0</v>
      </c>
      <c r="AE522" s="207">
        <f t="shared" si="46"/>
        <v>61.18043327331543</v>
      </c>
      <c r="AF522" s="207">
        <f t="shared" si="47"/>
        <v>47.812652587890625</v>
      </c>
    </row>
    <row r="523" spans="3:32">
      <c r="C523" s="43"/>
      <c r="D523" s="27"/>
      <c r="Z523" s="206">
        <f t="shared" si="42"/>
        <v>0</v>
      </c>
      <c r="AA523" s="207">
        <f t="shared" si="42"/>
        <v>0</v>
      </c>
      <c r="AB523" s="207">
        <f t="shared" si="43"/>
        <v>105.73929214477539</v>
      </c>
      <c r="AC523" s="207">
        <f t="shared" si="44"/>
        <v>89.406955718994141</v>
      </c>
      <c r="AD523" s="207">
        <f t="shared" si="45"/>
        <v>0</v>
      </c>
      <c r="AE523" s="207">
        <f t="shared" si="46"/>
        <v>61.18043327331543</v>
      </c>
      <c r="AF523" s="207">
        <f t="shared" si="47"/>
        <v>47.812652587890625</v>
      </c>
    </row>
    <row r="524" spans="3:32">
      <c r="C524" s="43"/>
      <c r="D524" s="27"/>
      <c r="Z524" s="206">
        <f t="shared" si="42"/>
        <v>0</v>
      </c>
      <c r="AA524" s="207">
        <f t="shared" si="42"/>
        <v>0</v>
      </c>
      <c r="AB524" s="207">
        <f t="shared" si="43"/>
        <v>105.73929214477539</v>
      </c>
      <c r="AC524" s="207">
        <f t="shared" si="44"/>
        <v>89.406955718994141</v>
      </c>
      <c r="AD524" s="207">
        <f t="shared" si="45"/>
        <v>0</v>
      </c>
      <c r="AE524" s="207">
        <f t="shared" si="46"/>
        <v>61.18043327331543</v>
      </c>
      <c r="AF524" s="207">
        <f t="shared" si="47"/>
        <v>47.812652587890625</v>
      </c>
    </row>
    <row r="525" spans="3:32">
      <c r="C525" s="43"/>
      <c r="D525" s="27"/>
      <c r="Z525" s="206">
        <f t="shared" si="42"/>
        <v>0</v>
      </c>
      <c r="AA525" s="207">
        <f t="shared" si="42"/>
        <v>0</v>
      </c>
      <c r="AB525" s="207">
        <f t="shared" si="43"/>
        <v>105.73929214477539</v>
      </c>
      <c r="AC525" s="207">
        <f t="shared" si="44"/>
        <v>89.406955718994141</v>
      </c>
      <c r="AD525" s="207">
        <f t="shared" si="45"/>
        <v>0</v>
      </c>
      <c r="AE525" s="207">
        <f t="shared" si="46"/>
        <v>61.18043327331543</v>
      </c>
      <c r="AF525" s="207">
        <f t="shared" si="47"/>
        <v>47.812652587890625</v>
      </c>
    </row>
    <row r="526" spans="3:32">
      <c r="C526" s="43"/>
      <c r="D526" s="27"/>
      <c r="Z526" s="206">
        <f t="shared" si="42"/>
        <v>0</v>
      </c>
      <c r="AA526" s="207">
        <f t="shared" si="42"/>
        <v>0</v>
      </c>
      <c r="AB526" s="207">
        <f t="shared" si="43"/>
        <v>105.73929214477539</v>
      </c>
      <c r="AC526" s="207">
        <f t="shared" si="44"/>
        <v>89.406955718994141</v>
      </c>
      <c r="AD526" s="207">
        <f t="shared" si="45"/>
        <v>0</v>
      </c>
      <c r="AE526" s="207">
        <f t="shared" si="46"/>
        <v>61.18043327331543</v>
      </c>
      <c r="AF526" s="207">
        <f t="shared" si="47"/>
        <v>47.812652587890625</v>
      </c>
    </row>
    <row r="527" spans="3:32">
      <c r="C527" s="43"/>
      <c r="D527" s="27"/>
      <c r="Z527" s="206">
        <f t="shared" ref="Z527:AA590" si="48">B527</f>
        <v>0</v>
      </c>
      <c r="AA527" s="207">
        <f t="shared" si="48"/>
        <v>0</v>
      </c>
      <c r="AB527" s="207">
        <f t="shared" ref="AB527:AB590" si="49">$J$24</f>
        <v>105.73929214477539</v>
      </c>
      <c r="AC527" s="207">
        <f t="shared" ref="AC527:AC590" si="50">$J$25</f>
        <v>89.406955718994141</v>
      </c>
      <c r="AD527" s="207">
        <f t="shared" ref="AD527:AD590" si="51">D527</f>
        <v>0</v>
      </c>
      <c r="AE527" s="207">
        <f t="shared" ref="AE527:AE590" si="52">$K$24</f>
        <v>61.18043327331543</v>
      </c>
      <c r="AF527" s="207">
        <f t="shared" ref="AF527:AF590" si="53">$K$25</f>
        <v>47.812652587890625</v>
      </c>
    </row>
    <row r="528" spans="3:32">
      <c r="C528" s="43"/>
      <c r="D528" s="27"/>
      <c r="Z528" s="206">
        <f t="shared" si="48"/>
        <v>0</v>
      </c>
      <c r="AA528" s="207">
        <f t="shared" si="48"/>
        <v>0</v>
      </c>
      <c r="AB528" s="207">
        <f t="shared" si="49"/>
        <v>105.73929214477539</v>
      </c>
      <c r="AC528" s="207">
        <f t="shared" si="50"/>
        <v>89.406955718994141</v>
      </c>
      <c r="AD528" s="207">
        <f t="shared" si="51"/>
        <v>0</v>
      </c>
      <c r="AE528" s="207">
        <f t="shared" si="52"/>
        <v>61.18043327331543</v>
      </c>
      <c r="AF528" s="207">
        <f t="shared" si="53"/>
        <v>47.812652587890625</v>
      </c>
    </row>
    <row r="529" spans="3:32">
      <c r="C529" s="43"/>
      <c r="D529" s="27"/>
      <c r="Z529" s="206">
        <f t="shared" si="48"/>
        <v>0</v>
      </c>
      <c r="AA529" s="207">
        <f t="shared" si="48"/>
        <v>0</v>
      </c>
      <c r="AB529" s="207">
        <f t="shared" si="49"/>
        <v>105.73929214477539</v>
      </c>
      <c r="AC529" s="207">
        <f t="shared" si="50"/>
        <v>89.406955718994141</v>
      </c>
      <c r="AD529" s="207">
        <f t="shared" si="51"/>
        <v>0</v>
      </c>
      <c r="AE529" s="207">
        <f t="shared" si="52"/>
        <v>61.18043327331543</v>
      </c>
      <c r="AF529" s="207">
        <f t="shared" si="53"/>
        <v>47.812652587890625</v>
      </c>
    </row>
    <row r="530" spans="3:32">
      <c r="C530" s="43"/>
      <c r="D530" s="27"/>
      <c r="Z530" s="206">
        <f t="shared" si="48"/>
        <v>0</v>
      </c>
      <c r="AA530" s="207">
        <f t="shared" si="48"/>
        <v>0</v>
      </c>
      <c r="AB530" s="207">
        <f t="shared" si="49"/>
        <v>105.73929214477539</v>
      </c>
      <c r="AC530" s="207">
        <f t="shared" si="50"/>
        <v>89.406955718994141</v>
      </c>
      <c r="AD530" s="207">
        <f t="shared" si="51"/>
        <v>0</v>
      </c>
      <c r="AE530" s="207">
        <f t="shared" si="52"/>
        <v>61.18043327331543</v>
      </c>
      <c r="AF530" s="207">
        <f t="shared" si="53"/>
        <v>47.812652587890625</v>
      </c>
    </row>
    <row r="531" spans="3:32">
      <c r="C531" s="43"/>
      <c r="D531" s="27"/>
      <c r="Z531" s="206">
        <f t="shared" si="48"/>
        <v>0</v>
      </c>
      <c r="AA531" s="207">
        <f t="shared" si="48"/>
        <v>0</v>
      </c>
      <c r="AB531" s="207">
        <f t="shared" si="49"/>
        <v>105.73929214477539</v>
      </c>
      <c r="AC531" s="207">
        <f t="shared" si="50"/>
        <v>89.406955718994141</v>
      </c>
      <c r="AD531" s="207">
        <f t="shared" si="51"/>
        <v>0</v>
      </c>
      <c r="AE531" s="207">
        <f t="shared" si="52"/>
        <v>61.18043327331543</v>
      </c>
      <c r="AF531" s="207">
        <f t="shared" si="53"/>
        <v>47.812652587890625</v>
      </c>
    </row>
    <row r="532" spans="3:32">
      <c r="C532" s="43"/>
      <c r="D532" s="27"/>
      <c r="Z532" s="206">
        <f t="shared" si="48"/>
        <v>0</v>
      </c>
      <c r="AA532" s="207">
        <f t="shared" si="48"/>
        <v>0</v>
      </c>
      <c r="AB532" s="207">
        <f t="shared" si="49"/>
        <v>105.73929214477539</v>
      </c>
      <c r="AC532" s="207">
        <f t="shared" si="50"/>
        <v>89.406955718994141</v>
      </c>
      <c r="AD532" s="207">
        <f t="shared" si="51"/>
        <v>0</v>
      </c>
      <c r="AE532" s="207">
        <f t="shared" si="52"/>
        <v>61.18043327331543</v>
      </c>
      <c r="AF532" s="207">
        <f t="shared" si="53"/>
        <v>47.812652587890625</v>
      </c>
    </row>
    <row r="533" spans="3:32">
      <c r="C533" s="43"/>
      <c r="D533" s="27"/>
      <c r="Z533" s="206">
        <f t="shared" si="48"/>
        <v>0</v>
      </c>
      <c r="AA533" s="207">
        <f t="shared" si="48"/>
        <v>0</v>
      </c>
      <c r="AB533" s="207">
        <f t="shared" si="49"/>
        <v>105.73929214477539</v>
      </c>
      <c r="AC533" s="207">
        <f t="shared" si="50"/>
        <v>89.406955718994141</v>
      </c>
      <c r="AD533" s="207">
        <f t="shared" si="51"/>
        <v>0</v>
      </c>
      <c r="AE533" s="207">
        <f t="shared" si="52"/>
        <v>61.18043327331543</v>
      </c>
      <c r="AF533" s="207">
        <f t="shared" si="53"/>
        <v>47.812652587890625</v>
      </c>
    </row>
    <row r="534" spans="3:32">
      <c r="C534" s="43"/>
      <c r="D534" s="27"/>
      <c r="Z534" s="206">
        <f t="shared" si="48"/>
        <v>0</v>
      </c>
      <c r="AA534" s="207">
        <f t="shared" si="48"/>
        <v>0</v>
      </c>
      <c r="AB534" s="207">
        <f t="shared" si="49"/>
        <v>105.73929214477539</v>
      </c>
      <c r="AC534" s="207">
        <f t="shared" si="50"/>
        <v>89.406955718994141</v>
      </c>
      <c r="AD534" s="207">
        <f t="shared" si="51"/>
        <v>0</v>
      </c>
      <c r="AE534" s="207">
        <f t="shared" si="52"/>
        <v>61.18043327331543</v>
      </c>
      <c r="AF534" s="207">
        <f t="shared" si="53"/>
        <v>47.812652587890625</v>
      </c>
    </row>
    <row r="535" spans="3:32">
      <c r="C535" s="43"/>
      <c r="D535" s="27"/>
      <c r="Z535" s="206">
        <f t="shared" si="48"/>
        <v>0</v>
      </c>
      <c r="AA535" s="207">
        <f t="shared" si="48"/>
        <v>0</v>
      </c>
      <c r="AB535" s="207">
        <f t="shared" si="49"/>
        <v>105.73929214477539</v>
      </c>
      <c r="AC535" s="207">
        <f t="shared" si="50"/>
        <v>89.406955718994141</v>
      </c>
      <c r="AD535" s="207">
        <f t="shared" si="51"/>
        <v>0</v>
      </c>
      <c r="AE535" s="207">
        <f t="shared" si="52"/>
        <v>61.18043327331543</v>
      </c>
      <c r="AF535" s="207">
        <f t="shared" si="53"/>
        <v>47.812652587890625</v>
      </c>
    </row>
    <row r="536" spans="3:32">
      <c r="C536" s="43"/>
      <c r="D536" s="27"/>
      <c r="Z536" s="206">
        <f t="shared" si="48"/>
        <v>0</v>
      </c>
      <c r="AA536" s="207">
        <f t="shared" si="48"/>
        <v>0</v>
      </c>
      <c r="AB536" s="207">
        <f t="shared" si="49"/>
        <v>105.73929214477539</v>
      </c>
      <c r="AC536" s="207">
        <f t="shared" si="50"/>
        <v>89.406955718994141</v>
      </c>
      <c r="AD536" s="207">
        <f t="shared" si="51"/>
        <v>0</v>
      </c>
      <c r="AE536" s="207">
        <f t="shared" si="52"/>
        <v>61.18043327331543</v>
      </c>
      <c r="AF536" s="207">
        <f t="shared" si="53"/>
        <v>47.812652587890625</v>
      </c>
    </row>
    <row r="537" spans="3:32">
      <c r="C537" s="43"/>
      <c r="D537" s="27"/>
      <c r="Z537" s="206">
        <f t="shared" si="48"/>
        <v>0</v>
      </c>
      <c r="AA537" s="207">
        <f t="shared" si="48"/>
        <v>0</v>
      </c>
      <c r="AB537" s="207">
        <f t="shared" si="49"/>
        <v>105.73929214477539</v>
      </c>
      <c r="AC537" s="207">
        <f t="shared" si="50"/>
        <v>89.406955718994141</v>
      </c>
      <c r="AD537" s="207">
        <f t="shared" si="51"/>
        <v>0</v>
      </c>
      <c r="AE537" s="207">
        <f t="shared" si="52"/>
        <v>61.18043327331543</v>
      </c>
      <c r="AF537" s="207">
        <f t="shared" si="53"/>
        <v>47.812652587890625</v>
      </c>
    </row>
    <row r="538" spans="3:32">
      <c r="C538" s="43"/>
      <c r="D538" s="27"/>
      <c r="Z538" s="206">
        <f t="shared" si="48"/>
        <v>0</v>
      </c>
      <c r="AA538" s="207">
        <f t="shared" si="48"/>
        <v>0</v>
      </c>
      <c r="AB538" s="207">
        <f t="shared" si="49"/>
        <v>105.73929214477539</v>
      </c>
      <c r="AC538" s="207">
        <f t="shared" si="50"/>
        <v>89.406955718994141</v>
      </c>
      <c r="AD538" s="207">
        <f t="shared" si="51"/>
        <v>0</v>
      </c>
      <c r="AE538" s="207">
        <f t="shared" si="52"/>
        <v>61.18043327331543</v>
      </c>
      <c r="AF538" s="207">
        <f t="shared" si="53"/>
        <v>47.812652587890625</v>
      </c>
    </row>
    <row r="539" spans="3:32">
      <c r="C539" s="43"/>
      <c r="D539" s="27"/>
      <c r="Z539" s="206">
        <f t="shared" si="48"/>
        <v>0</v>
      </c>
      <c r="AA539" s="207">
        <f t="shared" si="48"/>
        <v>0</v>
      </c>
      <c r="AB539" s="207">
        <f t="shared" si="49"/>
        <v>105.73929214477539</v>
      </c>
      <c r="AC539" s="207">
        <f t="shared" si="50"/>
        <v>89.406955718994141</v>
      </c>
      <c r="AD539" s="207">
        <f t="shared" si="51"/>
        <v>0</v>
      </c>
      <c r="AE539" s="207">
        <f t="shared" si="52"/>
        <v>61.18043327331543</v>
      </c>
      <c r="AF539" s="207">
        <f t="shared" si="53"/>
        <v>47.812652587890625</v>
      </c>
    </row>
    <row r="540" spans="3:32">
      <c r="C540" s="43"/>
      <c r="D540" s="27"/>
      <c r="Z540" s="206">
        <f t="shared" si="48"/>
        <v>0</v>
      </c>
      <c r="AA540" s="207">
        <f t="shared" si="48"/>
        <v>0</v>
      </c>
      <c r="AB540" s="207">
        <f t="shared" si="49"/>
        <v>105.73929214477539</v>
      </c>
      <c r="AC540" s="207">
        <f t="shared" si="50"/>
        <v>89.406955718994141</v>
      </c>
      <c r="AD540" s="207">
        <f t="shared" si="51"/>
        <v>0</v>
      </c>
      <c r="AE540" s="207">
        <f t="shared" si="52"/>
        <v>61.18043327331543</v>
      </c>
      <c r="AF540" s="207">
        <f t="shared" si="53"/>
        <v>47.812652587890625</v>
      </c>
    </row>
    <row r="541" spans="3:32">
      <c r="C541" s="43"/>
      <c r="D541" s="27"/>
      <c r="Z541" s="206">
        <f t="shared" si="48"/>
        <v>0</v>
      </c>
      <c r="AA541" s="207">
        <f t="shared" si="48"/>
        <v>0</v>
      </c>
      <c r="AB541" s="207">
        <f t="shared" si="49"/>
        <v>105.73929214477539</v>
      </c>
      <c r="AC541" s="207">
        <f t="shared" si="50"/>
        <v>89.406955718994141</v>
      </c>
      <c r="AD541" s="207">
        <f t="shared" si="51"/>
        <v>0</v>
      </c>
      <c r="AE541" s="207">
        <f t="shared" si="52"/>
        <v>61.18043327331543</v>
      </c>
      <c r="AF541" s="207">
        <f t="shared" si="53"/>
        <v>47.812652587890625</v>
      </c>
    </row>
    <row r="542" spans="3:32">
      <c r="C542" s="43"/>
      <c r="D542" s="27"/>
      <c r="Z542" s="206">
        <f t="shared" si="48"/>
        <v>0</v>
      </c>
      <c r="AA542" s="207">
        <f t="shared" si="48"/>
        <v>0</v>
      </c>
      <c r="AB542" s="207">
        <f t="shared" si="49"/>
        <v>105.73929214477539</v>
      </c>
      <c r="AC542" s="207">
        <f t="shared" si="50"/>
        <v>89.406955718994141</v>
      </c>
      <c r="AD542" s="207">
        <f t="shared" si="51"/>
        <v>0</v>
      </c>
      <c r="AE542" s="207">
        <f t="shared" si="52"/>
        <v>61.18043327331543</v>
      </c>
      <c r="AF542" s="207">
        <f t="shared" si="53"/>
        <v>47.812652587890625</v>
      </c>
    </row>
    <row r="543" spans="3:32">
      <c r="C543" s="43"/>
      <c r="D543" s="27"/>
      <c r="Z543" s="206">
        <f t="shared" si="48"/>
        <v>0</v>
      </c>
      <c r="AA543" s="207">
        <f t="shared" si="48"/>
        <v>0</v>
      </c>
      <c r="AB543" s="207">
        <f t="shared" si="49"/>
        <v>105.73929214477539</v>
      </c>
      <c r="AC543" s="207">
        <f t="shared" si="50"/>
        <v>89.406955718994141</v>
      </c>
      <c r="AD543" s="207">
        <f t="shared" si="51"/>
        <v>0</v>
      </c>
      <c r="AE543" s="207">
        <f t="shared" si="52"/>
        <v>61.18043327331543</v>
      </c>
      <c r="AF543" s="207">
        <f t="shared" si="53"/>
        <v>47.812652587890625</v>
      </c>
    </row>
    <row r="544" spans="3:32">
      <c r="C544" s="43"/>
      <c r="D544" s="27"/>
      <c r="Z544" s="206">
        <f t="shared" si="48"/>
        <v>0</v>
      </c>
      <c r="AA544" s="207">
        <f t="shared" si="48"/>
        <v>0</v>
      </c>
      <c r="AB544" s="207">
        <f t="shared" si="49"/>
        <v>105.73929214477539</v>
      </c>
      <c r="AC544" s="207">
        <f t="shared" si="50"/>
        <v>89.406955718994141</v>
      </c>
      <c r="AD544" s="207">
        <f t="shared" si="51"/>
        <v>0</v>
      </c>
      <c r="AE544" s="207">
        <f t="shared" si="52"/>
        <v>61.18043327331543</v>
      </c>
      <c r="AF544" s="207">
        <f t="shared" si="53"/>
        <v>47.812652587890625</v>
      </c>
    </row>
    <row r="545" spans="3:32">
      <c r="C545" s="43"/>
      <c r="D545" s="27"/>
      <c r="Z545" s="206">
        <f t="shared" si="48"/>
        <v>0</v>
      </c>
      <c r="AA545" s="207">
        <f t="shared" si="48"/>
        <v>0</v>
      </c>
      <c r="AB545" s="207">
        <f t="shared" si="49"/>
        <v>105.73929214477539</v>
      </c>
      <c r="AC545" s="207">
        <f t="shared" si="50"/>
        <v>89.406955718994141</v>
      </c>
      <c r="AD545" s="207">
        <f t="shared" si="51"/>
        <v>0</v>
      </c>
      <c r="AE545" s="207">
        <f t="shared" si="52"/>
        <v>61.18043327331543</v>
      </c>
      <c r="AF545" s="207">
        <f t="shared" si="53"/>
        <v>47.812652587890625</v>
      </c>
    </row>
    <row r="546" spans="3:32">
      <c r="C546" s="43"/>
      <c r="D546" s="27"/>
      <c r="Z546" s="206">
        <f t="shared" si="48"/>
        <v>0</v>
      </c>
      <c r="AA546" s="207">
        <f t="shared" si="48"/>
        <v>0</v>
      </c>
      <c r="AB546" s="207">
        <f t="shared" si="49"/>
        <v>105.73929214477539</v>
      </c>
      <c r="AC546" s="207">
        <f t="shared" si="50"/>
        <v>89.406955718994141</v>
      </c>
      <c r="AD546" s="207">
        <f t="shared" si="51"/>
        <v>0</v>
      </c>
      <c r="AE546" s="207">
        <f t="shared" si="52"/>
        <v>61.18043327331543</v>
      </c>
      <c r="AF546" s="207">
        <f t="shared" si="53"/>
        <v>47.812652587890625</v>
      </c>
    </row>
    <row r="547" spans="3:32">
      <c r="C547" s="43"/>
      <c r="D547" s="27"/>
      <c r="Z547" s="206">
        <f t="shared" si="48"/>
        <v>0</v>
      </c>
      <c r="AA547" s="207">
        <f t="shared" si="48"/>
        <v>0</v>
      </c>
      <c r="AB547" s="207">
        <f t="shared" si="49"/>
        <v>105.73929214477539</v>
      </c>
      <c r="AC547" s="207">
        <f t="shared" si="50"/>
        <v>89.406955718994141</v>
      </c>
      <c r="AD547" s="207">
        <f t="shared" si="51"/>
        <v>0</v>
      </c>
      <c r="AE547" s="207">
        <f t="shared" si="52"/>
        <v>61.18043327331543</v>
      </c>
      <c r="AF547" s="207">
        <f t="shared" si="53"/>
        <v>47.812652587890625</v>
      </c>
    </row>
    <row r="548" spans="3:32">
      <c r="C548" s="43"/>
      <c r="D548" s="27"/>
      <c r="Z548" s="206">
        <f t="shared" si="48"/>
        <v>0</v>
      </c>
      <c r="AA548" s="207">
        <f t="shared" si="48"/>
        <v>0</v>
      </c>
      <c r="AB548" s="207">
        <f t="shared" si="49"/>
        <v>105.73929214477539</v>
      </c>
      <c r="AC548" s="207">
        <f t="shared" si="50"/>
        <v>89.406955718994141</v>
      </c>
      <c r="AD548" s="207">
        <f t="shared" si="51"/>
        <v>0</v>
      </c>
      <c r="AE548" s="207">
        <f t="shared" si="52"/>
        <v>61.18043327331543</v>
      </c>
      <c r="AF548" s="207">
        <f t="shared" si="53"/>
        <v>47.812652587890625</v>
      </c>
    </row>
    <row r="549" spans="3:32">
      <c r="C549" s="43"/>
      <c r="D549" s="27"/>
      <c r="Z549" s="206">
        <f t="shared" si="48"/>
        <v>0</v>
      </c>
      <c r="AA549" s="207">
        <f t="shared" si="48"/>
        <v>0</v>
      </c>
      <c r="AB549" s="207">
        <f t="shared" si="49"/>
        <v>105.73929214477539</v>
      </c>
      <c r="AC549" s="207">
        <f t="shared" si="50"/>
        <v>89.406955718994141</v>
      </c>
      <c r="AD549" s="207">
        <f t="shared" si="51"/>
        <v>0</v>
      </c>
      <c r="AE549" s="207">
        <f t="shared" si="52"/>
        <v>61.18043327331543</v>
      </c>
      <c r="AF549" s="207">
        <f t="shared" si="53"/>
        <v>47.812652587890625</v>
      </c>
    </row>
    <row r="550" spans="3:32">
      <c r="C550" s="43"/>
      <c r="D550" s="27"/>
      <c r="Z550" s="206">
        <f t="shared" si="48"/>
        <v>0</v>
      </c>
      <c r="AA550" s="207">
        <f t="shared" si="48"/>
        <v>0</v>
      </c>
      <c r="AB550" s="207">
        <f t="shared" si="49"/>
        <v>105.73929214477539</v>
      </c>
      <c r="AC550" s="207">
        <f t="shared" si="50"/>
        <v>89.406955718994141</v>
      </c>
      <c r="AD550" s="207">
        <f t="shared" si="51"/>
        <v>0</v>
      </c>
      <c r="AE550" s="207">
        <f t="shared" si="52"/>
        <v>61.18043327331543</v>
      </c>
      <c r="AF550" s="207">
        <f t="shared" si="53"/>
        <v>47.812652587890625</v>
      </c>
    </row>
    <row r="551" spans="3:32">
      <c r="C551" s="43"/>
      <c r="D551" s="27"/>
      <c r="Z551" s="206">
        <f t="shared" si="48"/>
        <v>0</v>
      </c>
      <c r="AA551" s="207">
        <f t="shared" si="48"/>
        <v>0</v>
      </c>
      <c r="AB551" s="207">
        <f t="shared" si="49"/>
        <v>105.73929214477539</v>
      </c>
      <c r="AC551" s="207">
        <f t="shared" si="50"/>
        <v>89.406955718994141</v>
      </c>
      <c r="AD551" s="207">
        <f t="shared" si="51"/>
        <v>0</v>
      </c>
      <c r="AE551" s="207">
        <f t="shared" si="52"/>
        <v>61.18043327331543</v>
      </c>
      <c r="AF551" s="207">
        <f t="shared" si="53"/>
        <v>47.812652587890625</v>
      </c>
    </row>
    <row r="552" spans="3:32">
      <c r="C552" s="43"/>
      <c r="D552" s="27"/>
      <c r="Z552" s="206">
        <f t="shared" si="48"/>
        <v>0</v>
      </c>
      <c r="AA552" s="207">
        <f t="shared" si="48"/>
        <v>0</v>
      </c>
      <c r="AB552" s="207">
        <f t="shared" si="49"/>
        <v>105.73929214477539</v>
      </c>
      <c r="AC552" s="207">
        <f t="shared" si="50"/>
        <v>89.406955718994141</v>
      </c>
      <c r="AD552" s="207">
        <f t="shared" si="51"/>
        <v>0</v>
      </c>
      <c r="AE552" s="207">
        <f t="shared" si="52"/>
        <v>61.18043327331543</v>
      </c>
      <c r="AF552" s="207">
        <f t="shared" si="53"/>
        <v>47.812652587890625</v>
      </c>
    </row>
    <row r="553" spans="3:32">
      <c r="C553" s="43"/>
      <c r="D553" s="27"/>
      <c r="Z553" s="206">
        <f t="shared" si="48"/>
        <v>0</v>
      </c>
      <c r="AA553" s="207">
        <f t="shared" si="48"/>
        <v>0</v>
      </c>
      <c r="AB553" s="207">
        <f t="shared" si="49"/>
        <v>105.73929214477539</v>
      </c>
      <c r="AC553" s="207">
        <f t="shared" si="50"/>
        <v>89.406955718994141</v>
      </c>
      <c r="AD553" s="207">
        <f t="shared" si="51"/>
        <v>0</v>
      </c>
      <c r="AE553" s="207">
        <f t="shared" si="52"/>
        <v>61.18043327331543</v>
      </c>
      <c r="AF553" s="207">
        <f t="shared" si="53"/>
        <v>47.812652587890625</v>
      </c>
    </row>
    <row r="554" spans="3:32">
      <c r="C554" s="43"/>
      <c r="D554" s="27"/>
      <c r="Z554" s="206">
        <f t="shared" si="48"/>
        <v>0</v>
      </c>
      <c r="AA554" s="207">
        <f t="shared" si="48"/>
        <v>0</v>
      </c>
      <c r="AB554" s="207">
        <f t="shared" si="49"/>
        <v>105.73929214477539</v>
      </c>
      <c r="AC554" s="207">
        <f t="shared" si="50"/>
        <v>89.406955718994141</v>
      </c>
      <c r="AD554" s="207">
        <f t="shared" si="51"/>
        <v>0</v>
      </c>
      <c r="AE554" s="207">
        <f t="shared" si="52"/>
        <v>61.18043327331543</v>
      </c>
      <c r="AF554" s="207">
        <f t="shared" si="53"/>
        <v>47.812652587890625</v>
      </c>
    </row>
    <row r="555" spans="3:32">
      <c r="C555" s="43"/>
      <c r="D555" s="27"/>
      <c r="Z555" s="206">
        <f t="shared" si="48"/>
        <v>0</v>
      </c>
      <c r="AA555" s="207">
        <f t="shared" si="48"/>
        <v>0</v>
      </c>
      <c r="AB555" s="207">
        <f t="shared" si="49"/>
        <v>105.73929214477539</v>
      </c>
      <c r="AC555" s="207">
        <f t="shared" si="50"/>
        <v>89.406955718994141</v>
      </c>
      <c r="AD555" s="207">
        <f t="shared" si="51"/>
        <v>0</v>
      </c>
      <c r="AE555" s="207">
        <f t="shared" si="52"/>
        <v>61.18043327331543</v>
      </c>
      <c r="AF555" s="207">
        <f t="shared" si="53"/>
        <v>47.812652587890625</v>
      </c>
    </row>
    <row r="556" spans="3:32">
      <c r="C556" s="43"/>
      <c r="D556" s="27"/>
      <c r="Z556" s="206">
        <f t="shared" si="48"/>
        <v>0</v>
      </c>
      <c r="AA556" s="207">
        <f t="shared" si="48"/>
        <v>0</v>
      </c>
      <c r="AB556" s="207">
        <f t="shared" si="49"/>
        <v>105.73929214477539</v>
      </c>
      <c r="AC556" s="207">
        <f t="shared" si="50"/>
        <v>89.406955718994141</v>
      </c>
      <c r="AD556" s="207">
        <f t="shared" si="51"/>
        <v>0</v>
      </c>
      <c r="AE556" s="207">
        <f t="shared" si="52"/>
        <v>61.18043327331543</v>
      </c>
      <c r="AF556" s="207">
        <f t="shared" si="53"/>
        <v>47.812652587890625</v>
      </c>
    </row>
    <row r="557" spans="3:32">
      <c r="C557" s="43"/>
      <c r="D557" s="27"/>
      <c r="Z557" s="206">
        <f t="shared" si="48"/>
        <v>0</v>
      </c>
      <c r="AA557" s="207">
        <f t="shared" si="48"/>
        <v>0</v>
      </c>
      <c r="AB557" s="207">
        <f t="shared" si="49"/>
        <v>105.73929214477539</v>
      </c>
      <c r="AC557" s="207">
        <f t="shared" si="50"/>
        <v>89.406955718994141</v>
      </c>
      <c r="AD557" s="207">
        <f t="shared" si="51"/>
        <v>0</v>
      </c>
      <c r="AE557" s="207">
        <f t="shared" si="52"/>
        <v>61.18043327331543</v>
      </c>
      <c r="AF557" s="207">
        <f t="shared" si="53"/>
        <v>47.812652587890625</v>
      </c>
    </row>
    <row r="558" spans="3:32">
      <c r="C558" s="43"/>
      <c r="D558" s="27"/>
      <c r="Z558" s="206">
        <f t="shared" si="48"/>
        <v>0</v>
      </c>
      <c r="AA558" s="207">
        <f t="shared" si="48"/>
        <v>0</v>
      </c>
      <c r="AB558" s="207">
        <f t="shared" si="49"/>
        <v>105.73929214477539</v>
      </c>
      <c r="AC558" s="207">
        <f t="shared" si="50"/>
        <v>89.406955718994141</v>
      </c>
      <c r="AD558" s="207">
        <f t="shared" si="51"/>
        <v>0</v>
      </c>
      <c r="AE558" s="207">
        <f t="shared" si="52"/>
        <v>61.18043327331543</v>
      </c>
      <c r="AF558" s="207">
        <f t="shared" si="53"/>
        <v>47.812652587890625</v>
      </c>
    </row>
    <row r="559" spans="3:32">
      <c r="C559" s="43"/>
      <c r="D559" s="27"/>
      <c r="Z559" s="206">
        <f t="shared" si="48"/>
        <v>0</v>
      </c>
      <c r="AA559" s="207">
        <f t="shared" si="48"/>
        <v>0</v>
      </c>
      <c r="AB559" s="207">
        <f t="shared" si="49"/>
        <v>105.73929214477539</v>
      </c>
      <c r="AC559" s="207">
        <f t="shared" si="50"/>
        <v>89.406955718994141</v>
      </c>
      <c r="AD559" s="207">
        <f t="shared" si="51"/>
        <v>0</v>
      </c>
      <c r="AE559" s="207">
        <f t="shared" si="52"/>
        <v>61.18043327331543</v>
      </c>
      <c r="AF559" s="207">
        <f t="shared" si="53"/>
        <v>47.812652587890625</v>
      </c>
    </row>
    <row r="560" spans="3:32">
      <c r="C560" s="43"/>
      <c r="D560" s="27"/>
      <c r="Z560" s="206">
        <f t="shared" si="48"/>
        <v>0</v>
      </c>
      <c r="AA560" s="207">
        <f t="shared" si="48"/>
        <v>0</v>
      </c>
      <c r="AB560" s="207">
        <f t="shared" si="49"/>
        <v>105.73929214477539</v>
      </c>
      <c r="AC560" s="207">
        <f t="shared" si="50"/>
        <v>89.406955718994141</v>
      </c>
      <c r="AD560" s="207">
        <f t="shared" si="51"/>
        <v>0</v>
      </c>
      <c r="AE560" s="207">
        <f t="shared" si="52"/>
        <v>61.18043327331543</v>
      </c>
      <c r="AF560" s="207">
        <f t="shared" si="53"/>
        <v>47.812652587890625</v>
      </c>
    </row>
    <row r="561" spans="3:32">
      <c r="C561" s="43"/>
      <c r="D561" s="27"/>
      <c r="Z561" s="206">
        <f t="shared" si="48"/>
        <v>0</v>
      </c>
      <c r="AA561" s="207">
        <f t="shared" si="48"/>
        <v>0</v>
      </c>
      <c r="AB561" s="207">
        <f t="shared" si="49"/>
        <v>105.73929214477539</v>
      </c>
      <c r="AC561" s="207">
        <f t="shared" si="50"/>
        <v>89.406955718994141</v>
      </c>
      <c r="AD561" s="207">
        <f t="shared" si="51"/>
        <v>0</v>
      </c>
      <c r="AE561" s="207">
        <f t="shared" si="52"/>
        <v>61.18043327331543</v>
      </c>
      <c r="AF561" s="207">
        <f t="shared" si="53"/>
        <v>47.812652587890625</v>
      </c>
    </row>
    <row r="562" spans="3:32">
      <c r="C562" s="43"/>
      <c r="D562" s="27"/>
      <c r="Z562" s="206">
        <f t="shared" si="48"/>
        <v>0</v>
      </c>
      <c r="AA562" s="207">
        <f t="shared" si="48"/>
        <v>0</v>
      </c>
      <c r="AB562" s="207">
        <f t="shared" si="49"/>
        <v>105.73929214477539</v>
      </c>
      <c r="AC562" s="207">
        <f t="shared" si="50"/>
        <v>89.406955718994141</v>
      </c>
      <c r="AD562" s="207">
        <f t="shared" si="51"/>
        <v>0</v>
      </c>
      <c r="AE562" s="207">
        <f t="shared" si="52"/>
        <v>61.18043327331543</v>
      </c>
      <c r="AF562" s="207">
        <f t="shared" si="53"/>
        <v>47.812652587890625</v>
      </c>
    </row>
    <row r="563" spans="3:32">
      <c r="C563" s="43"/>
      <c r="D563" s="27"/>
      <c r="Z563" s="206">
        <f t="shared" si="48"/>
        <v>0</v>
      </c>
      <c r="AA563" s="207">
        <f t="shared" si="48"/>
        <v>0</v>
      </c>
      <c r="AB563" s="207">
        <f t="shared" si="49"/>
        <v>105.73929214477539</v>
      </c>
      <c r="AC563" s="207">
        <f t="shared" si="50"/>
        <v>89.406955718994141</v>
      </c>
      <c r="AD563" s="207">
        <f t="shared" si="51"/>
        <v>0</v>
      </c>
      <c r="AE563" s="207">
        <f t="shared" si="52"/>
        <v>61.18043327331543</v>
      </c>
      <c r="AF563" s="207">
        <f t="shared" si="53"/>
        <v>47.812652587890625</v>
      </c>
    </row>
    <row r="564" spans="3:32">
      <c r="C564" s="43"/>
      <c r="D564" s="27"/>
      <c r="Z564" s="206">
        <f t="shared" si="48"/>
        <v>0</v>
      </c>
      <c r="AA564" s="207">
        <f t="shared" si="48"/>
        <v>0</v>
      </c>
      <c r="AB564" s="207">
        <f t="shared" si="49"/>
        <v>105.73929214477539</v>
      </c>
      <c r="AC564" s="207">
        <f t="shared" si="50"/>
        <v>89.406955718994141</v>
      </c>
      <c r="AD564" s="207">
        <f t="shared" si="51"/>
        <v>0</v>
      </c>
      <c r="AE564" s="207">
        <f t="shared" si="52"/>
        <v>61.18043327331543</v>
      </c>
      <c r="AF564" s="207">
        <f t="shared" si="53"/>
        <v>47.812652587890625</v>
      </c>
    </row>
    <row r="565" spans="3:32">
      <c r="C565" s="43"/>
      <c r="D565" s="27"/>
      <c r="Z565" s="206">
        <f t="shared" si="48"/>
        <v>0</v>
      </c>
      <c r="AA565" s="207">
        <f t="shared" si="48"/>
        <v>0</v>
      </c>
      <c r="AB565" s="207">
        <f t="shared" si="49"/>
        <v>105.73929214477539</v>
      </c>
      <c r="AC565" s="207">
        <f t="shared" si="50"/>
        <v>89.406955718994141</v>
      </c>
      <c r="AD565" s="207">
        <f t="shared" si="51"/>
        <v>0</v>
      </c>
      <c r="AE565" s="207">
        <f t="shared" si="52"/>
        <v>61.18043327331543</v>
      </c>
      <c r="AF565" s="207">
        <f t="shared" si="53"/>
        <v>47.812652587890625</v>
      </c>
    </row>
    <row r="566" spans="3:32">
      <c r="C566" s="43"/>
      <c r="D566" s="27"/>
      <c r="Z566" s="206">
        <f t="shared" si="48"/>
        <v>0</v>
      </c>
      <c r="AA566" s="207">
        <f t="shared" si="48"/>
        <v>0</v>
      </c>
      <c r="AB566" s="207">
        <f t="shared" si="49"/>
        <v>105.73929214477539</v>
      </c>
      <c r="AC566" s="207">
        <f t="shared" si="50"/>
        <v>89.406955718994141</v>
      </c>
      <c r="AD566" s="207">
        <f t="shared" si="51"/>
        <v>0</v>
      </c>
      <c r="AE566" s="207">
        <f t="shared" si="52"/>
        <v>61.18043327331543</v>
      </c>
      <c r="AF566" s="207">
        <f t="shared" si="53"/>
        <v>47.812652587890625</v>
      </c>
    </row>
    <row r="567" spans="3:32">
      <c r="C567" s="43"/>
      <c r="D567" s="27"/>
      <c r="Z567" s="206">
        <f t="shared" si="48"/>
        <v>0</v>
      </c>
      <c r="AA567" s="207">
        <f t="shared" si="48"/>
        <v>0</v>
      </c>
      <c r="AB567" s="207">
        <f t="shared" si="49"/>
        <v>105.73929214477539</v>
      </c>
      <c r="AC567" s="207">
        <f t="shared" si="50"/>
        <v>89.406955718994141</v>
      </c>
      <c r="AD567" s="207">
        <f t="shared" si="51"/>
        <v>0</v>
      </c>
      <c r="AE567" s="207">
        <f t="shared" si="52"/>
        <v>61.18043327331543</v>
      </c>
      <c r="AF567" s="207">
        <f t="shared" si="53"/>
        <v>47.812652587890625</v>
      </c>
    </row>
    <row r="568" spans="3:32">
      <c r="C568" s="43"/>
      <c r="D568" s="27"/>
      <c r="Z568" s="206">
        <f t="shared" si="48"/>
        <v>0</v>
      </c>
      <c r="AA568" s="207">
        <f t="shared" si="48"/>
        <v>0</v>
      </c>
      <c r="AB568" s="207">
        <f t="shared" si="49"/>
        <v>105.73929214477539</v>
      </c>
      <c r="AC568" s="207">
        <f t="shared" si="50"/>
        <v>89.406955718994141</v>
      </c>
      <c r="AD568" s="207">
        <f t="shared" si="51"/>
        <v>0</v>
      </c>
      <c r="AE568" s="207">
        <f t="shared" si="52"/>
        <v>61.18043327331543</v>
      </c>
      <c r="AF568" s="207">
        <f t="shared" si="53"/>
        <v>47.812652587890625</v>
      </c>
    </row>
    <row r="569" spans="3:32">
      <c r="C569" s="43"/>
      <c r="D569" s="27"/>
      <c r="Z569" s="206">
        <f t="shared" si="48"/>
        <v>0</v>
      </c>
      <c r="AA569" s="207">
        <f t="shared" si="48"/>
        <v>0</v>
      </c>
      <c r="AB569" s="207">
        <f t="shared" si="49"/>
        <v>105.73929214477539</v>
      </c>
      <c r="AC569" s="207">
        <f t="shared" si="50"/>
        <v>89.406955718994141</v>
      </c>
      <c r="AD569" s="207">
        <f t="shared" si="51"/>
        <v>0</v>
      </c>
      <c r="AE569" s="207">
        <f t="shared" si="52"/>
        <v>61.18043327331543</v>
      </c>
      <c r="AF569" s="207">
        <f t="shared" si="53"/>
        <v>47.812652587890625</v>
      </c>
    </row>
    <row r="570" spans="3:32">
      <c r="C570" s="43"/>
      <c r="D570" s="27"/>
      <c r="Z570" s="206">
        <f t="shared" si="48"/>
        <v>0</v>
      </c>
      <c r="AA570" s="207">
        <f t="shared" si="48"/>
        <v>0</v>
      </c>
      <c r="AB570" s="207">
        <f t="shared" si="49"/>
        <v>105.73929214477539</v>
      </c>
      <c r="AC570" s="207">
        <f t="shared" si="50"/>
        <v>89.406955718994141</v>
      </c>
      <c r="AD570" s="207">
        <f t="shared" si="51"/>
        <v>0</v>
      </c>
      <c r="AE570" s="207">
        <f t="shared" si="52"/>
        <v>61.18043327331543</v>
      </c>
      <c r="AF570" s="207">
        <f t="shared" si="53"/>
        <v>47.812652587890625</v>
      </c>
    </row>
    <row r="571" spans="3:32">
      <c r="C571" s="43"/>
      <c r="D571" s="27"/>
      <c r="Z571" s="206">
        <f t="shared" si="48"/>
        <v>0</v>
      </c>
      <c r="AA571" s="207">
        <f t="shared" si="48"/>
        <v>0</v>
      </c>
      <c r="AB571" s="207">
        <f t="shared" si="49"/>
        <v>105.73929214477539</v>
      </c>
      <c r="AC571" s="207">
        <f t="shared" si="50"/>
        <v>89.406955718994141</v>
      </c>
      <c r="AD571" s="207">
        <f t="shared" si="51"/>
        <v>0</v>
      </c>
      <c r="AE571" s="207">
        <f t="shared" si="52"/>
        <v>61.18043327331543</v>
      </c>
      <c r="AF571" s="207">
        <f t="shared" si="53"/>
        <v>47.812652587890625</v>
      </c>
    </row>
    <row r="572" spans="3:32">
      <c r="C572" s="43"/>
      <c r="D572" s="27"/>
      <c r="Z572" s="206">
        <f t="shared" si="48"/>
        <v>0</v>
      </c>
      <c r="AA572" s="207">
        <f t="shared" si="48"/>
        <v>0</v>
      </c>
      <c r="AB572" s="207">
        <f t="shared" si="49"/>
        <v>105.73929214477539</v>
      </c>
      <c r="AC572" s="207">
        <f t="shared" si="50"/>
        <v>89.406955718994141</v>
      </c>
      <c r="AD572" s="207">
        <f t="shared" si="51"/>
        <v>0</v>
      </c>
      <c r="AE572" s="207">
        <f t="shared" si="52"/>
        <v>61.18043327331543</v>
      </c>
      <c r="AF572" s="207">
        <f t="shared" si="53"/>
        <v>47.812652587890625</v>
      </c>
    </row>
    <row r="573" spans="3:32">
      <c r="C573" s="43"/>
      <c r="D573" s="27"/>
      <c r="Z573" s="206">
        <f t="shared" si="48"/>
        <v>0</v>
      </c>
      <c r="AA573" s="207">
        <f t="shared" si="48"/>
        <v>0</v>
      </c>
      <c r="AB573" s="207">
        <f t="shared" si="49"/>
        <v>105.73929214477539</v>
      </c>
      <c r="AC573" s="207">
        <f t="shared" si="50"/>
        <v>89.406955718994141</v>
      </c>
      <c r="AD573" s="207">
        <f t="shared" si="51"/>
        <v>0</v>
      </c>
      <c r="AE573" s="207">
        <f t="shared" si="52"/>
        <v>61.18043327331543</v>
      </c>
      <c r="AF573" s="207">
        <f t="shared" si="53"/>
        <v>47.812652587890625</v>
      </c>
    </row>
    <row r="574" spans="3:32">
      <c r="C574" s="43"/>
      <c r="D574" s="27"/>
      <c r="Z574" s="206">
        <f t="shared" si="48"/>
        <v>0</v>
      </c>
      <c r="AA574" s="207">
        <f t="shared" si="48"/>
        <v>0</v>
      </c>
      <c r="AB574" s="207">
        <f t="shared" si="49"/>
        <v>105.73929214477539</v>
      </c>
      <c r="AC574" s="207">
        <f t="shared" si="50"/>
        <v>89.406955718994141</v>
      </c>
      <c r="AD574" s="207">
        <f t="shared" si="51"/>
        <v>0</v>
      </c>
      <c r="AE574" s="207">
        <f t="shared" si="52"/>
        <v>61.18043327331543</v>
      </c>
      <c r="AF574" s="207">
        <f t="shared" si="53"/>
        <v>47.812652587890625</v>
      </c>
    </row>
    <row r="575" spans="3:32">
      <c r="C575" s="43"/>
      <c r="D575" s="27"/>
      <c r="Z575" s="206">
        <f t="shared" si="48"/>
        <v>0</v>
      </c>
      <c r="AA575" s="207">
        <f t="shared" si="48"/>
        <v>0</v>
      </c>
      <c r="AB575" s="207">
        <f t="shared" si="49"/>
        <v>105.73929214477539</v>
      </c>
      <c r="AC575" s="207">
        <f t="shared" si="50"/>
        <v>89.406955718994141</v>
      </c>
      <c r="AD575" s="207">
        <f t="shared" si="51"/>
        <v>0</v>
      </c>
      <c r="AE575" s="207">
        <f t="shared" si="52"/>
        <v>61.18043327331543</v>
      </c>
      <c r="AF575" s="207">
        <f t="shared" si="53"/>
        <v>47.812652587890625</v>
      </c>
    </row>
    <row r="576" spans="3:32">
      <c r="C576" s="43"/>
      <c r="D576" s="27"/>
      <c r="Z576" s="206">
        <f t="shared" si="48"/>
        <v>0</v>
      </c>
      <c r="AA576" s="207">
        <f t="shared" si="48"/>
        <v>0</v>
      </c>
      <c r="AB576" s="207">
        <f t="shared" si="49"/>
        <v>105.73929214477539</v>
      </c>
      <c r="AC576" s="207">
        <f t="shared" si="50"/>
        <v>89.406955718994141</v>
      </c>
      <c r="AD576" s="207">
        <f t="shared" si="51"/>
        <v>0</v>
      </c>
      <c r="AE576" s="207">
        <f t="shared" si="52"/>
        <v>61.18043327331543</v>
      </c>
      <c r="AF576" s="207">
        <f t="shared" si="53"/>
        <v>47.812652587890625</v>
      </c>
    </row>
    <row r="577" spans="3:32">
      <c r="C577" s="43"/>
      <c r="D577" s="27"/>
      <c r="Z577" s="206">
        <f t="shared" si="48"/>
        <v>0</v>
      </c>
      <c r="AA577" s="207">
        <f t="shared" si="48"/>
        <v>0</v>
      </c>
      <c r="AB577" s="207">
        <f t="shared" si="49"/>
        <v>105.73929214477539</v>
      </c>
      <c r="AC577" s="207">
        <f t="shared" si="50"/>
        <v>89.406955718994141</v>
      </c>
      <c r="AD577" s="207">
        <f t="shared" si="51"/>
        <v>0</v>
      </c>
      <c r="AE577" s="207">
        <f t="shared" si="52"/>
        <v>61.18043327331543</v>
      </c>
      <c r="AF577" s="207">
        <f t="shared" si="53"/>
        <v>47.812652587890625</v>
      </c>
    </row>
    <row r="578" spans="3:32">
      <c r="C578" s="43"/>
      <c r="D578" s="27"/>
      <c r="Z578" s="206">
        <f t="shared" si="48"/>
        <v>0</v>
      </c>
      <c r="AA578" s="207">
        <f t="shared" si="48"/>
        <v>0</v>
      </c>
      <c r="AB578" s="207">
        <f t="shared" si="49"/>
        <v>105.73929214477539</v>
      </c>
      <c r="AC578" s="207">
        <f t="shared" si="50"/>
        <v>89.406955718994141</v>
      </c>
      <c r="AD578" s="207">
        <f t="shared" si="51"/>
        <v>0</v>
      </c>
      <c r="AE578" s="207">
        <f t="shared" si="52"/>
        <v>61.18043327331543</v>
      </c>
      <c r="AF578" s="207">
        <f t="shared" si="53"/>
        <v>47.812652587890625</v>
      </c>
    </row>
    <row r="579" spans="3:32">
      <c r="C579" s="43"/>
      <c r="D579" s="27"/>
      <c r="Z579" s="206">
        <f t="shared" si="48"/>
        <v>0</v>
      </c>
      <c r="AA579" s="207">
        <f t="shared" si="48"/>
        <v>0</v>
      </c>
      <c r="AB579" s="207">
        <f t="shared" si="49"/>
        <v>105.73929214477539</v>
      </c>
      <c r="AC579" s="207">
        <f t="shared" si="50"/>
        <v>89.406955718994141</v>
      </c>
      <c r="AD579" s="207">
        <f t="shared" si="51"/>
        <v>0</v>
      </c>
      <c r="AE579" s="207">
        <f t="shared" si="52"/>
        <v>61.18043327331543</v>
      </c>
      <c r="AF579" s="207">
        <f t="shared" si="53"/>
        <v>47.812652587890625</v>
      </c>
    </row>
    <row r="580" spans="3:32">
      <c r="C580" s="43"/>
      <c r="D580" s="27"/>
      <c r="Z580" s="206">
        <f t="shared" si="48"/>
        <v>0</v>
      </c>
      <c r="AA580" s="207">
        <f t="shared" si="48"/>
        <v>0</v>
      </c>
      <c r="AB580" s="207">
        <f t="shared" si="49"/>
        <v>105.73929214477539</v>
      </c>
      <c r="AC580" s="207">
        <f t="shared" si="50"/>
        <v>89.406955718994141</v>
      </c>
      <c r="AD580" s="207">
        <f t="shared" si="51"/>
        <v>0</v>
      </c>
      <c r="AE580" s="207">
        <f t="shared" si="52"/>
        <v>61.18043327331543</v>
      </c>
      <c r="AF580" s="207">
        <f t="shared" si="53"/>
        <v>47.812652587890625</v>
      </c>
    </row>
    <row r="581" spans="3:32">
      <c r="C581" s="43"/>
      <c r="D581" s="27"/>
      <c r="Z581" s="206">
        <f t="shared" si="48"/>
        <v>0</v>
      </c>
      <c r="AA581" s="207">
        <f t="shared" si="48"/>
        <v>0</v>
      </c>
      <c r="AB581" s="207">
        <f t="shared" si="49"/>
        <v>105.73929214477539</v>
      </c>
      <c r="AC581" s="207">
        <f t="shared" si="50"/>
        <v>89.406955718994141</v>
      </c>
      <c r="AD581" s="207">
        <f t="shared" si="51"/>
        <v>0</v>
      </c>
      <c r="AE581" s="207">
        <f t="shared" si="52"/>
        <v>61.18043327331543</v>
      </c>
      <c r="AF581" s="207">
        <f t="shared" si="53"/>
        <v>47.812652587890625</v>
      </c>
    </row>
    <row r="582" spans="3:32">
      <c r="C582" s="43"/>
      <c r="D582" s="27"/>
      <c r="Z582" s="206">
        <f t="shared" si="48"/>
        <v>0</v>
      </c>
      <c r="AA582" s="207">
        <f t="shared" si="48"/>
        <v>0</v>
      </c>
      <c r="AB582" s="207">
        <f t="shared" si="49"/>
        <v>105.73929214477539</v>
      </c>
      <c r="AC582" s="207">
        <f t="shared" si="50"/>
        <v>89.406955718994141</v>
      </c>
      <c r="AD582" s="207">
        <f t="shared" si="51"/>
        <v>0</v>
      </c>
      <c r="AE582" s="207">
        <f t="shared" si="52"/>
        <v>61.18043327331543</v>
      </c>
      <c r="AF582" s="207">
        <f t="shared" si="53"/>
        <v>47.812652587890625</v>
      </c>
    </row>
    <row r="583" spans="3:32">
      <c r="C583" s="43"/>
      <c r="D583" s="27"/>
      <c r="Z583" s="206">
        <f t="shared" si="48"/>
        <v>0</v>
      </c>
      <c r="AA583" s="207">
        <f t="shared" si="48"/>
        <v>0</v>
      </c>
      <c r="AB583" s="207">
        <f t="shared" si="49"/>
        <v>105.73929214477539</v>
      </c>
      <c r="AC583" s="207">
        <f t="shared" si="50"/>
        <v>89.406955718994141</v>
      </c>
      <c r="AD583" s="207">
        <f t="shared" si="51"/>
        <v>0</v>
      </c>
      <c r="AE583" s="207">
        <f t="shared" si="52"/>
        <v>61.18043327331543</v>
      </c>
      <c r="AF583" s="207">
        <f t="shared" si="53"/>
        <v>47.812652587890625</v>
      </c>
    </row>
    <row r="584" spans="3:32">
      <c r="C584" s="43"/>
      <c r="D584" s="27"/>
      <c r="Z584" s="206">
        <f t="shared" si="48"/>
        <v>0</v>
      </c>
      <c r="AA584" s="207">
        <f t="shared" si="48"/>
        <v>0</v>
      </c>
      <c r="AB584" s="207">
        <f t="shared" si="49"/>
        <v>105.73929214477539</v>
      </c>
      <c r="AC584" s="207">
        <f t="shared" si="50"/>
        <v>89.406955718994141</v>
      </c>
      <c r="AD584" s="207">
        <f t="shared" si="51"/>
        <v>0</v>
      </c>
      <c r="AE584" s="207">
        <f t="shared" si="52"/>
        <v>61.18043327331543</v>
      </c>
      <c r="AF584" s="207">
        <f t="shared" si="53"/>
        <v>47.812652587890625</v>
      </c>
    </row>
    <row r="585" spans="3:32">
      <c r="C585" s="43"/>
      <c r="D585" s="27"/>
      <c r="Z585" s="206">
        <f t="shared" si="48"/>
        <v>0</v>
      </c>
      <c r="AA585" s="207">
        <f t="shared" si="48"/>
        <v>0</v>
      </c>
      <c r="AB585" s="207">
        <f t="shared" si="49"/>
        <v>105.73929214477539</v>
      </c>
      <c r="AC585" s="207">
        <f t="shared" si="50"/>
        <v>89.406955718994141</v>
      </c>
      <c r="AD585" s="207">
        <f t="shared" si="51"/>
        <v>0</v>
      </c>
      <c r="AE585" s="207">
        <f t="shared" si="52"/>
        <v>61.18043327331543</v>
      </c>
      <c r="AF585" s="207">
        <f t="shared" si="53"/>
        <v>47.812652587890625</v>
      </c>
    </row>
    <row r="586" spans="3:32">
      <c r="C586" s="43"/>
      <c r="D586" s="27"/>
      <c r="Z586" s="206">
        <f t="shared" si="48"/>
        <v>0</v>
      </c>
      <c r="AA586" s="207">
        <f t="shared" si="48"/>
        <v>0</v>
      </c>
      <c r="AB586" s="207">
        <f t="shared" si="49"/>
        <v>105.73929214477539</v>
      </c>
      <c r="AC586" s="207">
        <f t="shared" si="50"/>
        <v>89.406955718994141</v>
      </c>
      <c r="AD586" s="207">
        <f t="shared" si="51"/>
        <v>0</v>
      </c>
      <c r="AE586" s="207">
        <f t="shared" si="52"/>
        <v>61.18043327331543</v>
      </c>
      <c r="AF586" s="207">
        <f t="shared" si="53"/>
        <v>47.812652587890625</v>
      </c>
    </row>
    <row r="587" spans="3:32">
      <c r="C587" s="43"/>
      <c r="D587" s="27"/>
      <c r="Z587" s="206">
        <f t="shared" si="48"/>
        <v>0</v>
      </c>
      <c r="AA587" s="207">
        <f t="shared" si="48"/>
        <v>0</v>
      </c>
      <c r="AB587" s="207">
        <f t="shared" si="49"/>
        <v>105.73929214477539</v>
      </c>
      <c r="AC587" s="207">
        <f t="shared" si="50"/>
        <v>89.406955718994141</v>
      </c>
      <c r="AD587" s="207">
        <f t="shared" si="51"/>
        <v>0</v>
      </c>
      <c r="AE587" s="207">
        <f t="shared" si="52"/>
        <v>61.18043327331543</v>
      </c>
      <c r="AF587" s="207">
        <f t="shared" si="53"/>
        <v>47.812652587890625</v>
      </c>
    </row>
    <row r="588" spans="3:32">
      <c r="C588" s="43"/>
      <c r="D588" s="27"/>
      <c r="Z588" s="206">
        <f t="shared" si="48"/>
        <v>0</v>
      </c>
      <c r="AA588" s="207">
        <f t="shared" si="48"/>
        <v>0</v>
      </c>
      <c r="AB588" s="207">
        <f t="shared" si="49"/>
        <v>105.73929214477539</v>
      </c>
      <c r="AC588" s="207">
        <f t="shared" si="50"/>
        <v>89.406955718994141</v>
      </c>
      <c r="AD588" s="207">
        <f t="shared" si="51"/>
        <v>0</v>
      </c>
      <c r="AE588" s="207">
        <f t="shared" si="52"/>
        <v>61.18043327331543</v>
      </c>
      <c r="AF588" s="207">
        <f t="shared" si="53"/>
        <v>47.812652587890625</v>
      </c>
    </row>
    <row r="589" spans="3:32">
      <c r="C589" s="43"/>
      <c r="D589" s="27"/>
      <c r="Z589" s="206">
        <f t="shared" si="48"/>
        <v>0</v>
      </c>
      <c r="AA589" s="207">
        <f t="shared" si="48"/>
        <v>0</v>
      </c>
      <c r="AB589" s="207">
        <f t="shared" si="49"/>
        <v>105.73929214477539</v>
      </c>
      <c r="AC589" s="207">
        <f t="shared" si="50"/>
        <v>89.406955718994141</v>
      </c>
      <c r="AD589" s="207">
        <f t="shared" si="51"/>
        <v>0</v>
      </c>
      <c r="AE589" s="207">
        <f t="shared" si="52"/>
        <v>61.18043327331543</v>
      </c>
      <c r="AF589" s="207">
        <f t="shared" si="53"/>
        <v>47.812652587890625</v>
      </c>
    </row>
    <row r="590" spans="3:32">
      <c r="C590" s="43"/>
      <c r="D590" s="27"/>
      <c r="Z590" s="206">
        <f t="shared" si="48"/>
        <v>0</v>
      </c>
      <c r="AA590" s="207">
        <f t="shared" si="48"/>
        <v>0</v>
      </c>
      <c r="AB590" s="207">
        <f t="shared" si="49"/>
        <v>105.73929214477539</v>
      </c>
      <c r="AC590" s="207">
        <f t="shared" si="50"/>
        <v>89.406955718994141</v>
      </c>
      <c r="AD590" s="207">
        <f t="shared" si="51"/>
        <v>0</v>
      </c>
      <c r="AE590" s="207">
        <f t="shared" si="52"/>
        <v>61.18043327331543</v>
      </c>
      <c r="AF590" s="207">
        <f t="shared" si="53"/>
        <v>47.812652587890625</v>
      </c>
    </row>
    <row r="591" spans="3:32">
      <c r="C591" s="43"/>
      <c r="D591" s="27"/>
      <c r="Z591" s="206">
        <f t="shared" ref="Z591:AA614" si="54">B591</f>
        <v>0</v>
      </c>
      <c r="AA591" s="207">
        <f t="shared" si="54"/>
        <v>0</v>
      </c>
      <c r="AB591" s="207">
        <f t="shared" ref="AB591:AB614" si="55">$J$24</f>
        <v>105.73929214477539</v>
      </c>
      <c r="AC591" s="207">
        <f t="shared" ref="AC591:AC614" si="56">$J$25</f>
        <v>89.406955718994141</v>
      </c>
      <c r="AD591" s="207">
        <f t="shared" ref="AD591:AD614" si="57">D591</f>
        <v>0</v>
      </c>
      <c r="AE591" s="207">
        <f t="shared" ref="AE591:AE614" si="58">$K$24</f>
        <v>61.18043327331543</v>
      </c>
      <c r="AF591" s="207">
        <f t="shared" ref="AF591:AF614" si="59">$K$25</f>
        <v>47.812652587890625</v>
      </c>
    </row>
    <row r="592" spans="3:32">
      <c r="C592" s="43"/>
      <c r="D592" s="27"/>
      <c r="Z592" s="206">
        <f t="shared" si="54"/>
        <v>0</v>
      </c>
      <c r="AA592" s="207">
        <f t="shared" si="54"/>
        <v>0</v>
      </c>
      <c r="AB592" s="207">
        <f t="shared" si="55"/>
        <v>105.73929214477539</v>
      </c>
      <c r="AC592" s="207">
        <f t="shared" si="56"/>
        <v>89.406955718994141</v>
      </c>
      <c r="AD592" s="207">
        <f t="shared" si="57"/>
        <v>0</v>
      </c>
      <c r="AE592" s="207">
        <f t="shared" si="58"/>
        <v>61.18043327331543</v>
      </c>
      <c r="AF592" s="207">
        <f t="shared" si="59"/>
        <v>47.812652587890625</v>
      </c>
    </row>
    <row r="593" spans="3:32">
      <c r="C593" s="43"/>
      <c r="D593" s="27"/>
      <c r="Z593" s="206">
        <f t="shared" si="54"/>
        <v>0</v>
      </c>
      <c r="AA593" s="207">
        <f t="shared" si="54"/>
        <v>0</v>
      </c>
      <c r="AB593" s="207">
        <f t="shared" si="55"/>
        <v>105.73929214477539</v>
      </c>
      <c r="AC593" s="207">
        <f t="shared" si="56"/>
        <v>89.406955718994141</v>
      </c>
      <c r="AD593" s="207">
        <f t="shared" si="57"/>
        <v>0</v>
      </c>
      <c r="AE593" s="207">
        <f t="shared" si="58"/>
        <v>61.18043327331543</v>
      </c>
      <c r="AF593" s="207">
        <f t="shared" si="59"/>
        <v>47.812652587890625</v>
      </c>
    </row>
    <row r="594" spans="3:32">
      <c r="C594" s="43"/>
      <c r="D594" s="27"/>
      <c r="Z594" s="206">
        <f t="shared" si="54"/>
        <v>0</v>
      </c>
      <c r="AA594" s="207">
        <f t="shared" si="54"/>
        <v>0</v>
      </c>
      <c r="AB594" s="207">
        <f t="shared" si="55"/>
        <v>105.73929214477539</v>
      </c>
      <c r="AC594" s="207">
        <f t="shared" si="56"/>
        <v>89.406955718994141</v>
      </c>
      <c r="AD594" s="207">
        <f t="shared" si="57"/>
        <v>0</v>
      </c>
      <c r="AE594" s="207">
        <f t="shared" si="58"/>
        <v>61.18043327331543</v>
      </c>
      <c r="AF594" s="207">
        <f t="shared" si="59"/>
        <v>47.812652587890625</v>
      </c>
    </row>
    <row r="595" spans="3:32">
      <c r="C595" s="43"/>
      <c r="D595" s="27"/>
      <c r="Z595" s="206">
        <f t="shared" si="54"/>
        <v>0</v>
      </c>
      <c r="AA595" s="207">
        <f t="shared" si="54"/>
        <v>0</v>
      </c>
      <c r="AB595" s="207">
        <f t="shared" si="55"/>
        <v>105.73929214477539</v>
      </c>
      <c r="AC595" s="207">
        <f t="shared" si="56"/>
        <v>89.406955718994141</v>
      </c>
      <c r="AD595" s="207">
        <f t="shared" si="57"/>
        <v>0</v>
      </c>
      <c r="AE595" s="207">
        <f t="shared" si="58"/>
        <v>61.18043327331543</v>
      </c>
      <c r="AF595" s="207">
        <f t="shared" si="59"/>
        <v>47.812652587890625</v>
      </c>
    </row>
    <row r="596" spans="3:32">
      <c r="C596" s="43"/>
      <c r="D596" s="27"/>
      <c r="Z596" s="206">
        <f t="shared" si="54"/>
        <v>0</v>
      </c>
      <c r="AA596" s="207">
        <f t="shared" si="54"/>
        <v>0</v>
      </c>
      <c r="AB596" s="207">
        <f t="shared" si="55"/>
        <v>105.73929214477539</v>
      </c>
      <c r="AC596" s="207">
        <f t="shared" si="56"/>
        <v>89.406955718994141</v>
      </c>
      <c r="AD596" s="207">
        <f t="shared" si="57"/>
        <v>0</v>
      </c>
      <c r="AE596" s="207">
        <f t="shared" si="58"/>
        <v>61.18043327331543</v>
      </c>
      <c r="AF596" s="207">
        <f t="shared" si="59"/>
        <v>47.812652587890625</v>
      </c>
    </row>
    <row r="597" spans="3:32">
      <c r="C597" s="43"/>
      <c r="D597" s="27"/>
      <c r="Z597" s="206">
        <f t="shared" si="54"/>
        <v>0</v>
      </c>
      <c r="AA597" s="207">
        <f t="shared" si="54"/>
        <v>0</v>
      </c>
      <c r="AB597" s="207">
        <f t="shared" si="55"/>
        <v>105.73929214477539</v>
      </c>
      <c r="AC597" s="207">
        <f t="shared" si="56"/>
        <v>89.406955718994141</v>
      </c>
      <c r="AD597" s="207">
        <f t="shared" si="57"/>
        <v>0</v>
      </c>
      <c r="AE597" s="207">
        <f t="shared" si="58"/>
        <v>61.18043327331543</v>
      </c>
      <c r="AF597" s="207">
        <f t="shared" si="59"/>
        <v>47.812652587890625</v>
      </c>
    </row>
    <row r="598" spans="3:32">
      <c r="C598" s="43"/>
      <c r="D598" s="27"/>
      <c r="Z598" s="206">
        <f t="shared" si="54"/>
        <v>0</v>
      </c>
      <c r="AA598" s="207">
        <f t="shared" si="54"/>
        <v>0</v>
      </c>
      <c r="AB598" s="207">
        <f t="shared" si="55"/>
        <v>105.73929214477539</v>
      </c>
      <c r="AC598" s="207">
        <f t="shared" si="56"/>
        <v>89.406955718994141</v>
      </c>
      <c r="AD598" s="207">
        <f t="shared" si="57"/>
        <v>0</v>
      </c>
      <c r="AE598" s="207">
        <f t="shared" si="58"/>
        <v>61.18043327331543</v>
      </c>
      <c r="AF598" s="207">
        <f t="shared" si="59"/>
        <v>47.812652587890625</v>
      </c>
    </row>
    <row r="599" spans="3:32">
      <c r="C599" s="43"/>
      <c r="D599" s="27"/>
      <c r="Z599" s="206">
        <f t="shared" si="54"/>
        <v>0</v>
      </c>
      <c r="AA599" s="207">
        <f t="shared" si="54"/>
        <v>0</v>
      </c>
      <c r="AB599" s="207">
        <f t="shared" si="55"/>
        <v>105.73929214477539</v>
      </c>
      <c r="AC599" s="207">
        <f t="shared" si="56"/>
        <v>89.406955718994141</v>
      </c>
      <c r="AD599" s="207">
        <f t="shared" si="57"/>
        <v>0</v>
      </c>
      <c r="AE599" s="207">
        <f t="shared" si="58"/>
        <v>61.18043327331543</v>
      </c>
      <c r="AF599" s="207">
        <f t="shared" si="59"/>
        <v>47.812652587890625</v>
      </c>
    </row>
    <row r="600" spans="3:32">
      <c r="C600" s="43"/>
      <c r="D600" s="27"/>
      <c r="Z600" s="206">
        <f t="shared" si="54"/>
        <v>0</v>
      </c>
      <c r="AA600" s="207">
        <f t="shared" si="54"/>
        <v>0</v>
      </c>
      <c r="AB600" s="207">
        <f t="shared" si="55"/>
        <v>105.73929214477539</v>
      </c>
      <c r="AC600" s="207">
        <f t="shared" si="56"/>
        <v>89.406955718994141</v>
      </c>
      <c r="AD600" s="207">
        <f t="shared" si="57"/>
        <v>0</v>
      </c>
      <c r="AE600" s="207">
        <f t="shared" si="58"/>
        <v>61.18043327331543</v>
      </c>
      <c r="AF600" s="207">
        <f t="shared" si="59"/>
        <v>47.812652587890625</v>
      </c>
    </row>
    <row r="601" spans="3:32">
      <c r="C601" s="43"/>
      <c r="D601" s="27"/>
      <c r="Z601" s="206">
        <f t="shared" si="54"/>
        <v>0</v>
      </c>
      <c r="AA601" s="207">
        <f t="shared" si="54"/>
        <v>0</v>
      </c>
      <c r="AB601" s="207">
        <f t="shared" si="55"/>
        <v>105.73929214477539</v>
      </c>
      <c r="AC601" s="207">
        <f t="shared" si="56"/>
        <v>89.406955718994141</v>
      </c>
      <c r="AD601" s="207">
        <f t="shared" si="57"/>
        <v>0</v>
      </c>
      <c r="AE601" s="207">
        <f t="shared" si="58"/>
        <v>61.18043327331543</v>
      </c>
      <c r="AF601" s="207">
        <f t="shared" si="59"/>
        <v>47.812652587890625</v>
      </c>
    </row>
    <row r="602" spans="3:32">
      <c r="C602" s="43"/>
      <c r="D602" s="27"/>
      <c r="Z602" s="206">
        <f t="shared" si="54"/>
        <v>0</v>
      </c>
      <c r="AA602" s="207">
        <f t="shared" si="54"/>
        <v>0</v>
      </c>
      <c r="AB602" s="207">
        <f t="shared" si="55"/>
        <v>105.73929214477539</v>
      </c>
      <c r="AC602" s="207">
        <f t="shared" si="56"/>
        <v>89.406955718994141</v>
      </c>
      <c r="AD602" s="207">
        <f t="shared" si="57"/>
        <v>0</v>
      </c>
      <c r="AE602" s="207">
        <f t="shared" si="58"/>
        <v>61.18043327331543</v>
      </c>
      <c r="AF602" s="207">
        <f t="shared" si="59"/>
        <v>47.812652587890625</v>
      </c>
    </row>
    <row r="603" spans="3:32">
      <c r="C603" s="43"/>
      <c r="D603" s="27"/>
      <c r="Z603" s="206">
        <f t="shared" si="54"/>
        <v>0</v>
      </c>
      <c r="AA603" s="207">
        <f t="shared" si="54"/>
        <v>0</v>
      </c>
      <c r="AB603" s="207">
        <f t="shared" si="55"/>
        <v>105.73929214477539</v>
      </c>
      <c r="AC603" s="207">
        <f t="shared" si="56"/>
        <v>89.406955718994141</v>
      </c>
      <c r="AD603" s="207">
        <f t="shared" si="57"/>
        <v>0</v>
      </c>
      <c r="AE603" s="207">
        <f t="shared" si="58"/>
        <v>61.18043327331543</v>
      </c>
      <c r="AF603" s="207">
        <f t="shared" si="59"/>
        <v>47.812652587890625</v>
      </c>
    </row>
    <row r="604" spans="3:32">
      <c r="C604" s="43"/>
      <c r="D604" s="27"/>
      <c r="Z604" s="206">
        <f t="shared" si="54"/>
        <v>0</v>
      </c>
      <c r="AA604" s="207">
        <f t="shared" si="54"/>
        <v>0</v>
      </c>
      <c r="AB604" s="207">
        <f t="shared" si="55"/>
        <v>105.73929214477539</v>
      </c>
      <c r="AC604" s="207">
        <f t="shared" si="56"/>
        <v>89.406955718994141</v>
      </c>
      <c r="AD604" s="207">
        <f t="shared" si="57"/>
        <v>0</v>
      </c>
      <c r="AE604" s="207">
        <f t="shared" si="58"/>
        <v>61.18043327331543</v>
      </c>
      <c r="AF604" s="207">
        <f t="shared" si="59"/>
        <v>47.812652587890625</v>
      </c>
    </row>
    <row r="605" spans="3:32">
      <c r="C605" s="27"/>
      <c r="D605" s="27"/>
      <c r="Z605" s="206">
        <f t="shared" si="54"/>
        <v>0</v>
      </c>
      <c r="AA605" s="207">
        <f t="shared" si="54"/>
        <v>0</v>
      </c>
      <c r="AB605" s="207">
        <f t="shared" si="55"/>
        <v>105.73929214477539</v>
      </c>
      <c r="AC605" s="207">
        <f t="shared" si="56"/>
        <v>89.406955718994141</v>
      </c>
      <c r="AD605" s="207">
        <f t="shared" si="57"/>
        <v>0</v>
      </c>
      <c r="AE605" s="207">
        <f t="shared" si="58"/>
        <v>61.18043327331543</v>
      </c>
      <c r="AF605" s="207">
        <f t="shared" si="59"/>
        <v>47.812652587890625</v>
      </c>
    </row>
    <row r="606" spans="3:32">
      <c r="C606" s="27"/>
      <c r="D606" s="27"/>
      <c r="Z606" s="206">
        <f t="shared" si="54"/>
        <v>0</v>
      </c>
      <c r="AA606" s="207">
        <f t="shared" si="54"/>
        <v>0</v>
      </c>
      <c r="AB606" s="207">
        <f t="shared" si="55"/>
        <v>105.73929214477539</v>
      </c>
      <c r="AC606" s="207">
        <f t="shared" si="56"/>
        <v>89.406955718994141</v>
      </c>
      <c r="AD606" s="207">
        <f t="shared" si="57"/>
        <v>0</v>
      </c>
      <c r="AE606" s="207">
        <f t="shared" si="58"/>
        <v>61.18043327331543</v>
      </c>
      <c r="AF606" s="207">
        <f t="shared" si="59"/>
        <v>47.812652587890625</v>
      </c>
    </row>
    <row r="607" spans="3:32">
      <c r="C607" s="27"/>
      <c r="D607" s="27"/>
      <c r="Z607" s="206">
        <f t="shared" si="54"/>
        <v>0</v>
      </c>
      <c r="AA607" s="207">
        <f t="shared" si="54"/>
        <v>0</v>
      </c>
      <c r="AB607" s="207">
        <f t="shared" si="55"/>
        <v>105.73929214477539</v>
      </c>
      <c r="AC607" s="207">
        <f t="shared" si="56"/>
        <v>89.406955718994141</v>
      </c>
      <c r="AD607" s="207">
        <f t="shared" si="57"/>
        <v>0</v>
      </c>
      <c r="AE607" s="207">
        <f t="shared" si="58"/>
        <v>61.18043327331543</v>
      </c>
      <c r="AF607" s="207">
        <f t="shared" si="59"/>
        <v>47.812652587890625</v>
      </c>
    </row>
    <row r="608" spans="3:32">
      <c r="C608" s="27"/>
      <c r="D608" s="27"/>
      <c r="Z608" s="206">
        <f t="shared" si="54"/>
        <v>0</v>
      </c>
      <c r="AA608" s="207">
        <f t="shared" si="54"/>
        <v>0</v>
      </c>
      <c r="AB608" s="207">
        <f t="shared" si="55"/>
        <v>105.73929214477539</v>
      </c>
      <c r="AC608" s="207">
        <f t="shared" si="56"/>
        <v>89.406955718994141</v>
      </c>
      <c r="AD608" s="207">
        <f t="shared" si="57"/>
        <v>0</v>
      </c>
      <c r="AE608" s="207">
        <f t="shared" si="58"/>
        <v>61.18043327331543</v>
      </c>
      <c r="AF608" s="207">
        <f t="shared" si="59"/>
        <v>47.812652587890625</v>
      </c>
    </row>
    <row r="609" spans="3:32">
      <c r="C609" s="27"/>
      <c r="D609" s="27"/>
      <c r="Z609" s="206">
        <f t="shared" si="54"/>
        <v>0</v>
      </c>
      <c r="AA609" s="207">
        <f t="shared" si="54"/>
        <v>0</v>
      </c>
      <c r="AB609" s="207">
        <f t="shared" si="55"/>
        <v>105.73929214477539</v>
      </c>
      <c r="AC609" s="207">
        <f t="shared" si="56"/>
        <v>89.406955718994141</v>
      </c>
      <c r="AD609" s="207">
        <f t="shared" si="57"/>
        <v>0</v>
      </c>
      <c r="AE609" s="207">
        <f t="shared" si="58"/>
        <v>61.18043327331543</v>
      </c>
      <c r="AF609" s="207">
        <f t="shared" si="59"/>
        <v>47.812652587890625</v>
      </c>
    </row>
    <row r="610" spans="3:32">
      <c r="C610" s="27"/>
      <c r="D610" s="27"/>
      <c r="Z610" s="206">
        <f t="shared" si="54"/>
        <v>0</v>
      </c>
      <c r="AA610" s="207">
        <f t="shared" si="54"/>
        <v>0</v>
      </c>
      <c r="AB610" s="207">
        <f t="shared" si="55"/>
        <v>105.73929214477539</v>
      </c>
      <c r="AC610" s="207">
        <f t="shared" si="56"/>
        <v>89.406955718994141</v>
      </c>
      <c r="AD610" s="207">
        <f t="shared" si="57"/>
        <v>0</v>
      </c>
      <c r="AE610" s="207">
        <f t="shared" si="58"/>
        <v>61.18043327331543</v>
      </c>
      <c r="AF610" s="207">
        <f t="shared" si="59"/>
        <v>47.812652587890625</v>
      </c>
    </row>
    <row r="611" spans="3:32">
      <c r="C611" s="27"/>
      <c r="D611" s="27"/>
      <c r="Z611" s="206">
        <f t="shared" si="54"/>
        <v>0</v>
      </c>
      <c r="AA611" s="207">
        <f t="shared" si="54"/>
        <v>0</v>
      </c>
      <c r="AB611" s="207">
        <f t="shared" si="55"/>
        <v>105.73929214477539</v>
      </c>
      <c r="AC611" s="207">
        <f t="shared" si="56"/>
        <v>89.406955718994141</v>
      </c>
      <c r="AD611" s="207">
        <f t="shared" si="57"/>
        <v>0</v>
      </c>
      <c r="AE611" s="207">
        <f t="shared" si="58"/>
        <v>61.18043327331543</v>
      </c>
      <c r="AF611" s="207">
        <f t="shared" si="59"/>
        <v>47.812652587890625</v>
      </c>
    </row>
    <row r="612" spans="3:32">
      <c r="C612" s="27"/>
      <c r="D612" s="27"/>
      <c r="Z612" s="206">
        <f t="shared" si="54"/>
        <v>0</v>
      </c>
      <c r="AA612" s="207">
        <f t="shared" si="54"/>
        <v>0</v>
      </c>
      <c r="AB612" s="207">
        <f t="shared" si="55"/>
        <v>105.73929214477539</v>
      </c>
      <c r="AC612" s="207">
        <f t="shared" si="56"/>
        <v>89.406955718994141</v>
      </c>
      <c r="AD612" s="207">
        <f t="shared" si="57"/>
        <v>0</v>
      </c>
      <c r="AE612" s="207">
        <f t="shared" si="58"/>
        <v>61.18043327331543</v>
      </c>
      <c r="AF612" s="207">
        <f t="shared" si="59"/>
        <v>47.812652587890625</v>
      </c>
    </row>
    <row r="613" spans="3:32">
      <c r="C613" s="27"/>
      <c r="D613" s="27"/>
      <c r="Z613" s="206">
        <f t="shared" si="54"/>
        <v>0</v>
      </c>
      <c r="AA613" s="207">
        <f t="shared" si="54"/>
        <v>0</v>
      </c>
      <c r="AB613" s="207">
        <f t="shared" si="55"/>
        <v>105.73929214477539</v>
      </c>
      <c r="AC613" s="207">
        <f t="shared" si="56"/>
        <v>89.406955718994141</v>
      </c>
      <c r="AD613" s="207">
        <f t="shared" si="57"/>
        <v>0</v>
      </c>
      <c r="AE613" s="207">
        <f t="shared" si="58"/>
        <v>61.18043327331543</v>
      </c>
      <c r="AF613" s="207">
        <f t="shared" si="59"/>
        <v>47.812652587890625</v>
      </c>
    </row>
    <row r="614" spans="3:32">
      <c r="C614" s="27"/>
      <c r="D614" s="27"/>
      <c r="Z614" s="206">
        <f t="shared" si="54"/>
        <v>0</v>
      </c>
      <c r="AA614" s="207">
        <f t="shared" si="54"/>
        <v>0</v>
      </c>
      <c r="AB614" s="207">
        <f t="shared" si="55"/>
        <v>105.73929214477539</v>
      </c>
      <c r="AC614" s="207">
        <f t="shared" si="56"/>
        <v>89.406955718994141</v>
      </c>
      <c r="AD614" s="207">
        <f t="shared" si="57"/>
        <v>0</v>
      </c>
      <c r="AE614" s="207">
        <f t="shared" si="58"/>
        <v>61.18043327331543</v>
      </c>
      <c r="AF614" s="207">
        <f t="shared" si="59"/>
        <v>47.812652587890625</v>
      </c>
    </row>
  </sheetData>
  <mergeCells count="21">
    <mergeCell ref="B2:E3"/>
    <mergeCell ref="B5:E5"/>
    <mergeCell ref="F5:H5"/>
    <mergeCell ref="B6:E6"/>
    <mergeCell ref="F6:H6"/>
    <mergeCell ref="F2:T2"/>
    <mergeCell ref="F3:T3"/>
    <mergeCell ref="B7:E7"/>
    <mergeCell ref="F7:H7"/>
    <mergeCell ref="B11:D11"/>
    <mergeCell ref="F11:T11"/>
    <mergeCell ref="B12:B13"/>
    <mergeCell ref="F13:M18"/>
    <mergeCell ref="H29:I29"/>
    <mergeCell ref="H30:I30"/>
    <mergeCell ref="H20:K21"/>
    <mergeCell ref="H22:I23"/>
    <mergeCell ref="H24:I24"/>
    <mergeCell ref="H25:I25"/>
    <mergeCell ref="H27:I27"/>
    <mergeCell ref="H28:I28"/>
  </mergeCells>
  <pageMargins left="0.7" right="0.7" top="0.75" bottom="0.75" header="0.3" footer="0.3"/>
  <pageSetup paperSize="9" orientation="portrait" horizontalDpi="1200"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7"/>
  <dimension ref="A1:AF698"/>
  <sheetViews>
    <sheetView showGridLines="0" zoomScale="75" zoomScaleNormal="75" workbookViewId="0">
      <selection activeCell="E3" sqref="E3:N3"/>
    </sheetView>
  </sheetViews>
  <sheetFormatPr baseColWidth="10" defaultRowHeight="12.5"/>
  <cols>
    <col min="1" max="1" width="3.453125" customWidth="1"/>
    <col min="2" max="2" width="16.1796875" customWidth="1"/>
    <col min="3" max="3" width="8.81640625" customWidth="1"/>
    <col min="4" max="4" width="10.90625" customWidth="1"/>
    <col min="5" max="14" width="8.81640625" customWidth="1"/>
    <col min="16" max="16" width="12.1796875" style="48" bestFit="1" customWidth="1"/>
    <col min="17" max="17" width="15.1796875" customWidth="1"/>
    <col min="18" max="18" width="22.1796875" customWidth="1"/>
    <col min="19" max="30" width="8.81640625" customWidth="1"/>
  </cols>
  <sheetData>
    <row r="1" spans="1:32">
      <c r="A1" s="53"/>
      <c r="B1" s="53"/>
      <c r="C1" s="55"/>
      <c r="D1" s="54"/>
      <c r="E1" s="54"/>
      <c r="F1" s="54"/>
      <c r="G1" s="54"/>
      <c r="H1" s="54"/>
    </row>
    <row r="2" spans="1:32" ht="18">
      <c r="A2" s="53"/>
      <c r="B2" s="623" t="s">
        <v>187</v>
      </c>
      <c r="C2" s="623"/>
      <c r="D2" s="623"/>
      <c r="E2" s="624" t="str">
        <f>UPPER(REPORTS!$AB$1)</f>
        <v>NATURAL FLOW</v>
      </c>
      <c r="F2" s="624"/>
      <c r="G2" s="624"/>
      <c r="H2" s="624"/>
      <c r="I2" s="624"/>
      <c r="J2" s="624"/>
      <c r="K2" s="624"/>
      <c r="L2" s="624"/>
      <c r="M2" s="624"/>
      <c r="N2" s="624"/>
      <c r="S2" s="621" t="s">
        <v>188</v>
      </c>
      <c r="T2" s="622"/>
      <c r="U2" s="622"/>
      <c r="V2" s="622"/>
      <c r="W2" s="622"/>
      <c r="X2" s="622"/>
      <c r="Y2" s="622"/>
      <c r="Z2" s="622"/>
      <c r="AA2" s="622"/>
      <c r="AB2" s="622"/>
      <c r="AC2" s="622"/>
      <c r="AD2" s="622"/>
    </row>
    <row r="3" spans="1:32" ht="18.5" customHeight="1">
      <c r="A3" s="53"/>
      <c r="B3" s="623"/>
      <c r="C3" s="623"/>
      <c r="D3" s="623"/>
      <c r="E3" s="625" t="s">
        <v>189</v>
      </c>
      <c r="F3" s="625"/>
      <c r="G3" s="625"/>
      <c r="H3" s="625"/>
      <c r="I3" s="625"/>
      <c r="J3" s="625"/>
      <c r="K3" s="625"/>
      <c r="L3" s="625"/>
      <c r="M3" s="625"/>
      <c r="N3" s="625"/>
      <c r="Q3" s="609" t="s">
        <v>190</v>
      </c>
      <c r="R3" s="610"/>
      <c r="S3" s="52" t="str">
        <f t="shared" ref="S3:AD3" si="0">C14</f>
        <v>Jan</v>
      </c>
      <c r="T3" s="52" t="str">
        <f t="shared" si="0"/>
        <v>Feb</v>
      </c>
      <c r="U3" s="52" t="str">
        <f t="shared" si="0"/>
        <v>Mar</v>
      </c>
      <c r="V3" s="52" t="str">
        <f t="shared" si="0"/>
        <v>Apr</v>
      </c>
      <c r="W3" s="52" t="str">
        <f t="shared" si="0"/>
        <v>May</v>
      </c>
      <c r="X3" s="52" t="str">
        <f t="shared" si="0"/>
        <v>Jun</v>
      </c>
      <c r="Y3" s="52" t="str">
        <f t="shared" si="0"/>
        <v>Jul</v>
      </c>
      <c r="Z3" s="52" t="str">
        <f t="shared" si="0"/>
        <v>Aug</v>
      </c>
      <c r="AA3" s="52" t="str">
        <f t="shared" si="0"/>
        <v>Sep</v>
      </c>
      <c r="AB3" s="52" t="str">
        <f t="shared" si="0"/>
        <v>Oct</v>
      </c>
      <c r="AC3" s="52" t="str">
        <f t="shared" si="0"/>
        <v>Nov</v>
      </c>
      <c r="AD3" s="64" t="str">
        <f t="shared" si="0"/>
        <v>Dec</v>
      </c>
    </row>
    <row r="4" spans="1:32" ht="18.75" customHeight="1">
      <c r="Q4" s="575" t="s">
        <v>167</v>
      </c>
      <c r="R4" s="575"/>
      <c r="S4" s="394">
        <f t="shared" ref="S4:AD4" si="1">MIN(C12:C612)</f>
        <v>9.4067134857177734</v>
      </c>
      <c r="T4" s="395">
        <f t="shared" si="1"/>
        <v>8.7175865173339844</v>
      </c>
      <c r="U4" s="395">
        <f t="shared" si="1"/>
        <v>8.0987911224365234</v>
      </c>
      <c r="V4" s="395">
        <f t="shared" si="1"/>
        <v>8.6432828903198242</v>
      </c>
      <c r="W4" s="395">
        <f t="shared" si="1"/>
        <v>8.5523900985717773</v>
      </c>
      <c r="X4" s="395">
        <f t="shared" si="1"/>
        <v>3.3713879585266113</v>
      </c>
      <c r="Y4" s="395">
        <f t="shared" si="1"/>
        <v>0.87557750940322876</v>
      </c>
      <c r="Z4" s="395">
        <f t="shared" si="1"/>
        <v>0.41032230854034424</v>
      </c>
      <c r="AA4" s="395">
        <f t="shared" si="1"/>
        <v>0.31015095114707947</v>
      </c>
      <c r="AB4" s="395">
        <f t="shared" si="1"/>
        <v>1.5896819829940796</v>
      </c>
      <c r="AC4" s="395">
        <f t="shared" si="1"/>
        <v>3.5612266063690186</v>
      </c>
      <c r="AD4" s="396">
        <f t="shared" si="1"/>
        <v>5.3651809692382813</v>
      </c>
      <c r="AF4" s="461" t="str">
        <f>CONCATENATE("MONTHLY CONTRIBUTIONS IN ",UPPER(REPORTS!$AB$1)," (hm³)")</f>
        <v>MONTHLY CONTRIBUTIONS IN NATURAL FLOW (hm³)</v>
      </c>
    </row>
    <row r="5" spans="1:32" ht="15.75" customHeight="1">
      <c r="B5" s="556" t="s">
        <v>1</v>
      </c>
      <c r="C5" s="556"/>
      <c r="D5" s="556"/>
      <c r="E5" s="589" t="str">
        <f>REPORTS!E7</f>
        <v>Natural Flow (Nat_F)</v>
      </c>
      <c r="F5" s="589"/>
      <c r="G5" s="589"/>
      <c r="H5" s="495"/>
      <c r="Q5" s="570" t="s">
        <v>169</v>
      </c>
      <c r="R5" s="570"/>
      <c r="S5" s="397">
        <f t="shared" ref="S5:AD5" si="2">_xlfn.PERCENTILE.EXC(C12:C612,0.25)</f>
        <v>12.734236240386963</v>
      </c>
      <c r="T5" s="398">
        <f t="shared" si="2"/>
        <v>10.280735969543457</v>
      </c>
      <c r="U5" s="398">
        <f t="shared" si="2"/>
        <v>9.8122758865356445</v>
      </c>
      <c r="V5" s="398">
        <f t="shared" si="2"/>
        <v>11.105682373046875</v>
      </c>
      <c r="W5" s="398">
        <f t="shared" si="2"/>
        <v>10.983643531799316</v>
      </c>
      <c r="X5" s="398">
        <f t="shared" si="2"/>
        <v>4.3096280097961426</v>
      </c>
      <c r="Y5" s="398">
        <f t="shared" si="2"/>
        <v>1.0327261686325073</v>
      </c>
      <c r="Z5" s="398">
        <f t="shared" si="2"/>
        <v>0.45033842325210571</v>
      </c>
      <c r="AA5" s="398">
        <f t="shared" si="2"/>
        <v>0.45157697796821594</v>
      </c>
      <c r="AB5" s="398">
        <f t="shared" si="2"/>
        <v>2.2916132211685181</v>
      </c>
      <c r="AC5" s="398">
        <f t="shared" si="2"/>
        <v>5.6322257518768311</v>
      </c>
      <c r="AD5" s="399">
        <f t="shared" si="2"/>
        <v>12.483417510986328</v>
      </c>
    </row>
    <row r="6" spans="1:32" ht="15.75" customHeight="1">
      <c r="B6" s="556" t="s">
        <v>2</v>
      </c>
      <c r="C6" s="556"/>
      <c r="D6" s="556"/>
      <c r="E6" s="589" t="str">
        <f>REPORTS!E8</f>
        <v>Altered Flow (Alt_F)</v>
      </c>
      <c r="F6" s="589"/>
      <c r="G6" s="589"/>
      <c r="H6" s="495"/>
      <c r="Q6" s="571" t="s">
        <v>170</v>
      </c>
      <c r="R6" s="571"/>
      <c r="S6" s="400">
        <f t="shared" ref="S6:AD6" si="3">_xlfn.PERCENTILE.EXC(C12:C612,0.5)</f>
        <v>14.37298583984375</v>
      </c>
      <c r="T6" s="401">
        <f t="shared" si="3"/>
        <v>12.314159393310547</v>
      </c>
      <c r="U6" s="401">
        <f t="shared" si="3"/>
        <v>11.537077903747559</v>
      </c>
      <c r="V6" s="401">
        <f t="shared" si="3"/>
        <v>13.178936004638672</v>
      </c>
      <c r="W6" s="401">
        <f t="shared" si="3"/>
        <v>13.49222469329834</v>
      </c>
      <c r="X6" s="401">
        <f t="shared" si="3"/>
        <v>4.8620734214782715</v>
      </c>
      <c r="Y6" s="401">
        <f t="shared" si="3"/>
        <v>1.1413267850875854</v>
      </c>
      <c r="Z6" s="401">
        <f t="shared" si="3"/>
        <v>0.4883846640586853</v>
      </c>
      <c r="AA6" s="401">
        <f t="shared" si="3"/>
        <v>0.55524098873138428</v>
      </c>
      <c r="AB6" s="401">
        <f t="shared" si="3"/>
        <v>2.9164323806762695</v>
      </c>
      <c r="AC6" s="401">
        <f t="shared" si="3"/>
        <v>7.0796847343444824</v>
      </c>
      <c r="AD6" s="402">
        <f t="shared" si="3"/>
        <v>14.289956092834473</v>
      </c>
    </row>
    <row r="7" spans="1:32" ht="13">
      <c r="B7" s="556" t="s">
        <v>3</v>
      </c>
      <c r="C7" s="556"/>
      <c r="D7" s="556"/>
      <c r="E7" s="589" t="s">
        <v>4</v>
      </c>
      <c r="F7" s="589"/>
      <c r="G7" s="589"/>
      <c r="H7" s="589"/>
      <c r="Q7" s="571" t="s">
        <v>172</v>
      </c>
      <c r="R7" s="571"/>
      <c r="S7" s="400">
        <f t="shared" ref="S7:AD7" si="4">AVERAGE(C12:C612)</f>
        <v>14.578267551603771</v>
      </c>
      <c r="T7" s="401">
        <f t="shared" si="4"/>
        <v>11.7576535542806</v>
      </c>
      <c r="U7" s="401">
        <f t="shared" si="4"/>
        <v>11.808452742440361</v>
      </c>
      <c r="V7" s="401">
        <f t="shared" si="4"/>
        <v>12.994753020150322</v>
      </c>
      <c r="W7" s="401">
        <f t="shared" si="4"/>
        <v>13.640535763331822</v>
      </c>
      <c r="X7" s="401">
        <f t="shared" si="4"/>
        <v>5.2164592742919922</v>
      </c>
      <c r="Y7" s="401">
        <f t="shared" si="4"/>
        <v>1.193249449843452</v>
      </c>
      <c r="Z7" s="401">
        <f t="shared" si="4"/>
        <v>0.50548279711178368</v>
      </c>
      <c r="AA7" s="401">
        <f t="shared" si="4"/>
        <v>0.61514365673065186</v>
      </c>
      <c r="AB7" s="401">
        <f t="shared" si="4"/>
        <v>3.1179480609439669</v>
      </c>
      <c r="AC7" s="401">
        <f t="shared" si="4"/>
        <v>7.532356546038673</v>
      </c>
      <c r="AD7" s="402">
        <f t="shared" si="4"/>
        <v>14.761970520019531</v>
      </c>
    </row>
    <row r="8" spans="1:32" ht="15" customHeight="1">
      <c r="B8" s="607"/>
      <c r="C8" s="607"/>
      <c r="D8" s="607"/>
      <c r="E8" s="477"/>
      <c r="Q8" s="571" t="s">
        <v>173</v>
      </c>
      <c r="R8" s="571"/>
      <c r="S8" s="397">
        <f t="shared" ref="S8:AD8" si="5">_xlfn.PERCENTILE.EXC(C12:C612,0.75)</f>
        <v>16.780563354492188</v>
      </c>
      <c r="T8" s="398">
        <f t="shared" si="5"/>
        <v>12.938917636871338</v>
      </c>
      <c r="U8" s="398">
        <f t="shared" si="5"/>
        <v>12.809878826141357</v>
      </c>
      <c r="V8" s="398">
        <f t="shared" si="5"/>
        <v>14.612658500671387</v>
      </c>
      <c r="W8" s="398">
        <f t="shared" si="5"/>
        <v>16.170276641845703</v>
      </c>
      <c r="X8" s="398">
        <f t="shared" si="5"/>
        <v>6.3332066535949707</v>
      </c>
      <c r="Y8" s="398">
        <f t="shared" si="5"/>
        <v>1.3297781348228455</v>
      </c>
      <c r="Z8" s="398">
        <f t="shared" si="5"/>
        <v>0.55520200729370117</v>
      </c>
      <c r="AA8" s="398">
        <f t="shared" si="5"/>
        <v>0.79805517196655273</v>
      </c>
      <c r="AB8" s="398">
        <f t="shared" si="5"/>
        <v>3.7275677919387817</v>
      </c>
      <c r="AC8" s="398">
        <f t="shared" si="5"/>
        <v>8.7303309440612793</v>
      </c>
      <c r="AD8" s="399">
        <f t="shared" si="5"/>
        <v>17.754291534423828</v>
      </c>
    </row>
    <row r="9" spans="1:32" ht="13">
      <c r="B9" s="607"/>
      <c r="C9" s="607"/>
      <c r="D9" s="607"/>
      <c r="Q9" s="571" t="s">
        <v>174</v>
      </c>
      <c r="R9" s="571"/>
      <c r="S9" s="400">
        <f t="shared" ref="S9:AD9" si="6">MAX(C12:C612)</f>
        <v>19.403190612792969</v>
      </c>
      <c r="T9" s="401">
        <f t="shared" si="6"/>
        <v>14.505523681640625</v>
      </c>
      <c r="U9" s="401">
        <f t="shared" si="6"/>
        <v>16.793914794921875</v>
      </c>
      <c r="V9" s="401">
        <f t="shared" si="6"/>
        <v>16.607892990112305</v>
      </c>
      <c r="W9" s="401">
        <f t="shared" si="6"/>
        <v>19.971099853515625</v>
      </c>
      <c r="X9" s="401">
        <f t="shared" si="6"/>
        <v>7.2789402008056641</v>
      </c>
      <c r="Y9" s="401">
        <f t="shared" si="6"/>
        <v>1.5791847705841064</v>
      </c>
      <c r="Z9" s="401">
        <f t="shared" si="6"/>
        <v>0.65658813714981079</v>
      </c>
      <c r="AA9" s="401">
        <f t="shared" si="6"/>
        <v>1.1440483331680298</v>
      </c>
      <c r="AB9" s="401">
        <f t="shared" si="6"/>
        <v>5.9615392684936523</v>
      </c>
      <c r="AC9" s="401">
        <f t="shared" si="6"/>
        <v>14.821142196655273</v>
      </c>
      <c r="AD9" s="402">
        <f t="shared" si="6"/>
        <v>23.475831985473633</v>
      </c>
    </row>
    <row r="10" spans="1:32" ht="17.25" customHeight="1">
      <c r="Q10" s="576" t="s">
        <v>175</v>
      </c>
      <c r="R10" s="576"/>
      <c r="S10" s="403">
        <f t="shared" ref="S10:AD10" si="7">S8-S5</f>
        <v>4.0463271141052246</v>
      </c>
      <c r="T10" s="404">
        <f t="shared" si="7"/>
        <v>2.6581816673278809</v>
      </c>
      <c r="U10" s="404">
        <f t="shared" si="7"/>
        <v>2.9976029396057129</v>
      </c>
      <c r="V10" s="404">
        <f t="shared" si="7"/>
        <v>3.5069761276245117</v>
      </c>
      <c r="W10" s="404">
        <f t="shared" si="7"/>
        <v>5.1866331100463867</v>
      </c>
      <c r="X10" s="404">
        <f t="shared" si="7"/>
        <v>2.0235786437988281</v>
      </c>
      <c r="Y10" s="404">
        <f t="shared" si="7"/>
        <v>0.29705196619033813</v>
      </c>
      <c r="Z10" s="404">
        <f t="shared" si="7"/>
        <v>0.10486358404159546</v>
      </c>
      <c r="AA10" s="404">
        <f t="shared" si="7"/>
        <v>0.34647819399833679</v>
      </c>
      <c r="AB10" s="404">
        <f t="shared" si="7"/>
        <v>1.4359545707702637</v>
      </c>
      <c r="AC10" s="404">
        <f t="shared" si="7"/>
        <v>3.0981051921844482</v>
      </c>
      <c r="AD10" s="405">
        <f t="shared" si="7"/>
        <v>5.2708740234375</v>
      </c>
    </row>
    <row r="11" spans="1:32" ht="14.5">
      <c r="Q11" s="577" t="s">
        <v>176</v>
      </c>
      <c r="R11" s="577"/>
      <c r="S11" s="406">
        <f t="shared" ref="S11:AD11" si="8">_xlfn.STDEV.S(C12:C612)</f>
        <v>2.6370521141166705</v>
      </c>
      <c r="T11" s="407">
        <f t="shared" si="8"/>
        <v>1.6541841549958147</v>
      </c>
      <c r="U11" s="407">
        <f t="shared" si="8"/>
        <v>2.4213604653402885</v>
      </c>
      <c r="V11" s="407">
        <f t="shared" si="8"/>
        <v>2.0807962307578962</v>
      </c>
      <c r="W11" s="407">
        <f t="shared" si="8"/>
        <v>2.9873499768608047</v>
      </c>
      <c r="X11" s="407">
        <f t="shared" si="8"/>
        <v>1.1469100310991409</v>
      </c>
      <c r="Y11" s="407">
        <f t="shared" si="8"/>
        <v>0.22014095007107606</v>
      </c>
      <c r="Z11" s="407">
        <f t="shared" si="8"/>
        <v>7.0695671037863866E-2</v>
      </c>
      <c r="AA11" s="407">
        <f t="shared" si="8"/>
        <v>0.21997052881609463</v>
      </c>
      <c r="AB11" s="407">
        <f t="shared" si="8"/>
        <v>1.1335683582446969</v>
      </c>
      <c r="AC11" s="407">
        <f t="shared" si="8"/>
        <v>2.9374167906047637</v>
      </c>
      <c r="AD11" s="408">
        <f t="shared" si="8"/>
        <v>3.8946307471473176</v>
      </c>
    </row>
    <row r="12" spans="1:32" ht="14.5">
      <c r="B12" s="109"/>
      <c r="C12" s="337"/>
      <c r="D12" s="337"/>
      <c r="E12" s="337"/>
      <c r="F12" s="337"/>
      <c r="G12" s="337"/>
      <c r="H12" s="337"/>
      <c r="I12" s="337"/>
      <c r="J12" s="337"/>
      <c r="K12" s="337"/>
      <c r="L12" s="337"/>
      <c r="M12" s="337"/>
      <c r="N12" s="337"/>
      <c r="O12" s="337"/>
      <c r="Q12" s="569" t="s">
        <v>177</v>
      </c>
      <c r="R12" s="569"/>
      <c r="S12" s="409">
        <f t="shared" ref="S12:AD12" si="9">SKEW(C12:C612)</f>
        <v>-4.7853953799421131E-2</v>
      </c>
      <c r="T12" s="410">
        <f t="shared" si="9"/>
        <v>-0.41758739378015791</v>
      </c>
      <c r="U12" s="410">
        <f t="shared" si="9"/>
        <v>0.59400393805932616</v>
      </c>
      <c r="V12" s="410">
        <f t="shared" si="9"/>
        <v>-0.16773000796806797</v>
      </c>
      <c r="W12" s="410">
        <f t="shared" si="9"/>
        <v>0.34115392019760549</v>
      </c>
      <c r="X12" s="410">
        <f t="shared" si="9"/>
        <v>0.29078528519596814</v>
      </c>
      <c r="Y12" s="410">
        <f t="shared" si="9"/>
        <v>0.49959535181252696</v>
      </c>
      <c r="Z12" s="410">
        <f t="shared" si="9"/>
        <v>0.73086298841141262</v>
      </c>
      <c r="AA12" s="410">
        <f t="shared" si="9"/>
        <v>0.74327674595915971</v>
      </c>
      <c r="AB12" s="410">
        <f t="shared" si="9"/>
        <v>1.0996508777010476</v>
      </c>
      <c r="AC12" s="410">
        <f t="shared" si="9"/>
        <v>0.9740202600566702</v>
      </c>
      <c r="AD12" s="411">
        <f t="shared" si="9"/>
        <v>-7.8175774206663329E-2</v>
      </c>
    </row>
    <row r="13" spans="1:32" ht="16">
      <c r="B13" s="615" t="s">
        <v>32</v>
      </c>
      <c r="C13" s="617" t="s">
        <v>191</v>
      </c>
      <c r="D13" s="617"/>
      <c r="E13" s="617"/>
      <c r="F13" s="617"/>
      <c r="G13" s="617"/>
      <c r="H13" s="617"/>
      <c r="I13" s="617"/>
      <c r="J13" s="617"/>
      <c r="K13" s="617"/>
      <c r="L13" s="617"/>
      <c r="M13" s="617"/>
      <c r="N13" s="618"/>
      <c r="O13" s="619" t="s">
        <v>192</v>
      </c>
    </row>
    <row r="14" spans="1:32" ht="14.5">
      <c r="B14" s="616"/>
      <c r="C14" s="51" t="s">
        <v>193</v>
      </c>
      <c r="D14" s="51" t="s">
        <v>194</v>
      </c>
      <c r="E14" s="51" t="s">
        <v>195</v>
      </c>
      <c r="F14" s="51" t="s">
        <v>196</v>
      </c>
      <c r="G14" s="51" t="s">
        <v>197</v>
      </c>
      <c r="H14" s="51" t="s">
        <v>198</v>
      </c>
      <c r="I14" s="51" t="s">
        <v>199</v>
      </c>
      <c r="J14" s="51" t="s">
        <v>200</v>
      </c>
      <c r="K14" s="51" t="s">
        <v>201</v>
      </c>
      <c r="L14" s="51" t="s">
        <v>202</v>
      </c>
      <c r="M14" s="51" t="s">
        <v>203</v>
      </c>
      <c r="N14" s="50" t="s">
        <v>204</v>
      </c>
      <c r="O14" s="620"/>
    </row>
    <row r="15" spans="1:32" ht="13">
      <c r="B15" s="538" t="s">
        <v>205</v>
      </c>
      <c r="C15" s="533">
        <v>13.545962333679199</v>
      </c>
      <c r="D15" s="533">
        <v>11.747461318969727</v>
      </c>
      <c r="E15" s="533">
        <v>12.20201301574707</v>
      </c>
      <c r="F15" s="533">
        <v>15.218755722045898</v>
      </c>
      <c r="G15" s="533">
        <v>12.126928329467773</v>
      </c>
      <c r="H15" s="533">
        <v>4.6181840896606445</v>
      </c>
      <c r="I15" s="533">
        <v>1.0645086765289307</v>
      </c>
      <c r="J15" s="533">
        <v>0.4694284200668335</v>
      </c>
      <c r="K15" s="533">
        <v>0.80473828315734863</v>
      </c>
      <c r="L15" s="533">
        <v>2.3215939998626709</v>
      </c>
      <c r="M15" s="533">
        <v>5.1065430641174316</v>
      </c>
      <c r="N15" s="535">
        <v>12.981513977050781</v>
      </c>
      <c r="O15" s="541">
        <f t="shared" ref="O15:O35" si="10">MAX(C15:N15) - MIN(C15:N15)</f>
        <v>14.749327301979065</v>
      </c>
      <c r="P15" s="207"/>
      <c r="S15" s="608" t="s">
        <v>206</v>
      </c>
      <c r="T15" s="608"/>
      <c r="U15" s="608"/>
      <c r="V15" s="608"/>
      <c r="W15" s="608"/>
      <c r="X15" s="608"/>
      <c r="Y15" s="608"/>
      <c r="Z15" s="608"/>
      <c r="AA15" s="608"/>
      <c r="AB15" s="608"/>
      <c r="AC15" s="608"/>
      <c r="AD15" s="608"/>
    </row>
    <row r="16" spans="1:32" ht="13">
      <c r="B16" s="539" t="s">
        <v>207</v>
      </c>
      <c r="C16" s="532">
        <v>16.794256210327148</v>
      </c>
      <c r="D16" s="532">
        <v>8.7175865173339844</v>
      </c>
      <c r="E16" s="532">
        <v>16.352670669555664</v>
      </c>
      <c r="F16" s="532">
        <v>13.571713447570801</v>
      </c>
      <c r="G16" s="532">
        <v>13.358128547668457</v>
      </c>
      <c r="H16" s="532">
        <v>5.177278995513916</v>
      </c>
      <c r="I16" s="532">
        <v>1.1413267850875854</v>
      </c>
      <c r="J16" s="532">
        <v>0.4724697470664978</v>
      </c>
      <c r="K16" s="532">
        <v>0.37693983316421509</v>
      </c>
      <c r="L16" s="532">
        <v>2.9658784866333008</v>
      </c>
      <c r="M16" s="532">
        <v>7.3560948371887207</v>
      </c>
      <c r="N16" s="536">
        <v>11.694671630859375</v>
      </c>
      <c r="O16" s="542">
        <f t="shared" si="10"/>
        <v>16.417316377162933</v>
      </c>
      <c r="P16" s="207"/>
      <c r="Q16" s="609"/>
      <c r="R16" s="610"/>
      <c r="S16" s="56" t="str">
        <f t="shared" ref="S16:AD16" si="11">C14</f>
        <v>Jan</v>
      </c>
      <c r="T16" s="56" t="str">
        <f t="shared" si="11"/>
        <v>Feb</v>
      </c>
      <c r="U16" s="56" t="str">
        <f t="shared" si="11"/>
        <v>Mar</v>
      </c>
      <c r="V16" s="56" t="str">
        <f t="shared" si="11"/>
        <v>Apr</v>
      </c>
      <c r="W16" s="56" t="str">
        <f t="shared" si="11"/>
        <v>May</v>
      </c>
      <c r="X16" s="56" t="str">
        <f t="shared" si="11"/>
        <v>Jun</v>
      </c>
      <c r="Y16" s="56" t="str">
        <f t="shared" si="11"/>
        <v>Jul</v>
      </c>
      <c r="Z16" s="56" t="str">
        <f t="shared" si="11"/>
        <v>Aug</v>
      </c>
      <c r="AA16" s="56" t="str">
        <f t="shared" si="11"/>
        <v>Sep</v>
      </c>
      <c r="AB16" s="56" t="str">
        <f t="shared" si="11"/>
        <v>Oct</v>
      </c>
      <c r="AC16" s="56" t="str">
        <f t="shared" si="11"/>
        <v>Nov</v>
      </c>
      <c r="AD16" s="57" t="str">
        <f t="shared" si="11"/>
        <v>Dec</v>
      </c>
    </row>
    <row r="17" spans="2:30">
      <c r="B17" s="539" t="s">
        <v>208</v>
      </c>
      <c r="C17" s="532">
        <v>14.503276824951172</v>
      </c>
      <c r="D17" s="532">
        <v>14.505523681640625</v>
      </c>
      <c r="E17" s="532">
        <v>13.18645191192627</v>
      </c>
      <c r="F17" s="532">
        <v>15.144795417785645</v>
      </c>
      <c r="G17" s="532">
        <v>10.689840316772461</v>
      </c>
      <c r="H17" s="532">
        <v>4.7894454002380371</v>
      </c>
      <c r="I17" s="532">
        <v>1.1124948263168335</v>
      </c>
      <c r="J17" s="532">
        <v>0.50251102447509766</v>
      </c>
      <c r="K17" s="532">
        <v>0.47787845134735107</v>
      </c>
      <c r="L17" s="532">
        <v>3.2715961933135986</v>
      </c>
      <c r="M17" s="532">
        <v>8.4676332473754883</v>
      </c>
      <c r="N17" s="536">
        <v>14.289956092834473</v>
      </c>
      <c r="O17" s="542">
        <f t="shared" si="10"/>
        <v>14.666916966438293</v>
      </c>
      <c r="P17" s="207"/>
      <c r="Q17" s="611" t="s">
        <v>209</v>
      </c>
      <c r="R17" s="612"/>
      <c r="S17" s="58">
        <v>0.190476194024086</v>
      </c>
      <c r="T17" s="59">
        <v>0</v>
      </c>
      <c r="U17" s="59">
        <v>0</v>
      </c>
      <c r="V17" s="59">
        <v>9.5238097012042999E-2</v>
      </c>
      <c r="W17" s="59">
        <v>0.190476194024086</v>
      </c>
      <c r="X17" s="59">
        <v>0</v>
      </c>
      <c r="Y17" s="59">
        <v>0</v>
      </c>
      <c r="Z17" s="59">
        <v>0</v>
      </c>
      <c r="AA17" s="59">
        <v>0</v>
      </c>
      <c r="AB17" s="59">
        <v>0</v>
      </c>
      <c r="AC17" s="59">
        <v>0</v>
      </c>
      <c r="AD17" s="60">
        <v>0.52380955219268799</v>
      </c>
    </row>
    <row r="18" spans="2:30">
      <c r="B18" s="539" t="s">
        <v>210</v>
      </c>
      <c r="C18" s="532">
        <v>11.507701873779297</v>
      </c>
      <c r="D18" s="532">
        <v>10.806739807128906</v>
      </c>
      <c r="E18" s="532">
        <v>11.173592567443848</v>
      </c>
      <c r="F18" s="532">
        <v>11.190613746643066</v>
      </c>
      <c r="G18" s="532">
        <v>14.027040481567383</v>
      </c>
      <c r="H18" s="532">
        <v>6.1683812141418457</v>
      </c>
      <c r="I18" s="532">
        <v>1.3343530893325806</v>
      </c>
      <c r="J18" s="532">
        <v>0.50165563821792603</v>
      </c>
      <c r="K18" s="532">
        <v>0.36047890782356262</v>
      </c>
      <c r="L18" s="532">
        <v>2.5453958511352539</v>
      </c>
      <c r="M18" s="532">
        <v>10.988697052001953</v>
      </c>
      <c r="N18" s="536">
        <v>18.874856948852539</v>
      </c>
      <c r="O18" s="542">
        <f t="shared" si="10"/>
        <v>18.514378041028976</v>
      </c>
      <c r="P18" s="207"/>
      <c r="Q18" s="613" t="s">
        <v>211</v>
      </c>
      <c r="R18" s="614"/>
      <c r="S18" s="61">
        <v>0</v>
      </c>
      <c r="T18" s="62">
        <v>0</v>
      </c>
      <c r="U18" s="62">
        <v>0</v>
      </c>
      <c r="V18" s="62">
        <v>0</v>
      </c>
      <c r="W18" s="62">
        <v>0</v>
      </c>
      <c r="X18" s="62">
        <v>0</v>
      </c>
      <c r="Y18" s="62">
        <v>0</v>
      </c>
      <c r="Z18" s="62">
        <v>0.57142859697341919</v>
      </c>
      <c r="AA18" s="62">
        <v>0.4285714328289032</v>
      </c>
      <c r="AB18" s="62">
        <v>0</v>
      </c>
      <c r="AC18" s="62">
        <v>0</v>
      </c>
      <c r="AD18" s="63">
        <v>0</v>
      </c>
    </row>
    <row r="19" spans="2:30">
      <c r="B19" s="539" t="s">
        <v>212</v>
      </c>
      <c r="C19" s="532">
        <v>16.381269454956055</v>
      </c>
      <c r="D19" s="532">
        <v>13.207364082336426</v>
      </c>
      <c r="E19" s="532">
        <v>11.537077903747559</v>
      </c>
      <c r="F19" s="532">
        <v>13.448417663574219</v>
      </c>
      <c r="G19" s="532">
        <v>17.726602554321289</v>
      </c>
      <c r="H19" s="532">
        <v>7.0030651092529297</v>
      </c>
      <c r="I19" s="532">
        <v>1.5718752145767212</v>
      </c>
      <c r="J19" s="532">
        <v>0.61138373613357544</v>
      </c>
      <c r="K19" s="532">
        <v>0.51502180099487305</v>
      </c>
      <c r="L19" s="532">
        <v>1.6431722640991211</v>
      </c>
      <c r="M19" s="532">
        <v>7.3767447471618652</v>
      </c>
      <c r="N19" s="536">
        <v>12.651982307434082</v>
      </c>
      <c r="O19" s="542">
        <f t="shared" si="10"/>
        <v>17.211580753326416</v>
      </c>
      <c r="P19" s="207"/>
    </row>
    <row r="20" spans="2:30">
      <c r="B20" s="539" t="s">
        <v>213</v>
      </c>
      <c r="C20" s="532">
        <v>14.37298583984375</v>
      </c>
      <c r="D20" s="532">
        <v>12.314159393310547</v>
      </c>
      <c r="E20" s="532">
        <v>11.501395225524902</v>
      </c>
      <c r="F20" s="532">
        <v>16.607892990112305</v>
      </c>
      <c r="G20" s="532">
        <v>17.286998748779297</v>
      </c>
      <c r="H20" s="532">
        <v>5.3214187622070313</v>
      </c>
      <c r="I20" s="532">
        <v>1.2905395030975342</v>
      </c>
      <c r="J20" s="532">
        <v>0.56764787435531616</v>
      </c>
      <c r="K20" s="532">
        <v>0.53283745050430298</v>
      </c>
      <c r="L20" s="532">
        <v>3.4835958480834961</v>
      </c>
      <c r="M20" s="532">
        <v>8.5855684280395508</v>
      </c>
      <c r="N20" s="536">
        <v>17.956769943237305</v>
      </c>
      <c r="O20" s="542">
        <f t="shared" si="10"/>
        <v>17.423932492733002</v>
      </c>
      <c r="P20" s="207"/>
    </row>
    <row r="21" spans="2:30">
      <c r="B21" s="539" t="s">
        <v>214</v>
      </c>
      <c r="C21" s="532">
        <v>18.485536575317383</v>
      </c>
      <c r="D21" s="532">
        <v>12.886472702026367</v>
      </c>
      <c r="E21" s="532">
        <v>12.409113883972168</v>
      </c>
      <c r="F21" s="532">
        <v>10.667462348937988</v>
      </c>
      <c r="G21" s="532">
        <v>13.49222469329834</v>
      </c>
      <c r="H21" s="532">
        <v>5.9097428321838379</v>
      </c>
      <c r="I21" s="532">
        <v>1.3046919107437134</v>
      </c>
      <c r="J21" s="532">
        <v>0.54275614023208618</v>
      </c>
      <c r="K21" s="532">
        <v>0.65722751617431641</v>
      </c>
      <c r="L21" s="532">
        <v>5.4806113243103027</v>
      </c>
      <c r="M21" s="532">
        <v>13.211770057678223</v>
      </c>
      <c r="N21" s="536">
        <v>23.475831985473633</v>
      </c>
      <c r="O21" s="542">
        <f t="shared" si="10"/>
        <v>22.933075845241547</v>
      </c>
      <c r="P21" s="207"/>
    </row>
    <row r="22" spans="2:30">
      <c r="B22" s="539" t="s">
        <v>215</v>
      </c>
      <c r="C22" s="532">
        <v>16.766870498657227</v>
      </c>
      <c r="D22" s="532">
        <v>12.991362571716309</v>
      </c>
      <c r="E22" s="532">
        <v>10.935993194580078</v>
      </c>
      <c r="F22" s="532">
        <v>14.860710144042969</v>
      </c>
      <c r="G22" s="532">
        <v>19.971099853515625</v>
      </c>
      <c r="H22" s="532">
        <v>6.6573100090026855</v>
      </c>
      <c r="I22" s="532">
        <v>1.5115422010421753</v>
      </c>
      <c r="J22" s="532">
        <v>0.65658813714981079</v>
      </c>
      <c r="K22" s="532">
        <v>0.78495264053344727</v>
      </c>
      <c r="L22" s="532">
        <v>3.4473598003387451</v>
      </c>
      <c r="M22" s="532">
        <v>10.493453025817871</v>
      </c>
      <c r="N22" s="536">
        <v>17.756063461303711</v>
      </c>
      <c r="O22" s="542">
        <f t="shared" si="10"/>
        <v>19.314511716365814</v>
      </c>
      <c r="P22" s="207"/>
    </row>
    <row r="23" spans="2:30">
      <c r="B23" s="539" t="s">
        <v>216</v>
      </c>
      <c r="C23" s="532">
        <v>16.904592514038086</v>
      </c>
      <c r="D23" s="532">
        <v>9.3760404586791992</v>
      </c>
      <c r="E23" s="532">
        <v>8.5016727447509766</v>
      </c>
      <c r="F23" s="532">
        <v>13.178936004638672</v>
      </c>
      <c r="G23" s="532">
        <v>17.46221923828125</v>
      </c>
      <c r="H23" s="532">
        <v>6.6775097846984863</v>
      </c>
      <c r="I23" s="532">
        <v>1.5369611978530884</v>
      </c>
      <c r="J23" s="532">
        <v>0.58144611120223999</v>
      </c>
      <c r="K23" s="532">
        <v>0.52549350261688232</v>
      </c>
      <c r="L23" s="532">
        <v>3.1476302146911621</v>
      </c>
      <c r="M23" s="532">
        <v>6.9812932014465332</v>
      </c>
      <c r="N23" s="536">
        <v>17.752519607543945</v>
      </c>
      <c r="O23" s="542">
        <f t="shared" si="10"/>
        <v>17.227026104927063</v>
      </c>
      <c r="P23" s="207"/>
    </row>
    <row r="24" spans="2:30">
      <c r="B24" s="539" t="s">
        <v>217</v>
      </c>
      <c r="C24" s="532">
        <v>19.403190612792969</v>
      </c>
      <c r="D24" s="532">
        <v>10.653553009033203</v>
      </c>
      <c r="E24" s="532">
        <v>12.433305740356445</v>
      </c>
      <c r="F24" s="532">
        <v>10.550736427307129</v>
      </c>
      <c r="G24" s="532">
        <v>11.03837776184082</v>
      </c>
      <c r="H24" s="532">
        <v>5.3754281997680664</v>
      </c>
      <c r="I24" s="532">
        <v>1.2072240114212036</v>
      </c>
      <c r="J24" s="532">
        <v>0.4883846640586853</v>
      </c>
      <c r="K24" s="532">
        <v>0.4870108962059021</v>
      </c>
      <c r="L24" s="532">
        <v>1.5896819829940796</v>
      </c>
      <c r="M24" s="532">
        <v>3.8563694953918457</v>
      </c>
      <c r="N24" s="536">
        <v>5.3651809692382813</v>
      </c>
      <c r="O24" s="542">
        <f t="shared" si="10"/>
        <v>18.916179716587067</v>
      </c>
      <c r="P24" s="207"/>
    </row>
    <row r="25" spans="2:30">
      <c r="B25" s="539" t="s">
        <v>218</v>
      </c>
      <c r="C25" s="532">
        <v>10.419839859008789</v>
      </c>
      <c r="D25" s="532">
        <v>9.1706695556640625</v>
      </c>
      <c r="E25" s="532">
        <v>8.0987911224365234</v>
      </c>
      <c r="F25" s="532">
        <v>11.020750999450684</v>
      </c>
      <c r="G25" s="532">
        <v>10.928909301757813</v>
      </c>
      <c r="H25" s="532">
        <v>3.933758020401001</v>
      </c>
      <c r="I25" s="532">
        <v>0.90668171644210815</v>
      </c>
      <c r="J25" s="532">
        <v>0.41032230854034424</v>
      </c>
      <c r="K25" s="532">
        <v>0.42527550458908081</v>
      </c>
      <c r="L25" s="532">
        <v>2.7790215015411377</v>
      </c>
      <c r="M25" s="532">
        <v>3.5612266063690186</v>
      </c>
      <c r="N25" s="536">
        <v>12.314852714538574</v>
      </c>
      <c r="O25" s="542">
        <f t="shared" si="10"/>
        <v>11.90453040599823</v>
      </c>
      <c r="P25" s="207"/>
    </row>
    <row r="26" spans="2:30">
      <c r="B26" s="539" t="s">
        <v>219</v>
      </c>
      <c r="C26" s="532">
        <v>12.521434783935547</v>
      </c>
      <c r="D26" s="532">
        <v>9.9079189300537109</v>
      </c>
      <c r="E26" s="532">
        <v>13.780454635620117</v>
      </c>
      <c r="F26" s="532">
        <v>13.580005645751953</v>
      </c>
      <c r="G26" s="532">
        <v>16.230497360229492</v>
      </c>
      <c r="H26" s="532">
        <v>4.7081518173217773</v>
      </c>
      <c r="I26" s="532">
        <v>1.1666420698165894</v>
      </c>
      <c r="J26" s="532">
        <v>0.51961827278137207</v>
      </c>
      <c r="K26" s="532">
        <v>0.59523552656173706</v>
      </c>
      <c r="L26" s="532">
        <v>2.5890536308288574</v>
      </c>
      <c r="M26" s="532">
        <v>3.999110221862793</v>
      </c>
      <c r="N26" s="536">
        <v>11.012543678283691</v>
      </c>
      <c r="O26" s="542">
        <f t="shared" si="10"/>
        <v>15.71087908744812</v>
      </c>
      <c r="P26" s="207"/>
    </row>
    <row r="27" spans="2:30">
      <c r="B27" s="539" t="s">
        <v>220</v>
      </c>
      <c r="C27" s="532">
        <v>12.0047607421875</v>
      </c>
      <c r="D27" s="532">
        <v>12.065673828125</v>
      </c>
      <c r="E27" s="532">
        <v>11.633415222167969</v>
      </c>
      <c r="F27" s="532">
        <v>12.795235633850098</v>
      </c>
      <c r="G27" s="532">
        <v>14.458782196044922</v>
      </c>
      <c r="H27" s="532">
        <v>4.1161913871765137</v>
      </c>
      <c r="I27" s="532">
        <v>1.0267946720123291</v>
      </c>
      <c r="J27" s="532">
        <v>0.47445693612098694</v>
      </c>
      <c r="K27" s="532">
        <v>0.80536895990371704</v>
      </c>
      <c r="L27" s="532">
        <v>4.2686614990234375</v>
      </c>
      <c r="M27" s="532">
        <v>5.6060805320739746</v>
      </c>
      <c r="N27" s="536">
        <v>14.037235260009766</v>
      </c>
      <c r="O27" s="542">
        <f t="shared" si="10"/>
        <v>13.984325259923935</v>
      </c>
      <c r="P27" s="207"/>
    </row>
    <row r="28" spans="2:30">
      <c r="B28" s="539" t="s">
        <v>221</v>
      </c>
      <c r="C28" s="532">
        <v>14.361581802368164</v>
      </c>
      <c r="D28" s="532">
        <v>12.844656944274902</v>
      </c>
      <c r="E28" s="532">
        <v>11.399529457092285</v>
      </c>
      <c r="F28" s="532">
        <v>10.590134620666504</v>
      </c>
      <c r="G28" s="532">
        <v>11.383891105651855</v>
      </c>
      <c r="H28" s="532">
        <v>4.5030646324157715</v>
      </c>
      <c r="I28" s="532">
        <v>1.035979151725769</v>
      </c>
      <c r="J28" s="532">
        <v>0.44395768642425537</v>
      </c>
      <c r="K28" s="532">
        <v>0.79137206077575684</v>
      </c>
      <c r="L28" s="532">
        <v>5.9615392684936523</v>
      </c>
      <c r="M28" s="532">
        <v>14.821142196655273</v>
      </c>
      <c r="N28" s="536">
        <v>19.667751312255859</v>
      </c>
      <c r="O28" s="542">
        <f t="shared" si="10"/>
        <v>19.223793625831604</v>
      </c>
      <c r="P28" s="207"/>
    </row>
    <row r="29" spans="2:30">
      <c r="B29" s="539" t="s">
        <v>222</v>
      </c>
      <c r="C29" s="532">
        <v>15.121555328369141</v>
      </c>
      <c r="D29" s="532">
        <v>13.573872566223145</v>
      </c>
      <c r="E29" s="532">
        <v>15.863386154174805</v>
      </c>
      <c r="F29" s="532">
        <v>14.364606857299805</v>
      </c>
      <c r="G29" s="532">
        <v>9.6323051452636719</v>
      </c>
      <c r="H29" s="532">
        <v>3.3713879585266113</v>
      </c>
      <c r="I29" s="532">
        <v>0.87557750940322876</v>
      </c>
      <c r="J29" s="532">
        <v>0.42182210087776184</v>
      </c>
      <c r="K29" s="532">
        <v>0.55556666851043701</v>
      </c>
      <c r="L29" s="532">
        <v>2.1859288215637207</v>
      </c>
      <c r="M29" s="532">
        <v>7.0796847343444824</v>
      </c>
      <c r="N29" s="536">
        <v>16.951593399047852</v>
      </c>
      <c r="O29" s="542">
        <f t="shared" si="10"/>
        <v>16.52977129817009</v>
      </c>
      <c r="P29" s="207"/>
    </row>
    <row r="30" spans="2:30">
      <c r="B30" s="539" t="s">
        <v>223</v>
      </c>
      <c r="C30" s="532">
        <v>14.138063430786133</v>
      </c>
      <c r="D30" s="532">
        <v>13.655259132385254</v>
      </c>
      <c r="E30" s="532">
        <v>10.168330192565918</v>
      </c>
      <c r="F30" s="532">
        <v>13.152758598327637</v>
      </c>
      <c r="G30" s="532">
        <v>10.912752151489258</v>
      </c>
      <c r="H30" s="532">
        <v>4.8456835746765137</v>
      </c>
      <c r="I30" s="532">
        <v>1.0596787929534912</v>
      </c>
      <c r="J30" s="532">
        <v>0.45671916007995605</v>
      </c>
      <c r="K30" s="532">
        <v>0.31015095114707947</v>
      </c>
      <c r="L30" s="532">
        <v>2.2616324424743652</v>
      </c>
      <c r="M30" s="532">
        <v>5.6583709716796875</v>
      </c>
      <c r="N30" s="536">
        <v>10.394870758056641</v>
      </c>
      <c r="O30" s="542">
        <f t="shared" si="10"/>
        <v>13.827912479639053</v>
      </c>
      <c r="P30" s="207"/>
    </row>
    <row r="31" spans="2:30">
      <c r="B31" s="539" t="s">
        <v>224</v>
      </c>
      <c r="C31" s="532">
        <v>13.55866527557373</v>
      </c>
      <c r="D31" s="532">
        <v>11.257057189941406</v>
      </c>
      <c r="E31" s="532">
        <v>9.1410341262817383</v>
      </c>
      <c r="F31" s="532">
        <v>8.6432828903198242</v>
      </c>
      <c r="G31" s="532">
        <v>13.845773696899414</v>
      </c>
      <c r="H31" s="532">
        <v>6.4980320930480957</v>
      </c>
      <c r="I31" s="532">
        <v>1.3252031803131104</v>
      </c>
      <c r="J31" s="532">
        <v>0.51958370208740234</v>
      </c>
      <c r="K31" s="532">
        <v>0.55524098873138428</v>
      </c>
      <c r="L31" s="532">
        <v>2.3790931701660156</v>
      </c>
      <c r="M31" s="532">
        <v>6.0633964538574219</v>
      </c>
      <c r="N31" s="536">
        <v>14.416876792907715</v>
      </c>
      <c r="O31" s="542">
        <f t="shared" si="10"/>
        <v>13.897293090820313</v>
      </c>
      <c r="P31" s="207"/>
    </row>
    <row r="32" spans="2:30">
      <c r="B32" s="539" t="s">
        <v>225</v>
      </c>
      <c r="C32" s="532">
        <v>12.947037696838379</v>
      </c>
      <c r="D32" s="532">
        <v>12.395981788635254</v>
      </c>
      <c r="E32" s="532">
        <v>9.1851844787597656</v>
      </c>
      <c r="F32" s="532">
        <v>11.581832885742188</v>
      </c>
      <c r="G32" s="532">
        <v>13.144639015197754</v>
      </c>
      <c r="H32" s="532">
        <v>3.639047384262085</v>
      </c>
      <c r="I32" s="532">
        <v>0.92626851797103882</v>
      </c>
      <c r="J32" s="532">
        <v>0.4232650101184845</v>
      </c>
      <c r="K32" s="532">
        <v>1.1440483331680298</v>
      </c>
      <c r="L32" s="532">
        <v>3.9715397357940674</v>
      </c>
      <c r="M32" s="532">
        <v>8.8750934600830078</v>
      </c>
      <c r="N32" s="536">
        <v>15.341614723205566</v>
      </c>
      <c r="O32" s="542">
        <f t="shared" si="10"/>
        <v>14.918349713087082</v>
      </c>
      <c r="P32" s="207"/>
    </row>
    <row r="33" spans="2:18">
      <c r="B33" s="539" t="s">
        <v>226</v>
      </c>
      <c r="C33" s="532">
        <v>18.099506378173828</v>
      </c>
      <c r="D33" s="532">
        <v>12.457757949829102</v>
      </c>
      <c r="E33" s="532">
        <v>16.793914794921875</v>
      </c>
      <c r="F33" s="532">
        <v>16.215034484863281</v>
      </c>
      <c r="G33" s="532">
        <v>16.110055923461914</v>
      </c>
      <c r="H33" s="532">
        <v>7.2789402008056641</v>
      </c>
      <c r="I33" s="532">
        <v>1.5791847705841064</v>
      </c>
      <c r="J33" s="532">
        <v>0.6338045597076416</v>
      </c>
      <c r="K33" s="532">
        <v>0.8791201114654541</v>
      </c>
      <c r="L33" s="532">
        <v>4.0372562408447266</v>
      </c>
      <c r="M33" s="532">
        <v>8.0815105438232422</v>
      </c>
      <c r="N33" s="536">
        <v>12.667017936706543</v>
      </c>
      <c r="O33" s="542">
        <f t="shared" si="10"/>
        <v>17.465701818466187</v>
      </c>
      <c r="P33" s="207"/>
    </row>
    <row r="34" spans="2:18">
      <c r="B34" s="539" t="s">
        <v>227</v>
      </c>
      <c r="C34" s="532">
        <v>9.4067134857177734</v>
      </c>
      <c r="D34" s="532">
        <v>9.6316986083984375</v>
      </c>
      <c r="E34" s="532">
        <v>9.4562215805053711</v>
      </c>
      <c r="F34" s="532">
        <v>12.285130500793457</v>
      </c>
      <c r="G34" s="532">
        <v>8.5523900985717773</v>
      </c>
      <c r="H34" s="532">
        <v>4.8620734214782715</v>
      </c>
      <c r="I34" s="532">
        <v>1.0512374639511108</v>
      </c>
      <c r="J34" s="532">
        <v>0.43641507625579834</v>
      </c>
      <c r="K34" s="532">
        <v>0.38344234228134155</v>
      </c>
      <c r="L34" s="532">
        <v>2.2302346229553223</v>
      </c>
      <c r="M34" s="532">
        <v>5.7583184242248535</v>
      </c>
      <c r="N34" s="536">
        <v>13.950228691101074</v>
      </c>
      <c r="O34" s="542">
        <f t="shared" si="10"/>
        <v>13.566786348819733</v>
      </c>
      <c r="P34" s="207"/>
    </row>
    <row r="35" spans="2:18">
      <c r="B35" s="540" t="s">
        <v>228</v>
      </c>
      <c r="C35" s="534">
        <v>14.89881706237793</v>
      </c>
      <c r="D35" s="534">
        <v>12.743914604187012</v>
      </c>
      <c r="E35" s="534">
        <v>12.223958969116211</v>
      </c>
      <c r="F35" s="534">
        <v>14.221006393432617</v>
      </c>
      <c r="G35" s="534">
        <v>14.071794509887695</v>
      </c>
      <c r="H35" s="534">
        <v>4.0915498733520508</v>
      </c>
      <c r="I35" s="534">
        <v>1.0294731855392456</v>
      </c>
      <c r="J35" s="534">
        <v>0.48090243339538574</v>
      </c>
      <c r="K35" s="534">
        <v>0.95061606168746948</v>
      </c>
      <c r="L35" s="534">
        <v>2.9164323806762695</v>
      </c>
      <c r="M35" s="534">
        <v>6.2513861656188965</v>
      </c>
      <c r="N35" s="537">
        <v>16.44744873046875</v>
      </c>
      <c r="O35" s="543">
        <f t="shared" si="10"/>
        <v>15.966546297073364</v>
      </c>
      <c r="P35" s="207"/>
    </row>
    <row r="36" spans="2:18">
      <c r="B36" s="109"/>
      <c r="C36" s="337"/>
      <c r="D36" s="337"/>
      <c r="E36" s="337"/>
      <c r="F36" s="337"/>
      <c r="G36" s="337"/>
      <c r="H36" s="337"/>
      <c r="I36" s="337"/>
      <c r="J36" s="337"/>
      <c r="K36" s="337"/>
      <c r="L36" s="337"/>
      <c r="M36" s="337"/>
      <c r="N36" s="337"/>
      <c r="O36" s="46"/>
      <c r="P36" s="207"/>
    </row>
    <row r="37" spans="2:18">
      <c r="B37" s="109"/>
      <c r="C37" s="337"/>
      <c r="D37" s="337"/>
      <c r="E37" s="337"/>
      <c r="F37" s="337"/>
      <c r="G37" s="337"/>
      <c r="H37" s="337"/>
      <c r="I37" s="337"/>
      <c r="J37" s="337"/>
      <c r="K37" s="337"/>
      <c r="L37" s="337"/>
      <c r="M37" s="337"/>
      <c r="N37" s="337"/>
      <c r="O37" s="46"/>
      <c r="P37" s="207"/>
    </row>
    <row r="38" spans="2:18">
      <c r="B38" s="109"/>
      <c r="C38" s="337"/>
      <c r="D38" s="337"/>
      <c r="E38" s="337"/>
      <c r="F38" s="337"/>
      <c r="G38" s="337"/>
      <c r="H38" s="337"/>
      <c r="I38" s="337"/>
      <c r="J38" s="337"/>
      <c r="K38" s="337"/>
      <c r="L38" s="337"/>
      <c r="M38" s="337"/>
      <c r="N38" s="337"/>
      <c r="O38" s="46"/>
      <c r="P38" s="207"/>
    </row>
    <row r="39" spans="2:18">
      <c r="B39" s="109"/>
      <c r="C39" s="337"/>
      <c r="D39" s="337"/>
      <c r="E39" s="337"/>
      <c r="F39" s="337"/>
      <c r="G39" s="337"/>
      <c r="H39" s="337"/>
      <c r="I39" s="337"/>
      <c r="J39" s="337"/>
      <c r="K39" s="337"/>
      <c r="L39" s="337"/>
      <c r="M39" s="337"/>
      <c r="N39" s="337"/>
      <c r="O39" s="46"/>
      <c r="P39" s="207"/>
    </row>
    <row r="40" spans="2:18">
      <c r="B40" s="109"/>
      <c r="C40" s="337"/>
      <c r="D40" s="337"/>
      <c r="E40" s="337"/>
      <c r="F40" s="337"/>
      <c r="G40" s="337"/>
      <c r="H40" s="337"/>
      <c r="I40" s="337"/>
      <c r="J40" s="337"/>
      <c r="K40" s="337"/>
      <c r="L40" s="337"/>
      <c r="M40" s="337"/>
      <c r="N40" s="337"/>
      <c r="O40" s="46"/>
      <c r="P40" s="207"/>
    </row>
    <row r="41" spans="2:18">
      <c r="B41" s="109"/>
      <c r="C41" s="337"/>
      <c r="D41" s="337"/>
      <c r="E41" s="337"/>
      <c r="F41" s="337"/>
      <c r="G41" s="337"/>
      <c r="H41" s="337"/>
      <c r="I41" s="337"/>
      <c r="J41" s="337"/>
      <c r="K41" s="337"/>
      <c r="L41" s="337"/>
      <c r="M41" s="337"/>
      <c r="N41" s="337"/>
      <c r="O41" s="46"/>
      <c r="P41" s="207"/>
    </row>
    <row r="42" spans="2:18">
      <c r="B42" s="109"/>
      <c r="C42" s="337"/>
      <c r="D42" s="337"/>
      <c r="E42" s="337"/>
      <c r="F42" s="337"/>
      <c r="G42" s="337"/>
      <c r="H42" s="337"/>
      <c r="I42" s="337"/>
      <c r="J42" s="337"/>
      <c r="K42" s="337"/>
      <c r="L42" s="337"/>
      <c r="M42" s="337"/>
      <c r="N42" s="337"/>
      <c r="O42" s="46"/>
      <c r="P42" s="207"/>
    </row>
    <row r="43" spans="2:18">
      <c r="B43" s="109"/>
      <c r="C43" s="337"/>
      <c r="D43" s="337"/>
      <c r="E43" s="337"/>
      <c r="F43" s="337"/>
      <c r="G43" s="337"/>
      <c r="H43" s="337"/>
      <c r="I43" s="337"/>
      <c r="J43" s="337"/>
      <c r="K43" s="337"/>
      <c r="L43" s="337"/>
      <c r="M43" s="337"/>
      <c r="N43" s="337"/>
      <c r="O43" s="46"/>
      <c r="P43" s="207"/>
    </row>
    <row r="44" spans="2:18">
      <c r="B44" s="109"/>
      <c r="C44" s="337"/>
      <c r="D44" s="337"/>
      <c r="E44" s="337"/>
      <c r="F44" s="337"/>
      <c r="G44" s="337"/>
      <c r="H44" s="337"/>
      <c r="I44" s="337"/>
      <c r="J44" s="337"/>
      <c r="K44" s="337"/>
      <c r="L44" s="337"/>
      <c r="M44" s="337"/>
      <c r="N44" s="337"/>
      <c r="O44" s="46"/>
      <c r="P44" s="207"/>
    </row>
    <row r="45" spans="2:18">
      <c r="B45" s="109"/>
      <c r="C45" s="337"/>
      <c r="D45" s="337"/>
      <c r="E45" s="337"/>
      <c r="F45" s="337"/>
      <c r="G45" s="337"/>
      <c r="H45" s="337"/>
      <c r="I45" s="337"/>
      <c r="J45" s="337"/>
      <c r="K45" s="337"/>
      <c r="L45" s="337"/>
      <c r="M45" s="337"/>
      <c r="N45" s="337"/>
      <c r="O45" s="46"/>
      <c r="P45" s="207"/>
    </row>
    <row r="46" spans="2:18">
      <c r="B46" s="109"/>
      <c r="C46" s="337"/>
      <c r="D46" s="337"/>
      <c r="E46" s="337"/>
      <c r="F46" s="337"/>
      <c r="G46" s="337"/>
      <c r="H46" s="337"/>
      <c r="I46" s="337"/>
      <c r="J46" s="337"/>
      <c r="K46" s="337"/>
      <c r="L46" s="337"/>
      <c r="M46" s="337"/>
      <c r="N46" s="337"/>
      <c r="O46" s="46"/>
      <c r="P46" s="207"/>
      <c r="R46" t="str">
        <f>UPPER(REPORTS!$AA$1)</f>
        <v>NAT_F</v>
      </c>
    </row>
    <row r="47" spans="2:18">
      <c r="B47" s="109"/>
      <c r="C47" s="337"/>
      <c r="D47" s="337"/>
      <c r="E47" s="337"/>
      <c r="F47" s="337"/>
      <c r="G47" s="337"/>
      <c r="H47" s="337"/>
      <c r="I47" s="337"/>
      <c r="J47" s="337"/>
      <c r="K47" s="337"/>
      <c r="L47" s="337"/>
      <c r="M47" s="337"/>
      <c r="N47" s="337"/>
      <c r="O47" s="46"/>
      <c r="P47" s="207"/>
      <c r="R47" s="43"/>
    </row>
    <row r="48" spans="2:18">
      <c r="B48" s="109"/>
      <c r="C48" s="337"/>
      <c r="D48" s="337"/>
      <c r="E48" s="337"/>
      <c r="F48" s="337"/>
      <c r="G48" s="337"/>
      <c r="H48" s="337"/>
      <c r="I48" s="337"/>
      <c r="J48" s="337"/>
      <c r="K48" s="337"/>
      <c r="L48" s="337"/>
      <c r="M48" s="337"/>
      <c r="N48" s="337"/>
      <c r="O48" s="46"/>
      <c r="P48" s="207"/>
      <c r="R48" s="43"/>
    </row>
    <row r="49" spans="2:18">
      <c r="B49" s="109"/>
      <c r="C49" s="337"/>
      <c r="D49" s="337"/>
      <c r="E49" s="337"/>
      <c r="F49" s="337"/>
      <c r="G49" s="337"/>
      <c r="H49" s="337"/>
      <c r="I49" s="337"/>
      <c r="J49" s="337"/>
      <c r="K49" s="337"/>
      <c r="L49" s="337"/>
      <c r="M49" s="337"/>
      <c r="N49" s="337"/>
      <c r="O49" s="46"/>
      <c r="P49" s="207"/>
      <c r="R49" s="43"/>
    </row>
    <row r="50" spans="2:18">
      <c r="B50" s="109"/>
      <c r="C50" s="337"/>
      <c r="D50" s="337"/>
      <c r="E50" s="337"/>
      <c r="F50" s="337"/>
      <c r="G50" s="337"/>
      <c r="H50" s="337"/>
      <c r="I50" s="337"/>
      <c r="J50" s="337"/>
      <c r="K50" s="337"/>
      <c r="L50" s="337"/>
      <c r="M50" s="337"/>
      <c r="N50" s="337"/>
      <c r="O50" s="46"/>
      <c r="P50" s="207"/>
      <c r="R50" s="43"/>
    </row>
    <row r="51" spans="2:18">
      <c r="B51" s="109"/>
      <c r="C51" s="337"/>
      <c r="D51" s="337"/>
      <c r="E51" s="337"/>
      <c r="F51" s="337"/>
      <c r="G51" s="337"/>
      <c r="H51" s="337"/>
      <c r="I51" s="337"/>
      <c r="J51" s="337"/>
      <c r="K51" s="337"/>
      <c r="L51" s="337"/>
      <c r="M51" s="337"/>
      <c r="N51" s="337"/>
      <c r="O51" s="46"/>
      <c r="P51" s="207"/>
      <c r="R51" s="43"/>
    </row>
    <row r="52" spans="2:18">
      <c r="B52" s="109"/>
      <c r="C52" s="337"/>
      <c r="D52" s="337"/>
      <c r="E52" s="337"/>
      <c r="F52" s="337"/>
      <c r="G52" s="337"/>
      <c r="H52" s="337"/>
      <c r="I52" s="337"/>
      <c r="J52" s="337"/>
      <c r="K52" s="337"/>
      <c r="L52" s="337"/>
      <c r="M52" s="337"/>
      <c r="N52" s="337"/>
      <c r="O52" s="46"/>
      <c r="P52" s="207"/>
      <c r="R52" s="43"/>
    </row>
    <row r="53" spans="2:18">
      <c r="B53" s="109"/>
      <c r="C53" s="337"/>
      <c r="D53" s="337"/>
      <c r="E53" s="337"/>
      <c r="F53" s="337"/>
      <c r="G53" s="337"/>
      <c r="H53" s="337"/>
      <c r="I53" s="337"/>
      <c r="J53" s="337"/>
      <c r="K53" s="337"/>
      <c r="L53" s="337"/>
      <c r="M53" s="337"/>
      <c r="N53" s="337"/>
      <c r="O53" s="46"/>
      <c r="P53" s="207"/>
      <c r="R53" s="43"/>
    </row>
    <row r="54" spans="2:18">
      <c r="B54" s="109"/>
      <c r="C54" s="337"/>
      <c r="D54" s="337"/>
      <c r="E54" s="337"/>
      <c r="F54" s="337"/>
      <c r="G54" s="337"/>
      <c r="H54" s="337"/>
      <c r="I54" s="337"/>
      <c r="J54" s="337"/>
      <c r="K54" s="337"/>
      <c r="L54" s="337"/>
      <c r="M54" s="337"/>
      <c r="N54" s="337"/>
      <c r="O54" s="46"/>
      <c r="P54" s="207"/>
      <c r="R54" s="43"/>
    </row>
    <row r="55" spans="2:18">
      <c r="B55" s="109"/>
      <c r="C55" s="337"/>
      <c r="D55" s="337"/>
      <c r="E55" s="337"/>
      <c r="F55" s="337"/>
      <c r="G55" s="337"/>
      <c r="H55" s="337"/>
      <c r="I55" s="337"/>
      <c r="J55" s="337"/>
      <c r="K55" s="337"/>
      <c r="L55" s="337"/>
      <c r="M55" s="337"/>
      <c r="N55" s="337"/>
      <c r="O55" s="46"/>
      <c r="P55" s="207"/>
      <c r="R55" s="43"/>
    </row>
    <row r="56" spans="2:18">
      <c r="B56" s="109"/>
      <c r="C56" s="337"/>
      <c r="D56" s="337"/>
      <c r="E56" s="337"/>
      <c r="F56" s="337"/>
      <c r="G56" s="337"/>
      <c r="H56" s="337"/>
      <c r="I56" s="337"/>
      <c r="J56" s="337"/>
      <c r="K56" s="337"/>
      <c r="L56" s="337"/>
      <c r="M56" s="337"/>
      <c r="N56" s="337"/>
      <c r="O56" s="46"/>
      <c r="P56" s="207"/>
      <c r="R56" s="43"/>
    </row>
    <row r="57" spans="2:18">
      <c r="B57" s="109"/>
      <c r="C57" s="337"/>
      <c r="D57" s="337"/>
      <c r="E57" s="337"/>
      <c r="F57" s="337"/>
      <c r="G57" s="337"/>
      <c r="H57" s="337"/>
      <c r="I57" s="337"/>
      <c r="J57" s="337"/>
      <c r="K57" s="337"/>
      <c r="L57" s="337"/>
      <c r="M57" s="337"/>
      <c r="N57" s="337"/>
      <c r="O57" s="46"/>
      <c r="P57" s="207"/>
      <c r="R57" s="43"/>
    </row>
    <row r="58" spans="2:18">
      <c r="B58" s="109"/>
      <c r="C58" s="337"/>
      <c r="D58" s="337"/>
      <c r="E58" s="337"/>
      <c r="F58" s="337"/>
      <c r="G58" s="337"/>
      <c r="H58" s="337"/>
      <c r="I58" s="337"/>
      <c r="J58" s="337"/>
      <c r="K58" s="337"/>
      <c r="L58" s="337"/>
      <c r="M58" s="337"/>
      <c r="N58" s="337"/>
      <c r="O58" s="46"/>
      <c r="P58" s="207"/>
      <c r="R58" s="43"/>
    </row>
    <row r="59" spans="2:18">
      <c r="B59" s="109"/>
      <c r="C59" s="337"/>
      <c r="D59" s="337"/>
      <c r="E59" s="337"/>
      <c r="F59" s="337"/>
      <c r="G59" s="337"/>
      <c r="H59" s="337"/>
      <c r="I59" s="337"/>
      <c r="J59" s="337"/>
      <c r="K59" s="337"/>
      <c r="L59" s="337"/>
      <c r="M59" s="337"/>
      <c r="N59" s="337"/>
      <c r="O59" s="46"/>
      <c r="P59" s="207"/>
      <c r="R59" s="43"/>
    </row>
    <row r="60" spans="2:18">
      <c r="B60" s="109"/>
      <c r="C60" s="337"/>
      <c r="D60" s="337"/>
      <c r="E60" s="337"/>
      <c r="F60" s="337"/>
      <c r="G60" s="337"/>
      <c r="H60" s="337"/>
      <c r="I60" s="337"/>
      <c r="J60" s="337"/>
      <c r="K60" s="337"/>
      <c r="L60" s="337"/>
      <c r="M60" s="337"/>
      <c r="N60" s="337"/>
      <c r="O60" s="46"/>
      <c r="P60" s="207"/>
      <c r="R60" s="43"/>
    </row>
    <row r="61" spans="2:18">
      <c r="B61" s="109"/>
      <c r="C61" s="337"/>
      <c r="D61" s="337"/>
      <c r="E61" s="337"/>
      <c r="F61" s="337"/>
      <c r="G61" s="337"/>
      <c r="H61" s="337"/>
      <c r="I61" s="337"/>
      <c r="J61" s="337"/>
      <c r="K61" s="337"/>
      <c r="L61" s="337"/>
      <c r="M61" s="337"/>
      <c r="N61" s="337"/>
      <c r="O61" s="46"/>
      <c r="P61" s="207"/>
      <c r="R61" s="43"/>
    </row>
    <row r="62" spans="2:18">
      <c r="B62" s="109"/>
      <c r="C62" s="337"/>
      <c r="D62" s="337"/>
      <c r="E62" s="337"/>
      <c r="F62" s="337"/>
      <c r="G62" s="337"/>
      <c r="H62" s="337"/>
      <c r="I62" s="337"/>
      <c r="J62" s="337"/>
      <c r="K62" s="337"/>
      <c r="L62" s="337"/>
      <c r="M62" s="337"/>
      <c r="N62" s="337"/>
      <c r="O62" s="46"/>
      <c r="P62" s="207"/>
      <c r="R62" s="43"/>
    </row>
    <row r="63" spans="2:18">
      <c r="B63" s="109"/>
      <c r="C63" s="337"/>
      <c r="D63" s="337"/>
      <c r="E63" s="337"/>
      <c r="F63" s="337"/>
      <c r="G63" s="337"/>
      <c r="H63" s="337"/>
      <c r="I63" s="337"/>
      <c r="J63" s="337"/>
      <c r="K63" s="337"/>
      <c r="L63" s="337"/>
      <c r="M63" s="337"/>
      <c r="N63" s="337"/>
      <c r="O63" s="46"/>
      <c r="P63" s="207"/>
      <c r="R63" s="43"/>
    </row>
    <row r="64" spans="2:18">
      <c r="B64" s="109"/>
      <c r="C64" s="337"/>
      <c r="D64" s="337"/>
      <c r="E64" s="337"/>
      <c r="F64" s="337"/>
      <c r="G64" s="337"/>
      <c r="H64" s="337"/>
      <c r="I64" s="337"/>
      <c r="J64" s="337"/>
      <c r="K64" s="337"/>
      <c r="L64" s="337"/>
      <c r="M64" s="337"/>
      <c r="N64" s="337"/>
      <c r="O64" s="46"/>
      <c r="P64" s="207"/>
      <c r="R64" s="43"/>
    </row>
    <row r="65" spans="2:18">
      <c r="B65" s="109"/>
      <c r="C65" s="337"/>
      <c r="D65" s="337"/>
      <c r="E65" s="337"/>
      <c r="F65" s="337"/>
      <c r="G65" s="337"/>
      <c r="H65" s="337"/>
      <c r="I65" s="337"/>
      <c r="J65" s="337"/>
      <c r="K65" s="337"/>
      <c r="L65" s="337"/>
      <c r="M65" s="337"/>
      <c r="N65" s="337"/>
      <c r="O65" s="46"/>
      <c r="P65" s="207"/>
      <c r="R65" s="43"/>
    </row>
    <row r="66" spans="2:18">
      <c r="B66" s="109"/>
      <c r="C66" s="337"/>
      <c r="D66" s="337"/>
      <c r="E66" s="337"/>
      <c r="F66" s="337"/>
      <c r="G66" s="337"/>
      <c r="H66" s="337"/>
      <c r="I66" s="337"/>
      <c r="J66" s="337"/>
      <c r="K66" s="337"/>
      <c r="L66" s="337"/>
      <c r="M66" s="337"/>
      <c r="N66" s="337"/>
      <c r="O66" s="46"/>
      <c r="P66" s="207"/>
      <c r="R66" s="43"/>
    </row>
    <row r="67" spans="2:18">
      <c r="B67" s="109"/>
      <c r="C67" s="337"/>
      <c r="D67" s="337"/>
      <c r="E67" s="337"/>
      <c r="F67" s="337"/>
      <c r="G67" s="337"/>
      <c r="H67" s="337"/>
      <c r="I67" s="337"/>
      <c r="J67" s="337"/>
      <c r="K67" s="337"/>
      <c r="L67" s="337"/>
      <c r="M67" s="337"/>
      <c r="N67" s="337"/>
      <c r="O67" s="46"/>
      <c r="P67" s="207"/>
      <c r="R67" s="43"/>
    </row>
    <row r="68" spans="2:18">
      <c r="B68" s="109"/>
      <c r="C68" s="337"/>
      <c r="D68" s="337"/>
      <c r="E68" s="337"/>
      <c r="F68" s="337"/>
      <c r="G68" s="337"/>
      <c r="H68" s="337"/>
      <c r="I68" s="337"/>
      <c r="J68" s="337"/>
      <c r="K68" s="337"/>
      <c r="L68" s="337"/>
      <c r="M68" s="337"/>
      <c r="N68" s="337"/>
      <c r="O68" s="46"/>
      <c r="P68" s="207"/>
      <c r="R68" s="43"/>
    </row>
    <row r="69" spans="2:18">
      <c r="B69" s="109"/>
      <c r="C69" s="337"/>
      <c r="D69" s="337"/>
      <c r="E69" s="337"/>
      <c r="F69" s="337"/>
      <c r="G69" s="337"/>
      <c r="H69" s="337"/>
      <c r="I69" s="337"/>
      <c r="J69" s="337"/>
      <c r="K69" s="337"/>
      <c r="L69" s="337"/>
      <c r="M69" s="337"/>
      <c r="N69" s="337"/>
      <c r="O69" s="46"/>
      <c r="P69" s="207"/>
      <c r="R69" s="43"/>
    </row>
    <row r="70" spans="2:18">
      <c r="B70" s="109"/>
      <c r="C70" s="337"/>
      <c r="D70" s="337"/>
      <c r="E70" s="337"/>
      <c r="F70" s="337"/>
      <c r="G70" s="337"/>
      <c r="H70" s="337"/>
      <c r="I70" s="337"/>
      <c r="J70" s="337"/>
      <c r="K70" s="337"/>
      <c r="L70" s="337"/>
      <c r="M70" s="337"/>
      <c r="N70" s="337"/>
      <c r="O70" s="46"/>
      <c r="P70" s="207"/>
      <c r="R70" s="43"/>
    </row>
    <row r="71" spans="2:18">
      <c r="B71" s="109"/>
      <c r="C71" s="337"/>
      <c r="D71" s="337"/>
      <c r="E71" s="337"/>
      <c r="F71" s="337"/>
      <c r="G71" s="337"/>
      <c r="H71" s="337"/>
      <c r="I71" s="337"/>
      <c r="J71" s="337"/>
      <c r="K71" s="337"/>
      <c r="L71" s="337"/>
      <c r="M71" s="337"/>
      <c r="N71" s="337"/>
      <c r="O71" s="46"/>
      <c r="P71" s="207"/>
      <c r="R71" s="43"/>
    </row>
    <row r="72" spans="2:18">
      <c r="B72" s="109"/>
      <c r="C72" s="337"/>
      <c r="D72" s="337"/>
      <c r="E72" s="337"/>
      <c r="F72" s="337"/>
      <c r="G72" s="337"/>
      <c r="H72" s="337"/>
      <c r="I72" s="337"/>
      <c r="J72" s="337"/>
      <c r="K72" s="337"/>
      <c r="L72" s="337"/>
      <c r="M72" s="337"/>
      <c r="N72" s="337"/>
      <c r="O72" s="46"/>
      <c r="P72" s="207"/>
      <c r="R72" s="43"/>
    </row>
    <row r="73" spans="2:18">
      <c r="B73" s="109"/>
      <c r="C73" s="337"/>
      <c r="D73" s="337"/>
      <c r="E73" s="337"/>
      <c r="F73" s="337"/>
      <c r="G73" s="337"/>
      <c r="H73" s="337"/>
      <c r="I73" s="337"/>
      <c r="J73" s="337"/>
      <c r="K73" s="337"/>
      <c r="L73" s="337"/>
      <c r="M73" s="337"/>
      <c r="N73" s="337"/>
      <c r="O73" s="46"/>
      <c r="P73" s="207"/>
      <c r="R73" s="43"/>
    </row>
    <row r="74" spans="2:18">
      <c r="B74" s="109"/>
      <c r="C74" s="337"/>
      <c r="D74" s="337"/>
      <c r="E74" s="337"/>
      <c r="F74" s="337"/>
      <c r="G74" s="337"/>
      <c r="H74" s="337"/>
      <c r="I74" s="337"/>
      <c r="J74" s="337"/>
      <c r="K74" s="337"/>
      <c r="L74" s="337"/>
      <c r="M74" s="337"/>
      <c r="N74" s="337"/>
      <c r="O74" s="46"/>
      <c r="P74" s="207"/>
      <c r="R74" s="43"/>
    </row>
    <row r="75" spans="2:18">
      <c r="B75" s="109"/>
      <c r="C75" s="337"/>
      <c r="D75" s="337"/>
      <c r="E75" s="337"/>
      <c r="F75" s="337"/>
      <c r="G75" s="337"/>
      <c r="H75" s="337"/>
      <c r="I75" s="337"/>
      <c r="J75" s="337"/>
      <c r="K75" s="337"/>
      <c r="L75" s="337"/>
      <c r="M75" s="337"/>
      <c r="N75" s="337"/>
      <c r="O75" s="46"/>
      <c r="P75" s="207"/>
      <c r="R75" s="43"/>
    </row>
    <row r="76" spans="2:18">
      <c r="B76" s="109"/>
      <c r="C76" s="337"/>
      <c r="D76" s="337"/>
      <c r="E76" s="337"/>
      <c r="F76" s="337"/>
      <c r="G76" s="337"/>
      <c r="H76" s="337"/>
      <c r="I76" s="337"/>
      <c r="J76" s="337"/>
      <c r="K76" s="337"/>
      <c r="L76" s="337"/>
      <c r="M76" s="337"/>
      <c r="N76" s="337"/>
      <c r="O76" s="46"/>
      <c r="P76" s="207"/>
      <c r="R76" s="43"/>
    </row>
    <row r="77" spans="2:18">
      <c r="B77" s="109"/>
      <c r="C77" s="337"/>
      <c r="D77" s="337"/>
      <c r="E77" s="337"/>
      <c r="F77" s="337"/>
      <c r="G77" s="337"/>
      <c r="H77" s="337"/>
      <c r="I77" s="337"/>
      <c r="J77" s="337"/>
      <c r="K77" s="337"/>
      <c r="L77" s="337"/>
      <c r="M77" s="337"/>
      <c r="N77" s="337"/>
      <c r="O77" s="46"/>
      <c r="P77" s="207"/>
      <c r="R77" s="43"/>
    </row>
    <row r="78" spans="2:18">
      <c r="B78" s="109"/>
      <c r="C78" s="337"/>
      <c r="D78" s="337"/>
      <c r="E78" s="337"/>
      <c r="F78" s="337"/>
      <c r="G78" s="337"/>
      <c r="H78" s="337"/>
      <c r="I78" s="337"/>
      <c r="J78" s="337"/>
      <c r="K78" s="337"/>
      <c r="L78" s="337"/>
      <c r="M78" s="337"/>
      <c r="N78" s="337"/>
      <c r="O78" s="46"/>
      <c r="P78" s="207"/>
      <c r="R78" s="43"/>
    </row>
    <row r="79" spans="2:18">
      <c r="B79" s="109"/>
      <c r="C79" s="337"/>
      <c r="D79" s="337"/>
      <c r="E79" s="337"/>
      <c r="F79" s="337"/>
      <c r="G79" s="337"/>
      <c r="H79" s="337"/>
      <c r="I79" s="337"/>
      <c r="J79" s="337"/>
      <c r="K79" s="337"/>
      <c r="L79" s="337"/>
      <c r="M79" s="337"/>
      <c r="N79" s="337"/>
      <c r="O79" s="46"/>
      <c r="P79" s="207"/>
      <c r="R79" s="43"/>
    </row>
    <row r="80" spans="2:18">
      <c r="B80" s="109"/>
      <c r="C80" s="337"/>
      <c r="D80" s="337"/>
      <c r="E80" s="337"/>
      <c r="F80" s="337"/>
      <c r="G80" s="337"/>
      <c r="H80" s="337"/>
      <c r="I80" s="337"/>
      <c r="J80" s="337"/>
      <c r="K80" s="337"/>
      <c r="L80" s="337"/>
      <c r="M80" s="337"/>
      <c r="N80" s="337"/>
      <c r="O80" s="46"/>
      <c r="P80" s="207"/>
      <c r="R80" s="43"/>
    </row>
    <row r="81" spans="2:18">
      <c r="B81" s="109"/>
      <c r="C81" s="337"/>
      <c r="D81" s="337"/>
      <c r="E81" s="337"/>
      <c r="F81" s="337"/>
      <c r="G81" s="337"/>
      <c r="H81" s="337"/>
      <c r="I81" s="337"/>
      <c r="J81" s="337"/>
      <c r="K81" s="337"/>
      <c r="L81" s="337"/>
      <c r="M81" s="337"/>
      <c r="N81" s="337"/>
      <c r="O81" s="46"/>
      <c r="P81" s="207"/>
      <c r="R81" s="43"/>
    </row>
    <row r="82" spans="2:18">
      <c r="B82" s="109"/>
      <c r="C82" s="337"/>
      <c r="D82" s="337"/>
      <c r="E82" s="337"/>
      <c r="F82" s="337"/>
      <c r="G82" s="337"/>
      <c r="H82" s="337"/>
      <c r="I82" s="337"/>
      <c r="J82" s="337"/>
      <c r="K82" s="337"/>
      <c r="L82" s="337"/>
      <c r="M82" s="337"/>
      <c r="N82" s="337"/>
      <c r="O82" s="46"/>
      <c r="P82" s="207"/>
      <c r="R82" s="43"/>
    </row>
    <row r="83" spans="2:18">
      <c r="B83" s="109"/>
      <c r="C83" s="337"/>
      <c r="D83" s="337"/>
      <c r="E83" s="337"/>
      <c r="F83" s="337"/>
      <c r="G83" s="337"/>
      <c r="H83" s="337"/>
      <c r="I83" s="337"/>
      <c r="J83" s="337"/>
      <c r="K83" s="337"/>
      <c r="L83" s="337"/>
      <c r="M83" s="337"/>
      <c r="N83" s="337"/>
      <c r="O83" s="46"/>
      <c r="P83" s="207"/>
      <c r="R83" s="43"/>
    </row>
    <row r="84" spans="2:18">
      <c r="B84" s="109"/>
      <c r="C84" s="337"/>
      <c r="D84" s="337"/>
      <c r="E84" s="337"/>
      <c r="F84" s="337"/>
      <c r="G84" s="337"/>
      <c r="H84" s="337"/>
      <c r="I84" s="337"/>
      <c r="J84" s="337"/>
      <c r="K84" s="337"/>
      <c r="L84" s="337"/>
      <c r="M84" s="337"/>
      <c r="N84" s="337"/>
      <c r="O84" s="46"/>
      <c r="P84" s="207"/>
      <c r="R84" s="43"/>
    </row>
    <row r="85" spans="2:18">
      <c r="B85" s="109"/>
      <c r="C85" s="337"/>
      <c r="D85" s="337"/>
      <c r="E85" s="337"/>
      <c r="F85" s="337"/>
      <c r="G85" s="337"/>
      <c r="H85" s="337"/>
      <c r="I85" s="337"/>
      <c r="J85" s="337"/>
      <c r="K85" s="337"/>
      <c r="L85" s="337"/>
      <c r="M85" s="337"/>
      <c r="N85" s="337"/>
      <c r="O85" s="46"/>
      <c r="P85" s="207"/>
      <c r="R85" s="43"/>
    </row>
    <row r="86" spans="2:18">
      <c r="B86" s="109"/>
      <c r="C86" s="337"/>
      <c r="D86" s="337"/>
      <c r="E86" s="337"/>
      <c r="F86" s="337"/>
      <c r="G86" s="337"/>
      <c r="H86" s="337"/>
      <c r="I86" s="337"/>
      <c r="J86" s="337"/>
      <c r="K86" s="337"/>
      <c r="L86" s="337"/>
      <c r="M86" s="337"/>
      <c r="N86" s="337"/>
      <c r="O86" s="46"/>
      <c r="P86" s="207"/>
      <c r="R86" s="43"/>
    </row>
    <row r="87" spans="2:18">
      <c r="B87" s="109"/>
      <c r="C87" s="337"/>
      <c r="D87" s="337"/>
      <c r="E87" s="337"/>
      <c r="F87" s="337"/>
      <c r="G87" s="337"/>
      <c r="H87" s="337"/>
      <c r="I87" s="337"/>
      <c r="J87" s="337"/>
      <c r="K87" s="337"/>
      <c r="L87" s="337"/>
      <c r="M87" s="337"/>
      <c r="N87" s="337"/>
      <c r="O87" s="46"/>
      <c r="P87" s="207"/>
      <c r="R87" s="43"/>
    </row>
    <row r="88" spans="2:18">
      <c r="B88" s="109"/>
      <c r="C88" s="337"/>
      <c r="D88" s="337"/>
      <c r="E88" s="337"/>
      <c r="F88" s="337"/>
      <c r="G88" s="337"/>
      <c r="H88" s="337"/>
      <c r="I88" s="337"/>
      <c r="J88" s="337"/>
      <c r="K88" s="337"/>
      <c r="L88" s="337"/>
      <c r="M88" s="337"/>
      <c r="N88" s="337"/>
      <c r="O88" s="46"/>
      <c r="P88" s="207"/>
      <c r="R88" s="43"/>
    </row>
    <row r="89" spans="2:18">
      <c r="B89" s="109"/>
      <c r="C89" s="337"/>
      <c r="D89" s="337"/>
      <c r="E89" s="337"/>
      <c r="F89" s="337"/>
      <c r="G89" s="337"/>
      <c r="H89" s="337"/>
      <c r="I89" s="337"/>
      <c r="J89" s="337"/>
      <c r="K89" s="337"/>
      <c r="L89" s="337"/>
      <c r="M89" s="337"/>
      <c r="N89" s="337"/>
      <c r="O89" s="46"/>
      <c r="P89" s="207"/>
      <c r="R89" s="43"/>
    </row>
    <row r="90" spans="2:18">
      <c r="B90" s="109"/>
      <c r="C90" s="337"/>
      <c r="D90" s="337"/>
      <c r="E90" s="337"/>
      <c r="F90" s="337"/>
      <c r="G90" s="337"/>
      <c r="H90" s="337"/>
      <c r="I90" s="337"/>
      <c r="J90" s="337"/>
      <c r="K90" s="337"/>
      <c r="L90" s="337"/>
      <c r="M90" s="337"/>
      <c r="N90" s="337"/>
      <c r="O90" s="46"/>
      <c r="P90" s="207"/>
      <c r="R90" s="43"/>
    </row>
    <row r="91" spans="2:18">
      <c r="B91" s="109"/>
      <c r="C91" s="337"/>
      <c r="D91" s="337"/>
      <c r="E91" s="337"/>
      <c r="F91" s="337"/>
      <c r="G91" s="337"/>
      <c r="H91" s="337"/>
      <c r="I91" s="337"/>
      <c r="J91" s="337"/>
      <c r="K91" s="337"/>
      <c r="L91" s="337"/>
      <c r="M91" s="337"/>
      <c r="N91" s="337"/>
      <c r="O91" s="46"/>
      <c r="P91" s="207"/>
      <c r="R91" s="43"/>
    </row>
    <row r="92" spans="2:18">
      <c r="B92" s="109"/>
      <c r="C92" s="337"/>
      <c r="D92" s="337"/>
      <c r="E92" s="337"/>
      <c r="F92" s="337"/>
      <c r="G92" s="337"/>
      <c r="H92" s="337"/>
      <c r="I92" s="337"/>
      <c r="J92" s="337"/>
      <c r="K92" s="337"/>
      <c r="L92" s="337"/>
      <c r="M92" s="337"/>
      <c r="N92" s="337"/>
      <c r="O92" s="46"/>
      <c r="P92" s="207"/>
      <c r="R92" s="43"/>
    </row>
    <row r="93" spans="2:18">
      <c r="B93" s="109"/>
      <c r="C93" s="337"/>
      <c r="D93" s="337"/>
      <c r="E93" s="337"/>
      <c r="F93" s="337"/>
      <c r="G93" s="337"/>
      <c r="H93" s="337"/>
      <c r="I93" s="337"/>
      <c r="J93" s="337"/>
      <c r="K93" s="337"/>
      <c r="L93" s="337"/>
      <c r="M93" s="337"/>
      <c r="N93" s="337"/>
      <c r="O93" s="46"/>
      <c r="P93" s="207"/>
      <c r="R93" s="43"/>
    </row>
    <row r="94" spans="2:18">
      <c r="B94" s="109"/>
      <c r="C94" s="337"/>
      <c r="D94" s="337"/>
      <c r="E94" s="337"/>
      <c r="F94" s="337"/>
      <c r="G94" s="337"/>
      <c r="H94" s="337"/>
      <c r="I94" s="337"/>
      <c r="J94" s="337"/>
      <c r="K94" s="337"/>
      <c r="L94" s="337"/>
      <c r="M94" s="337"/>
      <c r="N94" s="337"/>
      <c r="O94" s="46"/>
      <c r="P94" s="207"/>
      <c r="R94" s="43"/>
    </row>
    <row r="95" spans="2:18">
      <c r="B95" s="109"/>
      <c r="C95" s="337"/>
      <c r="D95" s="337"/>
      <c r="E95" s="337"/>
      <c r="F95" s="337"/>
      <c r="G95" s="337"/>
      <c r="H95" s="337"/>
      <c r="I95" s="337"/>
      <c r="J95" s="337"/>
      <c r="K95" s="337"/>
      <c r="L95" s="337"/>
      <c r="M95" s="337"/>
      <c r="N95" s="337"/>
      <c r="O95" s="46"/>
      <c r="P95" s="207"/>
      <c r="R95" s="43"/>
    </row>
    <row r="96" spans="2:18">
      <c r="B96" s="109"/>
      <c r="C96" s="337"/>
      <c r="D96" s="337"/>
      <c r="E96" s="337"/>
      <c r="F96" s="337"/>
      <c r="G96" s="337"/>
      <c r="H96" s="337"/>
      <c r="I96" s="337"/>
      <c r="J96" s="337"/>
      <c r="K96" s="337"/>
      <c r="L96" s="337"/>
      <c r="M96" s="337"/>
      <c r="N96" s="337"/>
      <c r="O96" s="46"/>
      <c r="P96" s="207"/>
      <c r="R96" s="43"/>
    </row>
    <row r="97" spans="2:18">
      <c r="B97" s="109"/>
      <c r="C97" s="337"/>
      <c r="D97" s="337"/>
      <c r="E97" s="337"/>
      <c r="F97" s="337"/>
      <c r="G97" s="337"/>
      <c r="H97" s="337"/>
      <c r="I97" s="337"/>
      <c r="J97" s="337"/>
      <c r="K97" s="337"/>
      <c r="L97" s="337"/>
      <c r="M97" s="337"/>
      <c r="N97" s="337"/>
      <c r="O97" s="46"/>
      <c r="P97" s="207"/>
      <c r="R97" s="43"/>
    </row>
    <row r="98" spans="2:18">
      <c r="B98" s="109"/>
      <c r="C98" s="337"/>
      <c r="D98" s="337"/>
      <c r="E98" s="337"/>
      <c r="F98" s="337"/>
      <c r="G98" s="337"/>
      <c r="H98" s="337"/>
      <c r="I98" s="337"/>
      <c r="J98" s="337"/>
      <c r="K98" s="337"/>
      <c r="L98" s="337"/>
      <c r="M98" s="337"/>
      <c r="N98" s="337"/>
      <c r="O98" s="46"/>
      <c r="P98" s="207"/>
      <c r="R98" s="43"/>
    </row>
    <row r="99" spans="2:18">
      <c r="B99" s="109"/>
      <c r="C99" s="337"/>
      <c r="D99" s="337"/>
      <c r="E99" s="337"/>
      <c r="F99" s="337"/>
      <c r="G99" s="337"/>
      <c r="H99" s="337"/>
      <c r="I99" s="337"/>
      <c r="J99" s="337"/>
      <c r="K99" s="337"/>
      <c r="L99" s="337"/>
      <c r="M99" s="337"/>
      <c r="N99" s="337"/>
      <c r="O99" s="46"/>
      <c r="P99" s="207"/>
      <c r="R99" s="43"/>
    </row>
    <row r="100" spans="2:18">
      <c r="B100" s="109"/>
      <c r="C100" s="337"/>
      <c r="D100" s="337"/>
      <c r="E100" s="337"/>
      <c r="F100" s="337"/>
      <c r="G100" s="337"/>
      <c r="H100" s="337"/>
      <c r="I100" s="337"/>
      <c r="J100" s="337"/>
      <c r="K100" s="337"/>
      <c r="L100" s="337"/>
      <c r="M100" s="337"/>
      <c r="N100" s="337"/>
      <c r="O100" s="46"/>
      <c r="P100" s="207"/>
      <c r="R100" s="43"/>
    </row>
    <row r="101" spans="2:18">
      <c r="B101" s="109"/>
      <c r="C101" s="337"/>
      <c r="D101" s="337"/>
      <c r="E101" s="337"/>
      <c r="F101" s="337"/>
      <c r="G101" s="337"/>
      <c r="H101" s="337"/>
      <c r="I101" s="337"/>
      <c r="J101" s="337"/>
      <c r="K101" s="337"/>
      <c r="L101" s="337"/>
      <c r="M101" s="337"/>
      <c r="N101" s="337"/>
      <c r="O101" s="46"/>
      <c r="P101" s="207"/>
      <c r="R101" s="43"/>
    </row>
    <row r="102" spans="2:18">
      <c r="B102" s="109"/>
      <c r="C102" s="337"/>
      <c r="D102" s="337"/>
      <c r="E102" s="337"/>
      <c r="F102" s="337"/>
      <c r="G102" s="337"/>
      <c r="H102" s="337"/>
      <c r="I102" s="337"/>
      <c r="J102" s="337"/>
      <c r="K102" s="337"/>
      <c r="L102" s="337"/>
      <c r="M102" s="337"/>
      <c r="N102" s="337"/>
      <c r="O102" s="46"/>
      <c r="P102" s="207"/>
      <c r="R102" s="43"/>
    </row>
    <row r="103" spans="2:18">
      <c r="B103" s="109"/>
      <c r="C103" s="337"/>
      <c r="D103" s="337"/>
      <c r="E103" s="337"/>
      <c r="F103" s="337"/>
      <c r="G103" s="337"/>
      <c r="H103" s="337"/>
      <c r="I103" s="337"/>
      <c r="J103" s="337"/>
      <c r="K103" s="337"/>
      <c r="L103" s="337"/>
      <c r="M103" s="337"/>
      <c r="N103" s="337"/>
      <c r="O103" s="46"/>
      <c r="P103" s="207"/>
      <c r="R103" s="43"/>
    </row>
    <row r="104" spans="2:18">
      <c r="B104" s="109"/>
      <c r="C104" s="337"/>
      <c r="D104" s="337"/>
      <c r="E104" s="337"/>
      <c r="F104" s="337"/>
      <c r="G104" s="337"/>
      <c r="H104" s="337"/>
      <c r="I104" s="337"/>
      <c r="J104" s="337"/>
      <c r="K104" s="337"/>
      <c r="L104" s="337"/>
      <c r="M104" s="337"/>
      <c r="N104" s="337"/>
      <c r="O104" s="46"/>
      <c r="P104" s="207"/>
      <c r="R104" s="43"/>
    </row>
    <row r="105" spans="2:18">
      <c r="B105" s="109"/>
      <c r="C105" s="337"/>
      <c r="D105" s="337"/>
      <c r="E105" s="337"/>
      <c r="F105" s="337"/>
      <c r="G105" s="337"/>
      <c r="H105" s="337"/>
      <c r="I105" s="337"/>
      <c r="J105" s="337"/>
      <c r="K105" s="337"/>
      <c r="L105" s="337"/>
      <c r="M105" s="337"/>
      <c r="N105" s="337"/>
      <c r="O105" s="46"/>
      <c r="P105" s="207"/>
      <c r="R105" s="43"/>
    </row>
    <row r="106" spans="2:18">
      <c r="B106" s="109"/>
      <c r="C106" s="337"/>
      <c r="D106" s="337"/>
      <c r="E106" s="337"/>
      <c r="F106" s="337"/>
      <c r="G106" s="337"/>
      <c r="H106" s="337"/>
      <c r="I106" s="337"/>
      <c r="J106" s="337"/>
      <c r="K106" s="337"/>
      <c r="L106" s="337"/>
      <c r="M106" s="337"/>
      <c r="N106" s="337"/>
      <c r="O106" s="46"/>
      <c r="P106" s="207"/>
      <c r="R106" s="43"/>
    </row>
    <row r="107" spans="2:18">
      <c r="B107" s="109"/>
      <c r="C107" s="337"/>
      <c r="D107" s="337"/>
      <c r="E107" s="337"/>
      <c r="F107" s="337"/>
      <c r="G107" s="337"/>
      <c r="H107" s="337"/>
      <c r="I107" s="337"/>
      <c r="J107" s="337"/>
      <c r="K107" s="337"/>
      <c r="L107" s="337"/>
      <c r="M107" s="337"/>
      <c r="N107" s="337"/>
      <c r="O107" s="46"/>
      <c r="P107" s="207"/>
      <c r="R107" s="43"/>
    </row>
    <row r="108" spans="2:18">
      <c r="B108" s="109"/>
      <c r="C108" s="337"/>
      <c r="D108" s="337"/>
      <c r="E108" s="337"/>
      <c r="F108" s="337"/>
      <c r="G108" s="337"/>
      <c r="H108" s="337"/>
      <c r="I108" s="337"/>
      <c r="J108" s="337"/>
      <c r="K108" s="337"/>
      <c r="L108" s="337"/>
      <c r="M108" s="337"/>
      <c r="N108" s="337"/>
      <c r="O108" s="46"/>
      <c r="P108" s="207"/>
      <c r="R108" s="43"/>
    </row>
    <row r="109" spans="2:18">
      <c r="B109" s="109"/>
      <c r="C109" s="337"/>
      <c r="D109" s="337"/>
      <c r="E109" s="337"/>
      <c r="F109" s="337"/>
      <c r="G109" s="337"/>
      <c r="H109" s="337"/>
      <c r="I109" s="337"/>
      <c r="J109" s="337"/>
      <c r="K109" s="337"/>
      <c r="L109" s="337"/>
      <c r="M109" s="337"/>
      <c r="N109" s="337"/>
      <c r="O109" s="46"/>
      <c r="P109" s="207"/>
      <c r="R109" s="43"/>
    </row>
    <row r="110" spans="2:18">
      <c r="B110" s="109"/>
      <c r="C110" s="337"/>
      <c r="D110" s="337"/>
      <c r="E110" s="337"/>
      <c r="F110" s="337"/>
      <c r="G110" s="337"/>
      <c r="H110" s="337"/>
      <c r="I110" s="337"/>
      <c r="J110" s="337"/>
      <c r="K110" s="337"/>
      <c r="L110" s="337"/>
      <c r="M110" s="337"/>
      <c r="N110" s="337"/>
      <c r="O110" s="46"/>
      <c r="P110" s="207"/>
      <c r="R110" s="43"/>
    </row>
    <row r="111" spans="2:18">
      <c r="B111" s="109"/>
      <c r="C111" s="337"/>
      <c r="D111" s="337"/>
      <c r="E111" s="337"/>
      <c r="F111" s="337"/>
      <c r="G111" s="337"/>
      <c r="H111" s="337"/>
      <c r="I111" s="337"/>
      <c r="J111" s="337"/>
      <c r="K111" s="337"/>
      <c r="L111" s="337"/>
      <c r="M111" s="337"/>
      <c r="N111" s="337"/>
      <c r="O111" s="46"/>
      <c r="P111" s="207"/>
      <c r="R111" s="43"/>
    </row>
    <row r="112" spans="2:18">
      <c r="B112" s="109"/>
      <c r="C112" s="337"/>
      <c r="D112" s="337"/>
      <c r="E112" s="337"/>
      <c r="F112" s="337"/>
      <c r="G112" s="337"/>
      <c r="H112" s="337"/>
      <c r="I112" s="337"/>
      <c r="J112" s="337"/>
      <c r="K112" s="337"/>
      <c r="L112" s="337"/>
      <c r="M112" s="337"/>
      <c r="N112" s="337"/>
      <c r="O112" s="46"/>
      <c r="P112" s="207"/>
      <c r="R112" s="43"/>
    </row>
    <row r="113" spans="2:18">
      <c r="B113" s="109"/>
      <c r="C113" s="337"/>
      <c r="D113" s="337"/>
      <c r="E113" s="337"/>
      <c r="F113" s="337"/>
      <c r="G113" s="337"/>
      <c r="H113" s="337"/>
      <c r="I113" s="337"/>
      <c r="J113" s="337"/>
      <c r="K113" s="337"/>
      <c r="L113" s="337"/>
      <c r="M113" s="337"/>
      <c r="N113" s="337"/>
      <c r="O113" s="46"/>
      <c r="P113" s="207"/>
      <c r="R113" s="43"/>
    </row>
    <row r="114" spans="2:18">
      <c r="B114" s="109"/>
      <c r="C114" s="337"/>
      <c r="D114" s="337"/>
      <c r="E114" s="337"/>
      <c r="F114" s="337"/>
      <c r="G114" s="337"/>
      <c r="H114" s="337"/>
      <c r="I114" s="337"/>
      <c r="J114" s="337"/>
      <c r="K114" s="337"/>
      <c r="L114" s="337"/>
      <c r="M114" s="337"/>
      <c r="N114" s="337"/>
      <c r="O114" s="46"/>
      <c r="P114" s="207"/>
      <c r="R114" s="43"/>
    </row>
    <row r="115" spans="2:18">
      <c r="B115" s="109"/>
      <c r="C115" s="337"/>
      <c r="D115" s="337"/>
      <c r="E115" s="337"/>
      <c r="F115" s="337"/>
      <c r="G115" s="337"/>
      <c r="H115" s="337"/>
      <c r="I115" s="337"/>
      <c r="J115" s="337"/>
      <c r="K115" s="337"/>
      <c r="L115" s="337"/>
      <c r="M115" s="337"/>
      <c r="N115" s="337"/>
      <c r="O115" s="46"/>
      <c r="P115" s="207"/>
      <c r="R115" s="43"/>
    </row>
    <row r="116" spans="2:18">
      <c r="B116" s="109"/>
      <c r="C116" s="337"/>
      <c r="D116" s="337"/>
      <c r="E116" s="337"/>
      <c r="F116" s="337"/>
      <c r="G116" s="337"/>
      <c r="H116" s="337"/>
      <c r="I116" s="337"/>
      <c r="J116" s="337"/>
      <c r="K116" s="337"/>
      <c r="L116" s="337"/>
      <c r="M116" s="337"/>
      <c r="N116" s="337"/>
      <c r="O116" s="46"/>
      <c r="P116" s="207"/>
      <c r="R116" s="43"/>
    </row>
    <row r="117" spans="2:18">
      <c r="B117" s="109"/>
      <c r="C117" s="337"/>
      <c r="D117" s="337"/>
      <c r="E117" s="337"/>
      <c r="F117" s="337"/>
      <c r="G117" s="337"/>
      <c r="H117" s="337"/>
      <c r="I117" s="337"/>
      <c r="J117" s="337"/>
      <c r="K117" s="337"/>
      <c r="L117" s="337"/>
      <c r="M117" s="337"/>
      <c r="N117" s="337"/>
      <c r="O117" s="46"/>
      <c r="P117" s="207"/>
      <c r="R117" s="43"/>
    </row>
    <row r="118" spans="2:18">
      <c r="B118" s="109"/>
      <c r="C118" s="337"/>
      <c r="D118" s="337"/>
      <c r="E118" s="337"/>
      <c r="F118" s="337"/>
      <c r="G118" s="337"/>
      <c r="H118" s="337"/>
      <c r="I118" s="337"/>
      <c r="J118" s="337"/>
      <c r="K118" s="337"/>
      <c r="L118" s="337"/>
      <c r="M118" s="337"/>
      <c r="N118" s="337"/>
      <c r="O118" s="46"/>
      <c r="P118" s="207"/>
      <c r="R118" s="43"/>
    </row>
    <row r="119" spans="2:18">
      <c r="B119" s="109"/>
      <c r="C119" s="337"/>
      <c r="D119" s="337"/>
      <c r="E119" s="337"/>
      <c r="F119" s="337"/>
      <c r="G119" s="337"/>
      <c r="H119" s="337"/>
      <c r="I119" s="337"/>
      <c r="J119" s="337"/>
      <c r="K119" s="337"/>
      <c r="L119" s="337"/>
      <c r="M119" s="337"/>
      <c r="N119" s="337"/>
      <c r="O119" s="46"/>
      <c r="P119" s="207"/>
      <c r="R119" s="43"/>
    </row>
    <row r="120" spans="2:18">
      <c r="B120" s="109"/>
      <c r="C120" s="337"/>
      <c r="D120" s="337"/>
      <c r="E120" s="337"/>
      <c r="F120" s="337"/>
      <c r="G120" s="337"/>
      <c r="H120" s="337"/>
      <c r="I120" s="337"/>
      <c r="J120" s="337"/>
      <c r="K120" s="337"/>
      <c r="L120" s="337"/>
      <c r="M120" s="337"/>
      <c r="N120" s="337"/>
      <c r="O120" s="46"/>
      <c r="P120" s="207"/>
      <c r="R120" s="43"/>
    </row>
    <row r="121" spans="2:18">
      <c r="B121" s="109"/>
      <c r="C121" s="337"/>
      <c r="D121" s="337"/>
      <c r="E121" s="337"/>
      <c r="F121" s="337"/>
      <c r="G121" s="337"/>
      <c r="H121" s="337"/>
      <c r="I121" s="337"/>
      <c r="J121" s="337"/>
      <c r="K121" s="337"/>
      <c r="L121" s="337"/>
      <c r="M121" s="337"/>
      <c r="N121" s="337"/>
      <c r="O121" s="46"/>
      <c r="P121" s="207"/>
      <c r="R121" s="43"/>
    </row>
    <row r="122" spans="2:18">
      <c r="B122" s="109"/>
      <c r="C122" s="337"/>
      <c r="D122" s="337"/>
      <c r="E122" s="337"/>
      <c r="F122" s="337"/>
      <c r="G122" s="337"/>
      <c r="H122" s="337"/>
      <c r="I122" s="337"/>
      <c r="J122" s="337"/>
      <c r="K122" s="337"/>
      <c r="L122" s="337"/>
      <c r="M122" s="337"/>
      <c r="N122" s="337"/>
      <c r="O122" s="46"/>
      <c r="P122" s="207"/>
      <c r="R122" s="43"/>
    </row>
    <row r="123" spans="2:18">
      <c r="B123" s="109"/>
      <c r="C123" s="337"/>
      <c r="D123" s="337"/>
      <c r="E123" s="337"/>
      <c r="F123" s="337"/>
      <c r="G123" s="337"/>
      <c r="H123" s="337"/>
      <c r="I123" s="337"/>
      <c r="J123" s="337"/>
      <c r="K123" s="337"/>
      <c r="L123" s="337"/>
      <c r="M123" s="337"/>
      <c r="N123" s="337"/>
      <c r="O123" s="46"/>
      <c r="P123" s="207"/>
      <c r="R123" s="43"/>
    </row>
    <row r="124" spans="2:18">
      <c r="B124" s="109"/>
      <c r="C124" s="337"/>
      <c r="D124" s="337"/>
      <c r="E124" s="337"/>
      <c r="F124" s="337"/>
      <c r="G124" s="337"/>
      <c r="H124" s="337"/>
      <c r="I124" s="337"/>
      <c r="J124" s="337"/>
      <c r="K124" s="337"/>
      <c r="L124" s="337"/>
      <c r="M124" s="337"/>
      <c r="N124" s="337"/>
      <c r="O124" s="46"/>
      <c r="P124" s="207"/>
      <c r="R124" s="43"/>
    </row>
    <row r="125" spans="2:18">
      <c r="B125" s="109"/>
      <c r="C125" s="337"/>
      <c r="D125" s="337"/>
      <c r="E125" s="337"/>
      <c r="F125" s="337"/>
      <c r="G125" s="337"/>
      <c r="H125" s="337"/>
      <c r="I125" s="337"/>
      <c r="J125" s="337"/>
      <c r="K125" s="337"/>
      <c r="L125" s="337"/>
      <c r="M125" s="337"/>
      <c r="N125" s="337"/>
      <c r="O125" s="46"/>
      <c r="P125" s="207"/>
      <c r="R125" s="43"/>
    </row>
    <row r="126" spans="2:18">
      <c r="B126" s="109"/>
      <c r="C126" s="337"/>
      <c r="D126" s="337"/>
      <c r="E126" s="337"/>
      <c r="F126" s="337"/>
      <c r="G126" s="337"/>
      <c r="H126" s="337"/>
      <c r="I126" s="337"/>
      <c r="J126" s="337"/>
      <c r="K126" s="337"/>
      <c r="L126" s="337"/>
      <c r="M126" s="337"/>
      <c r="N126" s="337"/>
      <c r="O126" s="46"/>
      <c r="P126" s="207"/>
      <c r="R126" s="43"/>
    </row>
    <row r="127" spans="2:18">
      <c r="B127" s="109"/>
      <c r="C127" s="337"/>
      <c r="D127" s="337"/>
      <c r="E127" s="337"/>
      <c r="F127" s="337"/>
      <c r="G127" s="337"/>
      <c r="H127" s="337"/>
      <c r="I127" s="337"/>
      <c r="J127" s="337"/>
      <c r="K127" s="337"/>
      <c r="L127" s="337"/>
      <c r="M127" s="337"/>
      <c r="N127" s="337"/>
      <c r="O127" s="46"/>
      <c r="P127" s="207"/>
      <c r="R127" s="43"/>
    </row>
    <row r="128" spans="2:18">
      <c r="B128" s="109"/>
      <c r="C128" s="337"/>
      <c r="D128" s="337"/>
      <c r="E128" s="337"/>
      <c r="F128" s="337"/>
      <c r="G128" s="337"/>
      <c r="H128" s="337"/>
      <c r="I128" s="337"/>
      <c r="J128" s="337"/>
      <c r="K128" s="337"/>
      <c r="L128" s="337"/>
      <c r="M128" s="337"/>
      <c r="N128" s="337"/>
      <c r="O128" s="46"/>
      <c r="P128" s="207"/>
      <c r="R128" s="43"/>
    </row>
    <row r="129" spans="2:18">
      <c r="B129" s="109"/>
      <c r="C129" s="337"/>
      <c r="D129" s="337"/>
      <c r="E129" s="337"/>
      <c r="F129" s="337"/>
      <c r="G129" s="337"/>
      <c r="H129" s="337"/>
      <c r="I129" s="337"/>
      <c r="J129" s="337"/>
      <c r="K129" s="337"/>
      <c r="L129" s="337"/>
      <c r="M129" s="337"/>
      <c r="N129" s="337"/>
      <c r="O129" s="46"/>
      <c r="P129" s="207"/>
      <c r="R129" s="43"/>
    </row>
    <row r="130" spans="2:18">
      <c r="B130" s="109"/>
      <c r="C130" s="337"/>
      <c r="D130" s="337"/>
      <c r="E130" s="337"/>
      <c r="F130" s="337"/>
      <c r="G130" s="337"/>
      <c r="H130" s="337"/>
      <c r="I130" s="337"/>
      <c r="J130" s="337"/>
      <c r="K130" s="337"/>
      <c r="L130" s="337"/>
      <c r="M130" s="337"/>
      <c r="N130" s="337"/>
      <c r="O130" s="46"/>
      <c r="P130" s="207"/>
      <c r="R130" s="43"/>
    </row>
    <row r="131" spans="2:18">
      <c r="B131" s="109"/>
      <c r="C131" s="337"/>
      <c r="D131" s="337"/>
      <c r="E131" s="337"/>
      <c r="F131" s="337"/>
      <c r="G131" s="337"/>
      <c r="H131" s="337"/>
      <c r="I131" s="337"/>
      <c r="J131" s="337"/>
      <c r="K131" s="337"/>
      <c r="L131" s="337"/>
      <c r="M131" s="337"/>
      <c r="N131" s="337"/>
      <c r="O131" s="46"/>
      <c r="P131" s="207"/>
      <c r="R131" s="43"/>
    </row>
    <row r="132" spans="2:18">
      <c r="B132" s="109"/>
      <c r="C132" s="337"/>
      <c r="D132" s="337"/>
      <c r="E132" s="337"/>
      <c r="F132" s="337"/>
      <c r="G132" s="337"/>
      <c r="H132" s="337"/>
      <c r="I132" s="337"/>
      <c r="J132" s="337"/>
      <c r="K132" s="337"/>
      <c r="L132" s="337"/>
      <c r="M132" s="337"/>
      <c r="N132" s="337"/>
      <c r="O132" s="46"/>
      <c r="P132" s="207"/>
      <c r="R132" s="43"/>
    </row>
    <row r="133" spans="2:18">
      <c r="B133" s="109"/>
      <c r="C133" s="337"/>
      <c r="D133" s="337"/>
      <c r="E133" s="337"/>
      <c r="F133" s="337"/>
      <c r="G133" s="337"/>
      <c r="H133" s="337"/>
      <c r="I133" s="337"/>
      <c r="J133" s="337"/>
      <c r="K133" s="337"/>
      <c r="L133" s="337"/>
      <c r="M133" s="337"/>
      <c r="N133" s="337"/>
      <c r="O133" s="46"/>
      <c r="P133" s="207"/>
      <c r="R133" s="43"/>
    </row>
    <row r="134" spans="2:18">
      <c r="B134" s="109"/>
      <c r="C134" s="337"/>
      <c r="D134" s="337"/>
      <c r="E134" s="337"/>
      <c r="F134" s="337"/>
      <c r="G134" s="337"/>
      <c r="H134" s="337"/>
      <c r="I134" s="337"/>
      <c r="J134" s="337"/>
      <c r="K134" s="337"/>
      <c r="L134" s="337"/>
      <c r="M134" s="337"/>
      <c r="N134" s="337"/>
      <c r="O134" s="46"/>
      <c r="P134" s="207"/>
      <c r="R134" s="43"/>
    </row>
    <row r="135" spans="2:18">
      <c r="B135" s="109"/>
      <c r="C135" s="337"/>
      <c r="D135" s="337"/>
      <c r="E135" s="337"/>
      <c r="F135" s="337"/>
      <c r="G135" s="337"/>
      <c r="H135" s="337"/>
      <c r="I135" s="337"/>
      <c r="J135" s="337"/>
      <c r="K135" s="337"/>
      <c r="L135" s="337"/>
      <c r="M135" s="337"/>
      <c r="N135" s="337"/>
      <c r="O135" s="46"/>
      <c r="P135" s="207"/>
      <c r="R135" s="43"/>
    </row>
    <row r="136" spans="2:18">
      <c r="B136" s="109"/>
      <c r="C136" s="337"/>
      <c r="D136" s="337"/>
      <c r="E136" s="337"/>
      <c r="F136" s="337"/>
      <c r="G136" s="337"/>
      <c r="H136" s="337"/>
      <c r="I136" s="337"/>
      <c r="J136" s="337"/>
      <c r="K136" s="337"/>
      <c r="L136" s="337"/>
      <c r="M136" s="337"/>
      <c r="N136" s="337"/>
      <c r="O136" s="46"/>
      <c r="P136" s="207"/>
      <c r="R136" s="43"/>
    </row>
    <row r="137" spans="2:18">
      <c r="B137" s="109"/>
      <c r="C137" s="337"/>
      <c r="D137" s="337"/>
      <c r="E137" s="337"/>
      <c r="F137" s="337"/>
      <c r="G137" s="337"/>
      <c r="H137" s="337"/>
      <c r="I137" s="337"/>
      <c r="J137" s="337"/>
      <c r="K137" s="337"/>
      <c r="L137" s="337"/>
      <c r="M137" s="337"/>
      <c r="N137" s="337"/>
      <c r="O137" s="46"/>
      <c r="P137" s="207"/>
      <c r="R137" s="43"/>
    </row>
    <row r="138" spans="2:18">
      <c r="B138" s="109"/>
      <c r="C138" s="337"/>
      <c r="D138" s="337"/>
      <c r="E138" s="337"/>
      <c r="F138" s="337"/>
      <c r="G138" s="337"/>
      <c r="H138" s="337"/>
      <c r="I138" s="337"/>
      <c r="J138" s="337"/>
      <c r="K138" s="337"/>
      <c r="L138" s="337"/>
      <c r="M138" s="337"/>
      <c r="N138" s="337"/>
      <c r="O138" s="46"/>
      <c r="P138" s="207"/>
      <c r="R138" s="43"/>
    </row>
    <row r="139" spans="2:18">
      <c r="B139" s="109"/>
      <c r="C139" s="337"/>
      <c r="D139" s="337"/>
      <c r="E139" s="337"/>
      <c r="F139" s="337"/>
      <c r="G139" s="337"/>
      <c r="H139" s="337"/>
      <c r="I139" s="337"/>
      <c r="J139" s="337"/>
      <c r="K139" s="337"/>
      <c r="L139" s="337"/>
      <c r="M139" s="337"/>
      <c r="N139" s="337"/>
      <c r="O139" s="46"/>
      <c r="P139" s="207"/>
      <c r="R139" s="43"/>
    </row>
    <row r="140" spans="2:18">
      <c r="B140" s="109"/>
      <c r="C140" s="337"/>
      <c r="D140" s="337"/>
      <c r="E140" s="337"/>
      <c r="F140" s="337"/>
      <c r="G140" s="337"/>
      <c r="H140" s="337"/>
      <c r="I140" s="337"/>
      <c r="J140" s="337"/>
      <c r="K140" s="337"/>
      <c r="L140" s="337"/>
      <c r="M140" s="337"/>
      <c r="N140" s="337"/>
      <c r="O140" s="46"/>
      <c r="P140" s="207"/>
      <c r="R140" s="43"/>
    </row>
    <row r="141" spans="2:18">
      <c r="B141" s="109"/>
      <c r="C141" s="337"/>
      <c r="D141" s="337"/>
      <c r="E141" s="337"/>
      <c r="F141" s="337"/>
      <c r="G141" s="337"/>
      <c r="H141" s="337"/>
      <c r="I141" s="337"/>
      <c r="J141" s="337"/>
      <c r="K141" s="337"/>
      <c r="L141" s="337"/>
      <c r="M141" s="337"/>
      <c r="N141" s="337"/>
      <c r="O141" s="46"/>
      <c r="P141" s="207"/>
      <c r="R141" s="43"/>
    </row>
    <row r="142" spans="2:18">
      <c r="B142" s="109"/>
      <c r="C142" s="337"/>
      <c r="D142" s="337"/>
      <c r="E142" s="337"/>
      <c r="F142" s="337"/>
      <c r="G142" s="337"/>
      <c r="H142" s="337"/>
      <c r="I142" s="337"/>
      <c r="J142" s="337"/>
      <c r="K142" s="337"/>
      <c r="L142" s="337"/>
      <c r="M142" s="337"/>
      <c r="N142" s="337"/>
      <c r="O142" s="46"/>
      <c r="P142" s="207"/>
      <c r="R142" s="43"/>
    </row>
    <row r="143" spans="2:18">
      <c r="B143" s="109"/>
      <c r="C143" s="337"/>
      <c r="D143" s="337"/>
      <c r="E143" s="337"/>
      <c r="F143" s="337"/>
      <c r="G143" s="337"/>
      <c r="H143" s="337"/>
      <c r="I143" s="337"/>
      <c r="J143" s="337"/>
      <c r="K143" s="337"/>
      <c r="L143" s="337"/>
      <c r="M143" s="337"/>
      <c r="N143" s="337"/>
      <c r="O143" s="46"/>
      <c r="P143" s="207"/>
      <c r="R143" s="43"/>
    </row>
    <row r="144" spans="2:18">
      <c r="B144" s="109"/>
      <c r="C144" s="337"/>
      <c r="D144" s="337"/>
      <c r="E144" s="337"/>
      <c r="F144" s="337"/>
      <c r="G144" s="337"/>
      <c r="H144" s="337"/>
      <c r="I144" s="337"/>
      <c r="J144" s="337"/>
      <c r="K144" s="337"/>
      <c r="L144" s="337"/>
      <c r="M144" s="337"/>
      <c r="N144" s="337"/>
      <c r="O144" s="46"/>
      <c r="P144" s="207"/>
      <c r="R144" s="43"/>
    </row>
    <row r="145" spans="2:18">
      <c r="B145" s="109"/>
      <c r="C145" s="337"/>
      <c r="D145" s="337"/>
      <c r="E145" s="337"/>
      <c r="F145" s="337"/>
      <c r="G145" s="337"/>
      <c r="H145" s="337"/>
      <c r="I145" s="337"/>
      <c r="J145" s="337"/>
      <c r="K145" s="337"/>
      <c r="L145" s="337"/>
      <c r="M145" s="337"/>
      <c r="N145" s="337"/>
      <c r="O145" s="46"/>
      <c r="P145" s="207"/>
      <c r="R145" s="43"/>
    </row>
    <row r="146" spans="2:18">
      <c r="B146" s="109"/>
      <c r="C146" s="337"/>
      <c r="D146" s="337"/>
      <c r="E146" s="337"/>
      <c r="F146" s="337"/>
      <c r="G146" s="337"/>
      <c r="H146" s="337"/>
      <c r="I146" s="337"/>
      <c r="J146" s="337"/>
      <c r="K146" s="337"/>
      <c r="L146" s="337"/>
      <c r="M146" s="337"/>
      <c r="N146" s="337"/>
      <c r="O146" s="46"/>
      <c r="P146" s="207"/>
      <c r="R146" s="43"/>
    </row>
    <row r="147" spans="2:18">
      <c r="B147" s="109"/>
      <c r="C147" s="337"/>
      <c r="D147" s="337"/>
      <c r="E147" s="337"/>
      <c r="F147" s="337"/>
      <c r="G147" s="337"/>
      <c r="H147" s="337"/>
      <c r="I147" s="337"/>
      <c r="J147" s="337"/>
      <c r="K147" s="337"/>
      <c r="L147" s="337"/>
      <c r="M147" s="337"/>
      <c r="N147" s="337"/>
      <c r="O147" s="46"/>
      <c r="P147" s="207"/>
      <c r="R147" s="43"/>
    </row>
    <row r="148" spans="2:18">
      <c r="B148" s="109"/>
      <c r="C148" s="337"/>
      <c r="D148" s="337"/>
      <c r="E148" s="337"/>
      <c r="F148" s="337"/>
      <c r="G148" s="337"/>
      <c r="H148" s="337"/>
      <c r="I148" s="337"/>
      <c r="J148" s="337"/>
      <c r="K148" s="337"/>
      <c r="L148" s="337"/>
      <c r="M148" s="337"/>
      <c r="N148" s="337"/>
      <c r="O148" s="46"/>
      <c r="P148" s="207"/>
    </row>
    <row r="149" spans="2:18">
      <c r="B149" s="109"/>
      <c r="C149" s="337"/>
      <c r="D149" s="337"/>
      <c r="E149" s="337"/>
      <c r="F149" s="337"/>
      <c r="G149" s="337"/>
      <c r="H149" s="337"/>
      <c r="I149" s="337"/>
      <c r="J149" s="337"/>
      <c r="K149" s="337"/>
      <c r="L149" s="337"/>
      <c r="M149" s="337"/>
      <c r="N149" s="337"/>
      <c r="O149" s="46"/>
      <c r="P149" s="207"/>
    </row>
    <row r="150" spans="2:18">
      <c r="B150" s="109"/>
      <c r="C150" s="337"/>
      <c r="D150" s="337"/>
      <c r="E150" s="337"/>
      <c r="F150" s="337"/>
      <c r="G150" s="337"/>
      <c r="H150" s="337"/>
      <c r="I150" s="337"/>
      <c r="J150" s="337"/>
      <c r="K150" s="337"/>
      <c r="L150" s="337"/>
      <c r="M150" s="337"/>
      <c r="N150" s="337"/>
      <c r="O150" s="46"/>
      <c r="P150" s="207"/>
    </row>
    <row r="151" spans="2:18">
      <c r="B151" s="109"/>
      <c r="C151" s="337"/>
      <c r="D151" s="337"/>
      <c r="E151" s="337"/>
      <c r="F151" s="337"/>
      <c r="G151" s="337"/>
      <c r="H151" s="337"/>
      <c r="I151" s="337"/>
      <c r="J151" s="337"/>
      <c r="K151" s="337"/>
      <c r="L151" s="337"/>
      <c r="M151" s="337"/>
      <c r="N151" s="337"/>
      <c r="O151" s="46"/>
      <c r="P151" s="207"/>
    </row>
    <row r="152" spans="2:18">
      <c r="B152" s="109"/>
      <c r="C152" s="337"/>
      <c r="D152" s="337"/>
      <c r="E152" s="337"/>
      <c r="F152" s="337"/>
      <c r="G152" s="337"/>
      <c r="H152" s="337"/>
      <c r="I152" s="337"/>
      <c r="J152" s="337"/>
      <c r="K152" s="337"/>
      <c r="L152" s="337"/>
      <c r="M152" s="337"/>
      <c r="N152" s="337"/>
      <c r="O152" s="46"/>
      <c r="P152" s="207"/>
    </row>
    <row r="153" spans="2:18">
      <c r="B153" s="109"/>
      <c r="C153" s="337"/>
      <c r="D153" s="337"/>
      <c r="E153" s="337"/>
      <c r="F153" s="337"/>
      <c r="G153" s="337"/>
      <c r="H153" s="337"/>
      <c r="I153" s="337"/>
      <c r="J153" s="337"/>
      <c r="K153" s="337"/>
      <c r="L153" s="337"/>
      <c r="M153" s="337"/>
      <c r="N153" s="337"/>
      <c r="O153" s="46"/>
      <c r="P153" s="207"/>
    </row>
    <row r="154" spans="2:18">
      <c r="B154" s="109"/>
      <c r="C154" s="337"/>
      <c r="D154" s="337"/>
      <c r="E154" s="337"/>
      <c r="F154" s="337"/>
      <c r="G154" s="337"/>
      <c r="H154" s="337"/>
      <c r="I154" s="337"/>
      <c r="J154" s="337"/>
      <c r="K154" s="337"/>
      <c r="L154" s="337"/>
      <c r="M154" s="337"/>
      <c r="N154" s="337"/>
      <c r="O154" s="46"/>
      <c r="P154" s="207"/>
    </row>
    <row r="155" spans="2:18">
      <c r="B155" s="109"/>
      <c r="C155" s="337"/>
      <c r="D155" s="337"/>
      <c r="E155" s="337"/>
      <c r="F155" s="337"/>
      <c r="G155" s="337"/>
      <c r="H155" s="337"/>
      <c r="I155" s="337"/>
      <c r="J155" s="337"/>
      <c r="K155" s="337"/>
      <c r="L155" s="337"/>
      <c r="M155" s="337"/>
      <c r="N155" s="337"/>
      <c r="O155" s="46"/>
      <c r="P155" s="207"/>
    </row>
    <row r="156" spans="2:18">
      <c r="B156" s="109"/>
      <c r="C156" s="337"/>
      <c r="D156" s="337"/>
      <c r="E156" s="337"/>
      <c r="F156" s="337"/>
      <c r="G156" s="337"/>
      <c r="H156" s="337"/>
      <c r="I156" s="337"/>
      <c r="J156" s="337"/>
      <c r="K156" s="337"/>
      <c r="L156" s="337"/>
      <c r="M156" s="337"/>
      <c r="N156" s="337"/>
      <c r="O156" s="46"/>
      <c r="P156" s="207"/>
    </row>
    <row r="157" spans="2:18">
      <c r="B157" s="109"/>
      <c r="C157" s="337"/>
      <c r="D157" s="337"/>
      <c r="E157" s="337"/>
      <c r="F157" s="337"/>
      <c r="G157" s="337"/>
      <c r="H157" s="337"/>
      <c r="I157" s="337"/>
      <c r="J157" s="337"/>
      <c r="K157" s="337"/>
      <c r="L157" s="337"/>
      <c r="M157" s="337"/>
      <c r="N157" s="337"/>
      <c r="O157" s="46"/>
      <c r="P157" s="207"/>
    </row>
    <row r="158" spans="2:18">
      <c r="B158" s="109"/>
      <c r="C158" s="337"/>
      <c r="D158" s="337"/>
      <c r="E158" s="337"/>
      <c r="F158" s="337"/>
      <c r="G158" s="337"/>
      <c r="H158" s="337"/>
      <c r="I158" s="337"/>
      <c r="J158" s="337"/>
      <c r="K158" s="337"/>
      <c r="L158" s="337"/>
      <c r="M158" s="337"/>
      <c r="N158" s="337"/>
      <c r="O158" s="46"/>
      <c r="P158" s="207"/>
    </row>
    <row r="159" spans="2:18">
      <c r="B159" s="109"/>
      <c r="C159" s="337"/>
      <c r="D159" s="337"/>
      <c r="E159" s="337"/>
      <c r="F159" s="337"/>
      <c r="G159" s="337"/>
      <c r="H159" s="337"/>
      <c r="I159" s="337"/>
      <c r="J159" s="337"/>
      <c r="K159" s="337"/>
      <c r="L159" s="337"/>
      <c r="M159" s="337"/>
      <c r="N159" s="337"/>
      <c r="O159" s="46"/>
      <c r="P159" s="207"/>
    </row>
    <row r="160" spans="2:18">
      <c r="B160" s="109"/>
      <c r="C160" s="337"/>
      <c r="D160" s="337"/>
      <c r="E160" s="337"/>
      <c r="F160" s="337"/>
      <c r="G160" s="337"/>
      <c r="H160" s="337"/>
      <c r="I160" s="337"/>
      <c r="J160" s="337"/>
      <c r="K160" s="337"/>
      <c r="L160" s="337"/>
      <c r="M160" s="337"/>
      <c r="N160" s="337"/>
      <c r="O160" s="46"/>
      <c r="P160" s="207"/>
    </row>
    <row r="161" spans="2:16">
      <c r="B161" s="109"/>
      <c r="C161" s="337"/>
      <c r="D161" s="337"/>
      <c r="E161" s="337"/>
      <c r="F161" s="337"/>
      <c r="G161" s="337"/>
      <c r="H161" s="337"/>
      <c r="I161" s="337"/>
      <c r="J161" s="337"/>
      <c r="K161" s="337"/>
      <c r="L161" s="337"/>
      <c r="M161" s="337"/>
      <c r="N161" s="337"/>
      <c r="O161" s="46"/>
      <c r="P161" s="207"/>
    </row>
    <row r="162" spans="2:16">
      <c r="B162" s="109"/>
      <c r="C162" s="337"/>
      <c r="D162" s="337"/>
      <c r="E162" s="337"/>
      <c r="F162" s="337"/>
      <c r="G162" s="337"/>
      <c r="H162" s="337"/>
      <c r="I162" s="337"/>
      <c r="J162" s="337"/>
      <c r="K162" s="337"/>
      <c r="L162" s="337"/>
      <c r="M162" s="337"/>
      <c r="N162" s="337"/>
      <c r="O162" s="46"/>
      <c r="P162" s="207"/>
    </row>
    <row r="163" spans="2:16">
      <c r="B163" s="109"/>
      <c r="C163" s="337"/>
      <c r="D163" s="337"/>
      <c r="E163" s="337"/>
      <c r="F163" s="337"/>
      <c r="G163" s="337"/>
      <c r="H163" s="337"/>
      <c r="I163" s="337"/>
      <c r="J163" s="337"/>
      <c r="K163" s="337"/>
      <c r="L163" s="337"/>
      <c r="M163" s="337"/>
      <c r="N163" s="337"/>
      <c r="O163" s="46"/>
      <c r="P163" s="207"/>
    </row>
    <row r="164" spans="2:16">
      <c r="B164" s="109"/>
      <c r="C164" s="337"/>
      <c r="D164" s="337"/>
      <c r="E164" s="337"/>
      <c r="F164" s="337"/>
      <c r="G164" s="337"/>
      <c r="H164" s="337"/>
      <c r="I164" s="337"/>
      <c r="J164" s="337"/>
      <c r="K164" s="337"/>
      <c r="L164" s="337"/>
      <c r="M164" s="337"/>
      <c r="N164" s="337"/>
      <c r="O164" s="46"/>
      <c r="P164" s="207"/>
    </row>
    <row r="165" spans="2:16">
      <c r="B165" s="109"/>
      <c r="C165" s="337"/>
      <c r="D165" s="337"/>
      <c r="E165" s="337"/>
      <c r="F165" s="337"/>
      <c r="G165" s="337"/>
      <c r="H165" s="337"/>
      <c r="I165" s="337"/>
      <c r="J165" s="337"/>
      <c r="K165" s="337"/>
      <c r="L165" s="337"/>
      <c r="M165" s="337"/>
      <c r="N165" s="337"/>
      <c r="O165" s="46"/>
      <c r="P165" s="207"/>
    </row>
    <row r="166" spans="2:16">
      <c r="B166" s="109"/>
      <c r="C166" s="337"/>
      <c r="D166" s="337"/>
      <c r="E166" s="337"/>
      <c r="F166" s="337"/>
      <c r="G166" s="337"/>
      <c r="H166" s="337"/>
      <c r="I166" s="337"/>
      <c r="J166" s="337"/>
      <c r="K166" s="337"/>
      <c r="L166" s="337"/>
      <c r="M166" s="337"/>
      <c r="N166" s="337"/>
      <c r="O166" s="46"/>
      <c r="P166" s="207"/>
    </row>
    <row r="167" spans="2:16">
      <c r="B167" s="109"/>
      <c r="C167" s="337"/>
      <c r="D167" s="337"/>
      <c r="E167" s="337"/>
      <c r="F167" s="337"/>
      <c r="G167" s="337"/>
      <c r="H167" s="337"/>
      <c r="I167" s="337"/>
      <c r="J167" s="337"/>
      <c r="K167" s="337"/>
      <c r="L167" s="337"/>
      <c r="M167" s="337"/>
      <c r="N167" s="337"/>
      <c r="O167" s="46"/>
      <c r="P167" s="207"/>
    </row>
    <row r="168" spans="2:16">
      <c r="B168" s="109"/>
      <c r="C168" s="337"/>
      <c r="D168" s="337"/>
      <c r="E168" s="337"/>
      <c r="F168" s="337"/>
      <c r="G168" s="337"/>
      <c r="H168" s="337"/>
      <c r="I168" s="337"/>
      <c r="J168" s="337"/>
      <c r="K168" s="337"/>
      <c r="L168" s="337"/>
      <c r="M168" s="337"/>
      <c r="N168" s="337"/>
      <c r="O168" s="46"/>
      <c r="P168" s="207"/>
    </row>
    <row r="169" spans="2:16">
      <c r="B169" s="109"/>
      <c r="C169" s="337"/>
      <c r="D169" s="337"/>
      <c r="E169" s="337"/>
      <c r="F169" s="337"/>
      <c r="G169" s="337"/>
      <c r="H169" s="337"/>
      <c r="I169" s="337"/>
      <c r="J169" s="337"/>
      <c r="K169" s="337"/>
      <c r="L169" s="337"/>
      <c r="M169" s="337"/>
      <c r="N169" s="337"/>
      <c r="O169" s="46"/>
      <c r="P169" s="207"/>
    </row>
    <row r="170" spans="2:16">
      <c r="B170" s="109"/>
      <c r="C170" s="337"/>
      <c r="D170" s="337"/>
      <c r="E170" s="337"/>
      <c r="F170" s="337"/>
      <c r="G170" s="337"/>
      <c r="H170" s="337"/>
      <c r="I170" s="337"/>
      <c r="J170" s="337"/>
      <c r="K170" s="337"/>
      <c r="L170" s="337"/>
      <c r="M170" s="337"/>
      <c r="N170" s="337"/>
      <c r="O170" s="46"/>
      <c r="P170" s="207"/>
    </row>
    <row r="171" spans="2:16">
      <c r="B171" s="109"/>
      <c r="C171" s="337"/>
      <c r="D171" s="337"/>
      <c r="E171" s="337"/>
      <c r="F171" s="337"/>
      <c r="G171" s="337"/>
      <c r="H171" s="337"/>
      <c r="I171" s="337"/>
      <c r="J171" s="337"/>
      <c r="K171" s="337"/>
      <c r="L171" s="337"/>
      <c r="M171" s="337"/>
      <c r="N171" s="337"/>
      <c r="O171" s="46"/>
      <c r="P171" s="207"/>
    </row>
    <row r="172" spans="2:16">
      <c r="B172" s="109"/>
      <c r="C172" s="337"/>
      <c r="D172" s="337"/>
      <c r="E172" s="337"/>
      <c r="F172" s="337"/>
      <c r="G172" s="337"/>
      <c r="H172" s="337"/>
      <c r="I172" s="337"/>
      <c r="J172" s="337"/>
      <c r="K172" s="337"/>
      <c r="L172" s="337"/>
      <c r="M172" s="337"/>
      <c r="N172" s="337"/>
      <c r="O172" s="46"/>
      <c r="P172" s="207"/>
    </row>
    <row r="173" spans="2:16">
      <c r="B173" s="109"/>
      <c r="C173" s="337"/>
      <c r="D173" s="337"/>
      <c r="E173" s="337"/>
      <c r="F173" s="337"/>
      <c r="G173" s="337"/>
      <c r="H173" s="337"/>
      <c r="I173" s="337"/>
      <c r="J173" s="337"/>
      <c r="K173" s="337"/>
      <c r="L173" s="337"/>
      <c r="M173" s="337"/>
      <c r="N173" s="337"/>
      <c r="O173" s="46"/>
      <c r="P173" s="207"/>
    </row>
    <row r="174" spans="2:16">
      <c r="B174" s="109"/>
      <c r="C174" s="337"/>
      <c r="D174" s="337"/>
      <c r="E174" s="337"/>
      <c r="F174" s="337"/>
      <c r="G174" s="337"/>
      <c r="H174" s="337"/>
      <c r="I174" s="337"/>
      <c r="J174" s="337"/>
      <c r="K174" s="337"/>
      <c r="L174" s="337"/>
      <c r="M174" s="337"/>
      <c r="N174" s="337"/>
      <c r="O174" s="46"/>
      <c r="P174" s="207"/>
    </row>
    <row r="175" spans="2:16">
      <c r="B175" s="109"/>
      <c r="C175" s="337"/>
      <c r="D175" s="337"/>
      <c r="E175" s="337"/>
      <c r="F175" s="337"/>
      <c r="G175" s="337"/>
      <c r="H175" s="337"/>
      <c r="I175" s="337"/>
      <c r="J175" s="337"/>
      <c r="K175" s="337"/>
      <c r="L175" s="337"/>
      <c r="M175" s="337"/>
      <c r="N175" s="337"/>
      <c r="O175" s="46"/>
      <c r="P175" s="207"/>
    </row>
    <row r="176" spans="2:16">
      <c r="B176" s="109"/>
      <c r="C176" s="337"/>
      <c r="D176" s="337"/>
      <c r="E176" s="337"/>
      <c r="F176" s="337"/>
      <c r="G176" s="337"/>
      <c r="H176" s="337"/>
      <c r="I176" s="337"/>
      <c r="J176" s="337"/>
      <c r="K176" s="337"/>
      <c r="L176" s="337"/>
      <c r="M176" s="337"/>
      <c r="N176" s="337"/>
      <c r="O176" s="46"/>
      <c r="P176" s="207"/>
    </row>
    <row r="177" spans="2:16">
      <c r="B177" s="109"/>
      <c r="C177" s="337"/>
      <c r="D177" s="337"/>
      <c r="E177" s="337"/>
      <c r="F177" s="337"/>
      <c r="G177" s="337"/>
      <c r="H177" s="337"/>
      <c r="I177" s="337"/>
      <c r="J177" s="337"/>
      <c r="K177" s="337"/>
      <c r="L177" s="337"/>
      <c r="M177" s="337"/>
      <c r="N177" s="337"/>
      <c r="O177" s="46"/>
      <c r="P177" s="207"/>
    </row>
    <row r="178" spans="2:16">
      <c r="B178" s="109"/>
      <c r="C178" s="337"/>
      <c r="D178" s="337"/>
      <c r="E178" s="337"/>
      <c r="F178" s="337"/>
      <c r="G178" s="337"/>
      <c r="H178" s="337"/>
      <c r="I178" s="337"/>
      <c r="J178" s="337"/>
      <c r="K178" s="337"/>
      <c r="L178" s="337"/>
      <c r="M178" s="337"/>
      <c r="N178" s="337"/>
      <c r="O178" s="46"/>
      <c r="P178" s="207"/>
    </row>
    <row r="179" spans="2:16">
      <c r="B179" s="109"/>
      <c r="C179" s="337"/>
      <c r="D179" s="337"/>
      <c r="E179" s="337"/>
      <c r="F179" s="337"/>
      <c r="G179" s="337"/>
      <c r="H179" s="337"/>
      <c r="I179" s="337"/>
      <c r="J179" s="337"/>
      <c r="K179" s="337"/>
      <c r="L179" s="337"/>
      <c r="M179" s="337"/>
      <c r="N179" s="337"/>
      <c r="O179" s="46"/>
      <c r="P179" s="207"/>
    </row>
    <row r="180" spans="2:16">
      <c r="B180" s="109"/>
      <c r="C180" s="337"/>
      <c r="D180" s="337"/>
      <c r="E180" s="337"/>
      <c r="F180" s="337"/>
      <c r="G180" s="337"/>
      <c r="H180" s="337"/>
      <c r="I180" s="337"/>
      <c r="J180" s="337"/>
      <c r="K180" s="337"/>
      <c r="L180" s="337"/>
      <c r="M180" s="337"/>
      <c r="N180" s="337"/>
      <c r="O180" s="46"/>
      <c r="P180" s="207"/>
    </row>
    <row r="181" spans="2:16">
      <c r="B181" s="109"/>
      <c r="C181" s="337"/>
      <c r="D181" s="337"/>
      <c r="E181" s="337"/>
      <c r="F181" s="337"/>
      <c r="G181" s="337"/>
      <c r="H181" s="337"/>
      <c r="I181" s="337"/>
      <c r="J181" s="337"/>
      <c r="K181" s="337"/>
      <c r="L181" s="337"/>
      <c r="M181" s="337"/>
      <c r="N181" s="337"/>
      <c r="O181" s="46"/>
      <c r="P181" s="207"/>
    </row>
    <row r="182" spans="2:16">
      <c r="B182" s="109"/>
      <c r="C182" s="337"/>
      <c r="D182" s="337"/>
      <c r="E182" s="337"/>
      <c r="F182" s="337"/>
      <c r="G182" s="337"/>
      <c r="H182" s="337"/>
      <c r="I182" s="337"/>
      <c r="J182" s="337"/>
      <c r="K182" s="337"/>
      <c r="L182" s="337"/>
      <c r="M182" s="337"/>
      <c r="N182" s="337"/>
      <c r="O182" s="46"/>
      <c r="P182" s="207"/>
    </row>
    <row r="183" spans="2:16">
      <c r="B183" s="109"/>
      <c r="C183" s="337"/>
      <c r="D183" s="337"/>
      <c r="E183" s="337"/>
      <c r="F183" s="337"/>
      <c r="G183" s="337"/>
      <c r="H183" s="337"/>
      <c r="I183" s="337"/>
      <c r="J183" s="337"/>
      <c r="K183" s="337"/>
      <c r="L183" s="337"/>
      <c r="M183" s="337"/>
      <c r="N183" s="337"/>
      <c r="O183" s="46"/>
      <c r="P183" s="207"/>
    </row>
    <row r="184" spans="2:16">
      <c r="B184" s="109"/>
      <c r="C184" s="337"/>
      <c r="D184" s="337"/>
      <c r="E184" s="337"/>
      <c r="F184" s="337"/>
      <c r="G184" s="337"/>
      <c r="H184" s="337"/>
      <c r="I184" s="337"/>
      <c r="J184" s="337"/>
      <c r="K184" s="337"/>
      <c r="L184" s="337"/>
      <c r="M184" s="337"/>
      <c r="N184" s="337"/>
      <c r="O184" s="46"/>
      <c r="P184" s="207"/>
    </row>
    <row r="185" spans="2:16">
      <c r="B185" s="109"/>
      <c r="C185" s="337"/>
      <c r="D185" s="337"/>
      <c r="E185" s="337"/>
      <c r="F185" s="337"/>
      <c r="G185" s="337"/>
      <c r="H185" s="337"/>
      <c r="I185" s="337"/>
      <c r="J185" s="337"/>
      <c r="K185" s="337"/>
      <c r="L185" s="337"/>
      <c r="M185" s="337"/>
      <c r="N185" s="337"/>
      <c r="O185" s="46"/>
      <c r="P185" s="207"/>
    </row>
    <row r="186" spans="2:16">
      <c r="B186" s="109"/>
      <c r="C186" s="337"/>
      <c r="D186" s="337"/>
      <c r="E186" s="337"/>
      <c r="F186" s="337"/>
      <c r="G186" s="337"/>
      <c r="H186" s="337"/>
      <c r="I186" s="337"/>
      <c r="J186" s="337"/>
      <c r="K186" s="337"/>
      <c r="L186" s="337"/>
      <c r="M186" s="337"/>
      <c r="N186" s="337"/>
      <c r="O186" s="46"/>
      <c r="P186" s="207"/>
    </row>
    <row r="187" spans="2:16">
      <c r="B187" s="109"/>
      <c r="C187" s="337"/>
      <c r="D187" s="337"/>
      <c r="E187" s="337"/>
      <c r="F187" s="337"/>
      <c r="G187" s="337"/>
      <c r="H187" s="337"/>
      <c r="I187" s="337"/>
      <c r="J187" s="337"/>
      <c r="K187" s="337"/>
      <c r="L187" s="337"/>
      <c r="M187" s="337"/>
      <c r="N187" s="337"/>
      <c r="O187" s="46"/>
      <c r="P187" s="207"/>
    </row>
    <row r="188" spans="2:16">
      <c r="B188" s="109"/>
      <c r="C188" s="337"/>
      <c r="D188" s="337"/>
      <c r="E188" s="337"/>
      <c r="F188" s="337"/>
      <c r="G188" s="337"/>
      <c r="H188" s="337"/>
      <c r="I188" s="337"/>
      <c r="J188" s="337"/>
      <c r="K188" s="337"/>
      <c r="L188" s="337"/>
      <c r="M188" s="337"/>
      <c r="N188" s="337"/>
      <c r="O188" s="46"/>
      <c r="P188" s="207"/>
    </row>
    <row r="189" spans="2:16">
      <c r="B189" s="109"/>
      <c r="C189" s="337"/>
      <c r="D189" s="337"/>
      <c r="E189" s="337"/>
      <c r="F189" s="337"/>
      <c r="G189" s="337"/>
      <c r="H189" s="337"/>
      <c r="I189" s="337"/>
      <c r="J189" s="337"/>
      <c r="K189" s="337"/>
      <c r="L189" s="337"/>
      <c r="M189" s="337"/>
      <c r="N189" s="337"/>
      <c r="O189" s="46"/>
      <c r="P189" s="207"/>
    </row>
    <row r="190" spans="2:16">
      <c r="B190" s="109"/>
      <c r="C190" s="337"/>
      <c r="D190" s="337"/>
      <c r="E190" s="337"/>
      <c r="F190" s="337"/>
      <c r="G190" s="337"/>
      <c r="H190" s="337"/>
      <c r="I190" s="337"/>
      <c r="J190" s="337"/>
      <c r="K190" s="337"/>
      <c r="L190" s="337"/>
      <c r="M190" s="337"/>
      <c r="N190" s="337"/>
      <c r="O190" s="46"/>
      <c r="P190" s="207"/>
    </row>
    <row r="191" spans="2:16">
      <c r="B191" s="109"/>
      <c r="C191" s="337"/>
      <c r="D191" s="337"/>
      <c r="E191" s="337"/>
      <c r="F191" s="337"/>
      <c r="G191" s="337"/>
      <c r="H191" s="337"/>
      <c r="I191" s="337"/>
      <c r="J191" s="337"/>
      <c r="K191" s="337"/>
      <c r="L191" s="337"/>
      <c r="M191" s="337"/>
      <c r="N191" s="337"/>
      <c r="O191" s="46"/>
      <c r="P191" s="207"/>
    </row>
    <row r="192" spans="2:16">
      <c r="B192" s="109"/>
      <c r="C192" s="337"/>
      <c r="D192" s="337"/>
      <c r="E192" s="337"/>
      <c r="F192" s="337"/>
      <c r="G192" s="337"/>
      <c r="H192" s="337"/>
      <c r="I192" s="337"/>
      <c r="J192" s="337"/>
      <c r="K192" s="337"/>
      <c r="L192" s="337"/>
      <c r="M192" s="337"/>
      <c r="N192" s="337"/>
      <c r="O192" s="46"/>
      <c r="P192" s="207"/>
    </row>
    <row r="193" spans="2:16">
      <c r="B193" s="109"/>
      <c r="C193" s="337"/>
      <c r="D193" s="337"/>
      <c r="E193" s="337"/>
      <c r="F193" s="337"/>
      <c r="G193" s="337"/>
      <c r="H193" s="337"/>
      <c r="I193" s="337"/>
      <c r="J193" s="337"/>
      <c r="K193" s="337"/>
      <c r="L193" s="337"/>
      <c r="M193" s="337"/>
      <c r="N193" s="337"/>
      <c r="O193" s="46"/>
      <c r="P193" s="207"/>
    </row>
    <row r="194" spans="2:16">
      <c r="B194" s="109"/>
      <c r="C194" s="337"/>
      <c r="D194" s="337"/>
      <c r="E194" s="337"/>
      <c r="F194" s="337"/>
      <c r="G194" s="337"/>
      <c r="H194" s="337"/>
      <c r="I194" s="337"/>
      <c r="J194" s="337"/>
      <c r="K194" s="337"/>
      <c r="L194" s="337"/>
      <c r="M194" s="337"/>
      <c r="N194" s="337"/>
      <c r="O194" s="46"/>
      <c r="P194" s="207"/>
    </row>
    <row r="195" spans="2:16">
      <c r="B195" s="109"/>
      <c r="C195" s="337"/>
      <c r="D195" s="337"/>
      <c r="E195" s="337"/>
      <c r="F195" s="337"/>
      <c r="G195" s="337"/>
      <c r="H195" s="337"/>
      <c r="I195" s="337"/>
      <c r="J195" s="337"/>
      <c r="K195" s="337"/>
      <c r="L195" s="337"/>
      <c r="M195" s="337"/>
      <c r="N195" s="337"/>
      <c r="O195" s="46"/>
      <c r="P195" s="207"/>
    </row>
    <row r="196" spans="2:16">
      <c r="B196" s="109"/>
      <c r="C196" s="337"/>
      <c r="D196" s="337"/>
      <c r="E196" s="337"/>
      <c r="F196" s="337"/>
      <c r="G196" s="337"/>
      <c r="H196" s="337"/>
      <c r="I196" s="337"/>
      <c r="J196" s="337"/>
      <c r="K196" s="337"/>
      <c r="L196" s="337"/>
      <c r="M196" s="337"/>
      <c r="N196" s="337"/>
      <c r="O196" s="46"/>
      <c r="P196" s="207"/>
    </row>
    <row r="197" spans="2:16">
      <c r="B197" s="109"/>
      <c r="C197" s="337"/>
      <c r="D197" s="337"/>
      <c r="E197" s="337"/>
      <c r="F197" s="337"/>
      <c r="G197" s="337"/>
      <c r="H197" s="337"/>
      <c r="I197" s="337"/>
      <c r="J197" s="337"/>
      <c r="K197" s="337"/>
      <c r="L197" s="337"/>
      <c r="M197" s="337"/>
      <c r="N197" s="337"/>
      <c r="O197" s="46"/>
      <c r="P197" s="207"/>
    </row>
    <row r="198" spans="2:16">
      <c r="B198" s="109"/>
      <c r="C198" s="337"/>
      <c r="D198" s="337"/>
      <c r="E198" s="337"/>
      <c r="F198" s="337"/>
      <c r="G198" s="337"/>
      <c r="H198" s="337"/>
      <c r="I198" s="337"/>
      <c r="J198" s="337"/>
      <c r="K198" s="337"/>
      <c r="L198" s="337"/>
      <c r="M198" s="337"/>
      <c r="N198" s="337"/>
      <c r="O198" s="46"/>
      <c r="P198" s="207"/>
    </row>
    <row r="199" spans="2:16">
      <c r="B199" s="109"/>
      <c r="C199" s="337"/>
      <c r="D199" s="337"/>
      <c r="E199" s="337"/>
      <c r="F199" s="337"/>
      <c r="G199" s="337"/>
      <c r="H199" s="337"/>
      <c r="I199" s="337"/>
      <c r="J199" s="337"/>
      <c r="K199" s="337"/>
      <c r="L199" s="337"/>
      <c r="M199" s="337"/>
      <c r="N199" s="337"/>
      <c r="O199" s="46"/>
      <c r="P199" s="207"/>
    </row>
    <row r="200" spans="2:16">
      <c r="B200" s="109"/>
      <c r="C200" s="337"/>
      <c r="D200" s="337"/>
      <c r="E200" s="337"/>
      <c r="F200" s="337"/>
      <c r="G200" s="337"/>
      <c r="H200" s="337"/>
      <c r="I200" s="337"/>
      <c r="J200" s="337"/>
      <c r="K200" s="337"/>
      <c r="L200" s="337"/>
      <c r="M200" s="337"/>
      <c r="N200" s="337"/>
      <c r="O200" s="46"/>
      <c r="P200" s="207"/>
    </row>
    <row r="201" spans="2:16">
      <c r="B201" s="109"/>
      <c r="C201" s="337"/>
      <c r="D201" s="337"/>
      <c r="E201" s="337"/>
      <c r="F201" s="337"/>
      <c r="G201" s="337"/>
      <c r="H201" s="337"/>
      <c r="I201" s="337"/>
      <c r="J201" s="337"/>
      <c r="K201" s="337"/>
      <c r="L201" s="337"/>
      <c r="M201" s="337"/>
      <c r="N201" s="337"/>
      <c r="O201" s="46"/>
      <c r="P201" s="207"/>
    </row>
    <row r="202" spans="2:16">
      <c r="B202" s="109"/>
      <c r="C202" s="337"/>
      <c r="D202" s="337"/>
      <c r="E202" s="337"/>
      <c r="F202" s="337"/>
      <c r="G202" s="337"/>
      <c r="H202" s="337"/>
      <c r="I202" s="337"/>
      <c r="J202" s="337"/>
      <c r="K202" s="337"/>
      <c r="L202" s="337"/>
      <c r="M202" s="337"/>
      <c r="N202" s="337"/>
      <c r="O202" s="46"/>
      <c r="P202" s="207"/>
    </row>
    <row r="203" spans="2:16">
      <c r="B203" s="109"/>
      <c r="C203" s="337"/>
      <c r="D203" s="337"/>
      <c r="E203" s="337"/>
      <c r="F203" s="337"/>
      <c r="G203" s="337"/>
      <c r="H203" s="337"/>
      <c r="I203" s="337"/>
      <c r="J203" s="337"/>
      <c r="K203" s="337"/>
      <c r="L203" s="337"/>
      <c r="M203" s="337"/>
      <c r="N203" s="337"/>
      <c r="O203" s="46"/>
      <c r="P203" s="207"/>
    </row>
    <row r="204" spans="2:16">
      <c r="B204" s="109"/>
      <c r="C204" s="337"/>
      <c r="D204" s="337"/>
      <c r="E204" s="337"/>
      <c r="F204" s="337"/>
      <c r="G204" s="337"/>
      <c r="H204" s="337"/>
      <c r="I204" s="337"/>
      <c r="J204" s="337"/>
      <c r="K204" s="337"/>
      <c r="L204" s="337"/>
      <c r="M204" s="337"/>
      <c r="N204" s="337"/>
      <c r="O204" s="46"/>
      <c r="P204" s="207"/>
    </row>
    <row r="205" spans="2:16">
      <c r="B205" s="109"/>
      <c r="C205" s="337"/>
      <c r="D205" s="337"/>
      <c r="E205" s="337"/>
      <c r="F205" s="337"/>
      <c r="G205" s="337"/>
      <c r="H205" s="337"/>
      <c r="I205" s="337"/>
      <c r="J205" s="337"/>
      <c r="K205" s="337"/>
      <c r="L205" s="337"/>
      <c r="M205" s="337"/>
      <c r="N205" s="337"/>
      <c r="O205" s="46"/>
      <c r="P205" s="207"/>
    </row>
    <row r="206" spans="2:16">
      <c r="B206" s="109"/>
      <c r="C206" s="337"/>
      <c r="D206" s="337"/>
      <c r="E206" s="337"/>
      <c r="F206" s="337"/>
      <c r="G206" s="337"/>
      <c r="H206" s="337"/>
      <c r="I206" s="337"/>
      <c r="J206" s="337"/>
      <c r="K206" s="337"/>
      <c r="L206" s="337"/>
      <c r="M206" s="337"/>
      <c r="N206" s="337"/>
      <c r="O206" s="46"/>
      <c r="P206" s="207"/>
    </row>
    <row r="207" spans="2:16">
      <c r="B207" s="109"/>
      <c r="C207" s="337"/>
      <c r="D207" s="337"/>
      <c r="E207" s="337"/>
      <c r="F207" s="337"/>
      <c r="G207" s="337"/>
      <c r="H207" s="337"/>
      <c r="I207" s="337"/>
      <c r="J207" s="337"/>
      <c r="K207" s="337"/>
      <c r="L207" s="337"/>
      <c r="M207" s="337"/>
      <c r="N207" s="337"/>
      <c r="O207" s="46"/>
      <c r="P207" s="207"/>
    </row>
    <row r="208" spans="2:16">
      <c r="B208" s="109"/>
      <c r="C208" s="337"/>
      <c r="D208" s="337"/>
      <c r="E208" s="337"/>
      <c r="F208" s="337"/>
      <c r="G208" s="337"/>
      <c r="H208" s="337"/>
      <c r="I208" s="337"/>
      <c r="J208" s="337"/>
      <c r="K208" s="337"/>
      <c r="L208" s="337"/>
      <c r="M208" s="337"/>
      <c r="N208" s="337"/>
      <c r="O208" s="46"/>
      <c r="P208" s="207"/>
    </row>
    <row r="209" spans="2:16">
      <c r="B209" s="109"/>
      <c r="C209" s="337"/>
      <c r="D209" s="337"/>
      <c r="E209" s="337"/>
      <c r="F209" s="337"/>
      <c r="G209" s="337"/>
      <c r="H209" s="337"/>
      <c r="I209" s="337"/>
      <c r="J209" s="337"/>
      <c r="K209" s="337"/>
      <c r="L209" s="337"/>
      <c r="M209" s="337"/>
      <c r="N209" s="337"/>
      <c r="O209" s="46"/>
      <c r="P209" s="207"/>
    </row>
    <row r="210" spans="2:16">
      <c r="B210" s="109"/>
      <c r="C210" s="337"/>
      <c r="D210" s="337"/>
      <c r="E210" s="337"/>
      <c r="F210" s="337"/>
      <c r="G210" s="337"/>
      <c r="H210" s="337"/>
      <c r="I210" s="337"/>
      <c r="J210" s="337"/>
      <c r="K210" s="337"/>
      <c r="L210" s="337"/>
      <c r="M210" s="337"/>
      <c r="N210" s="337"/>
      <c r="O210" s="46"/>
      <c r="P210" s="207"/>
    </row>
    <row r="211" spans="2:16">
      <c r="B211" s="109"/>
      <c r="C211" s="337"/>
      <c r="D211" s="337"/>
      <c r="E211" s="337"/>
      <c r="F211" s="337"/>
      <c r="G211" s="337"/>
      <c r="H211" s="337"/>
      <c r="I211" s="337"/>
      <c r="J211" s="337"/>
      <c r="K211" s="337"/>
      <c r="L211" s="337"/>
      <c r="M211" s="337"/>
      <c r="N211" s="337"/>
      <c r="O211" s="46"/>
      <c r="P211" s="207"/>
    </row>
    <row r="212" spans="2:16">
      <c r="B212" s="109"/>
      <c r="C212" s="337"/>
      <c r="D212" s="337"/>
      <c r="E212" s="337"/>
      <c r="F212" s="337"/>
      <c r="G212" s="337"/>
      <c r="H212" s="337"/>
      <c r="I212" s="337"/>
      <c r="J212" s="337"/>
      <c r="K212" s="337"/>
      <c r="L212" s="337"/>
      <c r="M212" s="337"/>
      <c r="N212" s="337"/>
      <c r="O212" s="46"/>
      <c r="P212" s="207"/>
    </row>
    <row r="213" spans="2:16">
      <c r="B213" s="109"/>
      <c r="C213" s="337"/>
      <c r="D213" s="337"/>
      <c r="E213" s="337"/>
      <c r="F213" s="337"/>
      <c r="G213" s="337"/>
      <c r="H213" s="337"/>
      <c r="I213" s="337"/>
      <c r="J213" s="337"/>
      <c r="K213" s="337"/>
      <c r="L213" s="337"/>
      <c r="M213" s="337"/>
      <c r="N213" s="337"/>
      <c r="O213" s="46"/>
      <c r="P213" s="207"/>
    </row>
    <row r="214" spans="2:16">
      <c r="B214" s="109"/>
      <c r="C214" s="337"/>
      <c r="D214" s="337"/>
      <c r="E214" s="337"/>
      <c r="F214" s="337"/>
      <c r="G214" s="337"/>
      <c r="H214" s="337"/>
      <c r="I214" s="337"/>
      <c r="J214" s="337"/>
      <c r="K214" s="337"/>
      <c r="L214" s="337"/>
      <c r="M214" s="337"/>
      <c r="N214" s="337"/>
      <c r="O214" s="46"/>
      <c r="P214" s="207"/>
    </row>
    <row r="215" spans="2:16">
      <c r="B215" s="109"/>
      <c r="C215" s="337"/>
      <c r="D215" s="337"/>
      <c r="E215" s="337"/>
      <c r="F215" s="337"/>
      <c r="G215" s="337"/>
      <c r="H215" s="337"/>
      <c r="I215" s="337"/>
      <c r="J215" s="337"/>
      <c r="K215" s="337"/>
      <c r="L215" s="337"/>
      <c r="M215" s="337"/>
      <c r="N215" s="337"/>
      <c r="O215" s="46"/>
      <c r="P215" s="207"/>
    </row>
    <row r="216" spans="2:16">
      <c r="B216" s="109"/>
      <c r="C216" s="337"/>
      <c r="D216" s="337"/>
      <c r="E216" s="337"/>
      <c r="F216" s="337"/>
      <c r="G216" s="337"/>
      <c r="H216" s="337"/>
      <c r="I216" s="337"/>
      <c r="J216" s="337"/>
      <c r="K216" s="337"/>
      <c r="L216" s="337"/>
      <c r="M216" s="337"/>
      <c r="N216" s="337"/>
      <c r="O216" s="46"/>
      <c r="P216" s="207"/>
    </row>
    <row r="217" spans="2:16">
      <c r="B217" s="109"/>
      <c r="C217" s="337"/>
      <c r="D217" s="337"/>
      <c r="E217" s="337"/>
      <c r="F217" s="337"/>
      <c r="G217" s="337"/>
      <c r="H217" s="337"/>
      <c r="I217" s="337"/>
      <c r="J217" s="337"/>
      <c r="K217" s="337"/>
      <c r="L217" s="337"/>
      <c r="M217" s="337"/>
      <c r="N217" s="337"/>
      <c r="O217" s="46"/>
      <c r="P217" s="207"/>
    </row>
    <row r="218" spans="2:16">
      <c r="B218" s="109"/>
      <c r="C218" s="337"/>
      <c r="D218" s="337"/>
      <c r="E218" s="337"/>
      <c r="F218" s="337"/>
      <c r="G218" s="337"/>
      <c r="H218" s="337"/>
      <c r="I218" s="337"/>
      <c r="J218" s="337"/>
      <c r="K218" s="337"/>
      <c r="L218" s="337"/>
      <c r="M218" s="337"/>
      <c r="N218" s="337"/>
      <c r="O218" s="46"/>
      <c r="P218" s="207"/>
    </row>
    <row r="219" spans="2:16">
      <c r="B219" s="109"/>
      <c r="C219" s="337"/>
      <c r="D219" s="337"/>
      <c r="E219" s="337"/>
      <c r="F219" s="337"/>
      <c r="G219" s="337"/>
      <c r="H219" s="337"/>
      <c r="I219" s="337"/>
      <c r="J219" s="337"/>
      <c r="K219" s="337"/>
      <c r="L219" s="337"/>
      <c r="M219" s="337"/>
      <c r="N219" s="337"/>
      <c r="O219" s="46"/>
      <c r="P219" s="207"/>
    </row>
    <row r="220" spans="2:16">
      <c r="B220" s="109"/>
      <c r="C220" s="337"/>
      <c r="D220" s="337"/>
      <c r="E220" s="337"/>
      <c r="F220" s="337"/>
      <c r="G220" s="337"/>
      <c r="H220" s="337"/>
      <c r="I220" s="337"/>
      <c r="J220" s="337"/>
      <c r="K220" s="337"/>
      <c r="L220" s="337"/>
      <c r="M220" s="337"/>
      <c r="N220" s="337"/>
      <c r="O220" s="46"/>
      <c r="P220" s="207"/>
    </row>
    <row r="221" spans="2:16">
      <c r="B221" s="109"/>
      <c r="C221" s="337"/>
      <c r="D221" s="337"/>
      <c r="E221" s="337"/>
      <c r="F221" s="337"/>
      <c r="G221" s="337"/>
      <c r="H221" s="337"/>
      <c r="I221" s="337"/>
      <c r="J221" s="337"/>
      <c r="K221" s="337"/>
      <c r="L221" s="337"/>
      <c r="M221" s="337"/>
      <c r="N221" s="337"/>
      <c r="O221" s="46"/>
      <c r="P221" s="207"/>
    </row>
    <row r="222" spans="2:16">
      <c r="B222" s="109"/>
      <c r="C222" s="337"/>
      <c r="D222" s="337"/>
      <c r="E222" s="337"/>
      <c r="F222" s="337"/>
      <c r="G222" s="337"/>
      <c r="H222" s="337"/>
      <c r="I222" s="337"/>
      <c r="J222" s="337"/>
      <c r="K222" s="337"/>
      <c r="L222" s="337"/>
      <c r="M222" s="337"/>
      <c r="N222" s="337"/>
      <c r="O222" s="46"/>
      <c r="P222" s="207"/>
    </row>
    <row r="223" spans="2:16">
      <c r="B223" s="109"/>
      <c r="C223" s="337"/>
      <c r="D223" s="337"/>
      <c r="E223" s="337"/>
      <c r="F223" s="337"/>
      <c r="G223" s="337"/>
      <c r="H223" s="337"/>
      <c r="I223" s="337"/>
      <c r="J223" s="337"/>
      <c r="K223" s="337"/>
      <c r="L223" s="337"/>
      <c r="M223" s="337"/>
      <c r="N223" s="337"/>
      <c r="O223" s="46"/>
      <c r="P223" s="207"/>
    </row>
    <row r="224" spans="2:16">
      <c r="B224" s="109"/>
      <c r="C224" s="337"/>
      <c r="D224" s="337"/>
      <c r="E224" s="337"/>
      <c r="F224" s="337"/>
      <c r="G224" s="337"/>
      <c r="H224" s="337"/>
      <c r="I224" s="337"/>
      <c r="J224" s="337"/>
      <c r="K224" s="337"/>
      <c r="L224" s="337"/>
      <c r="M224" s="337"/>
      <c r="N224" s="337"/>
      <c r="O224" s="46"/>
      <c r="P224" s="207"/>
    </row>
    <row r="225" spans="2:16">
      <c r="B225" s="109"/>
      <c r="C225" s="337"/>
      <c r="D225" s="337"/>
      <c r="E225" s="337"/>
      <c r="F225" s="337"/>
      <c r="G225" s="337"/>
      <c r="H225" s="337"/>
      <c r="I225" s="337"/>
      <c r="J225" s="337"/>
      <c r="K225" s="337"/>
      <c r="L225" s="337"/>
      <c r="M225" s="337"/>
      <c r="N225" s="337"/>
      <c r="O225" s="46"/>
      <c r="P225" s="207"/>
    </row>
    <row r="226" spans="2:16">
      <c r="B226" s="109"/>
      <c r="C226" s="337"/>
      <c r="D226" s="337"/>
      <c r="E226" s="337"/>
      <c r="F226" s="337"/>
      <c r="G226" s="337"/>
      <c r="H226" s="337"/>
      <c r="I226" s="337"/>
      <c r="J226" s="337"/>
      <c r="K226" s="337"/>
      <c r="L226" s="337"/>
      <c r="M226" s="337"/>
      <c r="N226" s="337"/>
      <c r="O226" s="46"/>
      <c r="P226" s="207"/>
    </row>
    <row r="227" spans="2:16">
      <c r="B227" s="109"/>
      <c r="C227" s="337"/>
      <c r="D227" s="337"/>
      <c r="E227" s="337"/>
      <c r="F227" s="337"/>
      <c r="G227" s="337"/>
      <c r="H227" s="337"/>
      <c r="I227" s="337"/>
      <c r="J227" s="337"/>
      <c r="K227" s="337"/>
      <c r="L227" s="337"/>
      <c r="M227" s="337"/>
      <c r="N227" s="337"/>
      <c r="O227" s="46"/>
      <c r="P227" s="207"/>
    </row>
    <row r="228" spans="2:16">
      <c r="B228" s="109"/>
      <c r="C228" s="337"/>
      <c r="D228" s="337"/>
      <c r="E228" s="337"/>
      <c r="F228" s="337"/>
      <c r="G228" s="337"/>
      <c r="H228" s="337"/>
      <c r="I228" s="337"/>
      <c r="J228" s="337"/>
      <c r="K228" s="337"/>
      <c r="L228" s="337"/>
      <c r="M228" s="337"/>
      <c r="N228" s="337"/>
      <c r="O228" s="46"/>
      <c r="P228" s="207"/>
    </row>
    <row r="229" spans="2:16">
      <c r="B229" s="109"/>
      <c r="C229" s="337"/>
      <c r="D229" s="337"/>
      <c r="E229" s="337"/>
      <c r="F229" s="337"/>
      <c r="G229" s="337"/>
      <c r="H229" s="337"/>
      <c r="I229" s="337"/>
      <c r="J229" s="337"/>
      <c r="K229" s="337"/>
      <c r="L229" s="337"/>
      <c r="M229" s="337"/>
      <c r="N229" s="337"/>
      <c r="O229" s="46"/>
      <c r="P229" s="207"/>
    </row>
    <row r="230" spans="2:16">
      <c r="B230" s="109"/>
      <c r="C230" s="337"/>
      <c r="D230" s="337"/>
      <c r="E230" s="337"/>
      <c r="F230" s="337"/>
      <c r="G230" s="337"/>
      <c r="H230" s="337"/>
      <c r="I230" s="337"/>
      <c r="J230" s="337"/>
      <c r="K230" s="337"/>
      <c r="L230" s="337"/>
      <c r="M230" s="337"/>
      <c r="N230" s="337"/>
      <c r="O230" s="46"/>
      <c r="P230" s="207"/>
    </row>
    <row r="231" spans="2:16">
      <c r="B231" s="109"/>
      <c r="C231" s="337"/>
      <c r="D231" s="337"/>
      <c r="E231" s="337"/>
      <c r="F231" s="337"/>
      <c r="G231" s="337"/>
      <c r="H231" s="337"/>
      <c r="I231" s="337"/>
      <c r="J231" s="337"/>
      <c r="K231" s="337"/>
      <c r="L231" s="337"/>
      <c r="M231" s="337"/>
      <c r="N231" s="337"/>
      <c r="O231" s="46"/>
      <c r="P231" s="207"/>
    </row>
    <row r="232" spans="2:16">
      <c r="B232" s="109"/>
      <c r="C232" s="337"/>
      <c r="D232" s="337"/>
      <c r="E232" s="337"/>
      <c r="F232" s="337"/>
      <c r="G232" s="337"/>
      <c r="H232" s="337"/>
      <c r="I232" s="337"/>
      <c r="J232" s="337"/>
      <c r="K232" s="337"/>
      <c r="L232" s="337"/>
      <c r="M232" s="337"/>
      <c r="N232" s="337"/>
      <c r="O232" s="46"/>
      <c r="P232" s="207"/>
    </row>
    <row r="233" spans="2:16">
      <c r="B233" s="109"/>
      <c r="C233" s="337"/>
      <c r="D233" s="337"/>
      <c r="E233" s="337"/>
      <c r="F233" s="337"/>
      <c r="G233" s="337"/>
      <c r="H233" s="337"/>
      <c r="I233" s="337"/>
      <c r="J233" s="337"/>
      <c r="K233" s="337"/>
      <c r="L233" s="337"/>
      <c r="M233" s="337"/>
      <c r="N233" s="337"/>
      <c r="O233" s="46"/>
      <c r="P233" s="207"/>
    </row>
    <row r="234" spans="2:16">
      <c r="B234" s="109"/>
      <c r="C234" s="337"/>
      <c r="D234" s="337"/>
      <c r="E234" s="337"/>
      <c r="F234" s="337"/>
      <c r="G234" s="337"/>
      <c r="H234" s="337"/>
      <c r="I234" s="337"/>
      <c r="J234" s="337"/>
      <c r="K234" s="337"/>
      <c r="L234" s="337"/>
      <c r="M234" s="337"/>
      <c r="N234" s="337"/>
      <c r="O234" s="46"/>
      <c r="P234" s="207"/>
    </row>
    <row r="235" spans="2:16">
      <c r="B235" s="109"/>
      <c r="C235" s="337"/>
      <c r="D235" s="337"/>
      <c r="E235" s="337"/>
      <c r="F235" s="337"/>
      <c r="G235" s="337"/>
      <c r="H235" s="337"/>
      <c r="I235" s="337"/>
      <c r="J235" s="337"/>
      <c r="K235" s="337"/>
      <c r="L235" s="337"/>
      <c r="M235" s="337"/>
      <c r="N235" s="337"/>
      <c r="O235" s="46"/>
      <c r="P235" s="207"/>
    </row>
    <row r="236" spans="2:16">
      <c r="B236" s="109"/>
      <c r="C236" s="337"/>
      <c r="D236" s="337"/>
      <c r="E236" s="337"/>
      <c r="F236" s="337"/>
      <c r="G236" s="337"/>
      <c r="H236" s="337"/>
      <c r="I236" s="337"/>
      <c r="J236" s="337"/>
      <c r="K236" s="337"/>
      <c r="L236" s="337"/>
      <c r="M236" s="337"/>
      <c r="N236" s="337"/>
      <c r="O236" s="46"/>
      <c r="P236" s="207"/>
    </row>
    <row r="237" spans="2:16">
      <c r="B237" s="109"/>
      <c r="C237" s="337"/>
      <c r="D237" s="337"/>
      <c r="E237" s="337"/>
      <c r="F237" s="337"/>
      <c r="G237" s="337"/>
      <c r="H237" s="337"/>
      <c r="I237" s="337"/>
      <c r="J237" s="337"/>
      <c r="K237" s="337"/>
      <c r="L237" s="337"/>
      <c r="M237" s="337"/>
      <c r="N237" s="337"/>
      <c r="O237" s="46"/>
      <c r="P237" s="207"/>
    </row>
    <row r="238" spans="2:16">
      <c r="B238" s="109"/>
      <c r="C238" s="337"/>
      <c r="D238" s="337"/>
      <c r="E238" s="337"/>
      <c r="F238" s="337"/>
      <c r="G238" s="337"/>
      <c r="H238" s="337"/>
      <c r="I238" s="337"/>
      <c r="J238" s="337"/>
      <c r="K238" s="337"/>
      <c r="L238" s="337"/>
      <c r="M238" s="337"/>
      <c r="N238" s="337"/>
      <c r="O238" s="46"/>
      <c r="P238" s="207"/>
    </row>
    <row r="239" spans="2:16">
      <c r="B239" s="109"/>
      <c r="C239" s="337"/>
      <c r="D239" s="337"/>
      <c r="E239" s="337"/>
      <c r="F239" s="337"/>
      <c r="G239" s="337"/>
      <c r="H239" s="337"/>
      <c r="I239" s="337"/>
      <c r="J239" s="337"/>
      <c r="K239" s="337"/>
      <c r="L239" s="337"/>
      <c r="M239" s="337"/>
      <c r="N239" s="337"/>
      <c r="O239" s="46"/>
      <c r="P239" s="207"/>
    </row>
    <row r="240" spans="2:16">
      <c r="B240" s="109"/>
      <c r="C240" s="337"/>
      <c r="D240" s="337"/>
      <c r="E240" s="337"/>
      <c r="F240" s="337"/>
      <c r="G240" s="337"/>
      <c r="H240" s="337"/>
      <c r="I240" s="337"/>
      <c r="J240" s="337"/>
      <c r="K240" s="337"/>
      <c r="L240" s="337"/>
      <c r="M240" s="337"/>
      <c r="N240" s="337"/>
      <c r="O240" s="46"/>
      <c r="P240" s="207"/>
    </row>
    <row r="241" spans="2:16">
      <c r="B241" s="109"/>
      <c r="C241" s="337"/>
      <c r="D241" s="337"/>
      <c r="E241" s="337"/>
      <c r="F241" s="337"/>
      <c r="G241" s="337"/>
      <c r="H241" s="337"/>
      <c r="I241" s="337"/>
      <c r="J241" s="337"/>
      <c r="K241" s="337"/>
      <c r="L241" s="337"/>
      <c r="M241" s="337"/>
      <c r="N241" s="337"/>
      <c r="O241" s="46"/>
      <c r="P241" s="207"/>
    </row>
    <row r="242" spans="2:16">
      <c r="B242" s="109"/>
      <c r="C242" s="337"/>
      <c r="D242" s="337"/>
      <c r="E242" s="337"/>
      <c r="F242" s="337"/>
      <c r="G242" s="337"/>
      <c r="H242" s="337"/>
      <c r="I242" s="337"/>
      <c r="J242" s="337"/>
      <c r="K242" s="337"/>
      <c r="L242" s="337"/>
      <c r="M242" s="337"/>
      <c r="N242" s="337"/>
      <c r="O242" s="46"/>
      <c r="P242" s="207"/>
    </row>
    <row r="243" spans="2:16">
      <c r="B243" s="109"/>
      <c r="C243" s="337"/>
      <c r="D243" s="337"/>
      <c r="E243" s="337"/>
      <c r="F243" s="337"/>
      <c r="G243" s="337"/>
      <c r="H243" s="337"/>
      <c r="I243" s="337"/>
      <c r="J243" s="337"/>
      <c r="K243" s="337"/>
      <c r="L243" s="337"/>
      <c r="M243" s="337"/>
      <c r="N243" s="337"/>
      <c r="O243" s="46"/>
      <c r="P243" s="207"/>
    </row>
    <row r="244" spans="2:16">
      <c r="B244" s="109"/>
      <c r="C244" s="337"/>
      <c r="D244" s="337"/>
      <c r="E244" s="337"/>
      <c r="F244" s="337"/>
      <c r="G244" s="337"/>
      <c r="H244" s="337"/>
      <c r="I244" s="337"/>
      <c r="J244" s="337"/>
      <c r="K244" s="337"/>
      <c r="L244" s="337"/>
      <c r="M244" s="337"/>
      <c r="N244" s="337"/>
      <c r="O244" s="46"/>
      <c r="P244" s="207"/>
    </row>
    <row r="245" spans="2:16">
      <c r="B245" s="109"/>
      <c r="C245" s="337"/>
      <c r="D245" s="337"/>
      <c r="E245" s="337"/>
      <c r="F245" s="337"/>
      <c r="G245" s="337"/>
      <c r="H245" s="337"/>
      <c r="I245" s="337"/>
      <c r="J245" s="337"/>
      <c r="K245" s="337"/>
      <c r="L245" s="337"/>
      <c r="M245" s="337"/>
      <c r="N245" s="337"/>
      <c r="O245" s="46"/>
      <c r="P245" s="207"/>
    </row>
    <row r="246" spans="2:16">
      <c r="B246" s="109"/>
      <c r="C246" s="337"/>
      <c r="D246" s="337"/>
      <c r="E246" s="337"/>
      <c r="F246" s="337"/>
      <c r="G246" s="337"/>
      <c r="H246" s="337"/>
      <c r="I246" s="337"/>
      <c r="J246" s="337"/>
      <c r="K246" s="337"/>
      <c r="L246" s="337"/>
      <c r="M246" s="337"/>
      <c r="N246" s="337"/>
      <c r="O246" s="46"/>
      <c r="P246" s="207"/>
    </row>
    <row r="247" spans="2:16">
      <c r="B247" s="109"/>
      <c r="C247" s="337"/>
      <c r="D247" s="337"/>
      <c r="E247" s="337"/>
      <c r="F247" s="337"/>
      <c r="G247" s="337"/>
      <c r="H247" s="337"/>
      <c r="I247" s="337"/>
      <c r="J247" s="337"/>
      <c r="K247" s="337"/>
      <c r="L247" s="337"/>
      <c r="M247" s="337"/>
      <c r="N247" s="337"/>
      <c r="O247" s="46"/>
      <c r="P247" s="207"/>
    </row>
    <row r="248" spans="2:16">
      <c r="B248" s="109"/>
      <c r="C248" s="337"/>
      <c r="D248" s="337"/>
      <c r="E248" s="337"/>
      <c r="F248" s="337"/>
      <c r="G248" s="337"/>
      <c r="H248" s="337"/>
      <c r="I248" s="337"/>
      <c r="J248" s="337"/>
      <c r="K248" s="337"/>
      <c r="L248" s="337"/>
      <c r="M248" s="337"/>
      <c r="N248" s="337"/>
      <c r="O248" s="46"/>
      <c r="P248" s="207"/>
    </row>
    <row r="249" spans="2:16">
      <c r="B249" s="109"/>
      <c r="C249" s="337"/>
      <c r="D249" s="337"/>
      <c r="E249" s="337"/>
      <c r="F249" s="337"/>
      <c r="G249" s="337"/>
      <c r="H249" s="337"/>
      <c r="I249" s="337"/>
      <c r="J249" s="337"/>
      <c r="K249" s="337"/>
      <c r="L249" s="337"/>
      <c r="M249" s="337"/>
      <c r="N249" s="337"/>
      <c r="O249" s="46"/>
      <c r="P249" s="207"/>
    </row>
    <row r="250" spans="2:16">
      <c r="B250" s="109"/>
      <c r="C250" s="337"/>
      <c r="D250" s="337"/>
      <c r="E250" s="337"/>
      <c r="F250" s="337"/>
      <c r="G250" s="337"/>
      <c r="H250" s="337"/>
      <c r="I250" s="337"/>
      <c r="J250" s="337"/>
      <c r="K250" s="337"/>
      <c r="L250" s="337"/>
      <c r="M250" s="337"/>
      <c r="N250" s="337"/>
      <c r="O250" s="46"/>
      <c r="P250" s="207"/>
    </row>
    <row r="251" spans="2:16">
      <c r="B251" s="109"/>
      <c r="C251" s="337"/>
      <c r="D251" s="337"/>
      <c r="E251" s="337"/>
      <c r="F251" s="337"/>
      <c r="G251" s="337"/>
      <c r="H251" s="337"/>
      <c r="I251" s="337"/>
      <c r="J251" s="337"/>
      <c r="K251" s="337"/>
      <c r="L251" s="337"/>
      <c r="M251" s="337"/>
      <c r="N251" s="337"/>
      <c r="O251" s="46"/>
      <c r="P251" s="207"/>
    </row>
    <row r="252" spans="2:16">
      <c r="B252" s="109"/>
      <c r="C252" s="337"/>
      <c r="D252" s="337"/>
      <c r="E252" s="337"/>
      <c r="F252" s="337"/>
      <c r="G252" s="337"/>
      <c r="H252" s="337"/>
      <c r="I252" s="337"/>
      <c r="J252" s="337"/>
      <c r="K252" s="337"/>
      <c r="L252" s="337"/>
      <c r="M252" s="337"/>
      <c r="N252" s="337"/>
      <c r="O252" s="46"/>
      <c r="P252" s="207"/>
    </row>
    <row r="253" spans="2:16">
      <c r="B253" s="109"/>
      <c r="C253" s="337"/>
      <c r="D253" s="337"/>
      <c r="E253" s="337"/>
      <c r="F253" s="337"/>
      <c r="G253" s="337"/>
      <c r="H253" s="337"/>
      <c r="I253" s="337"/>
      <c r="J253" s="337"/>
      <c r="K253" s="337"/>
      <c r="L253" s="337"/>
      <c r="M253" s="337"/>
      <c r="N253" s="337"/>
      <c r="O253" s="46"/>
      <c r="P253" s="207"/>
    </row>
    <row r="254" spans="2:16">
      <c r="B254" s="109"/>
      <c r="C254" s="337"/>
      <c r="D254" s="337"/>
      <c r="E254" s="337"/>
      <c r="F254" s="337"/>
      <c r="G254" s="337"/>
      <c r="H254" s="337"/>
      <c r="I254" s="337"/>
      <c r="J254" s="337"/>
      <c r="K254" s="337"/>
      <c r="L254" s="337"/>
      <c r="M254" s="337"/>
      <c r="N254" s="337"/>
      <c r="O254" s="46"/>
      <c r="P254" s="207"/>
    </row>
    <row r="255" spans="2:16">
      <c r="B255" s="109"/>
      <c r="C255" s="337"/>
      <c r="D255" s="337"/>
      <c r="E255" s="337"/>
      <c r="F255" s="337"/>
      <c r="G255" s="337"/>
      <c r="H255" s="337"/>
      <c r="I255" s="337"/>
      <c r="J255" s="337"/>
      <c r="K255" s="337"/>
      <c r="L255" s="337"/>
      <c r="M255" s="337"/>
      <c r="N255" s="337"/>
      <c r="O255" s="46"/>
      <c r="P255" s="207"/>
    </row>
    <row r="256" spans="2:16">
      <c r="B256" s="109"/>
      <c r="C256" s="337"/>
      <c r="D256" s="337"/>
      <c r="E256" s="337"/>
      <c r="F256" s="337"/>
      <c r="G256" s="337"/>
      <c r="H256" s="337"/>
      <c r="I256" s="337"/>
      <c r="J256" s="337"/>
      <c r="K256" s="337"/>
      <c r="L256" s="337"/>
      <c r="M256" s="337"/>
      <c r="N256" s="337"/>
      <c r="O256" s="46"/>
      <c r="P256" s="207"/>
    </row>
    <row r="257" spans="2:16">
      <c r="B257" s="109"/>
      <c r="C257" s="337"/>
      <c r="D257" s="337"/>
      <c r="E257" s="337"/>
      <c r="F257" s="337"/>
      <c r="G257" s="337"/>
      <c r="H257" s="337"/>
      <c r="I257" s="337"/>
      <c r="J257" s="337"/>
      <c r="K257" s="337"/>
      <c r="L257" s="337"/>
      <c r="M257" s="337"/>
      <c r="N257" s="337"/>
      <c r="O257" s="46"/>
      <c r="P257" s="207"/>
    </row>
    <row r="258" spans="2:16">
      <c r="B258" s="109"/>
      <c r="C258" s="337"/>
      <c r="D258" s="337"/>
      <c r="E258" s="337"/>
      <c r="F258" s="337"/>
      <c r="G258" s="337"/>
      <c r="H258" s="337"/>
      <c r="I258" s="337"/>
      <c r="J258" s="337"/>
      <c r="K258" s="337"/>
      <c r="L258" s="337"/>
      <c r="M258" s="337"/>
      <c r="N258" s="337"/>
      <c r="O258" s="46"/>
      <c r="P258" s="207"/>
    </row>
    <row r="259" spans="2:16">
      <c r="B259" s="109"/>
      <c r="C259" s="337"/>
      <c r="D259" s="337"/>
      <c r="E259" s="337"/>
      <c r="F259" s="337"/>
      <c r="G259" s="337"/>
      <c r="H259" s="337"/>
      <c r="I259" s="337"/>
      <c r="J259" s="337"/>
      <c r="K259" s="337"/>
      <c r="L259" s="337"/>
      <c r="M259" s="337"/>
      <c r="N259" s="337"/>
      <c r="O259" s="46"/>
      <c r="P259" s="207"/>
    </row>
    <row r="260" spans="2:16">
      <c r="B260" s="109"/>
      <c r="C260" s="337"/>
      <c r="D260" s="337"/>
      <c r="E260" s="337"/>
      <c r="F260" s="337"/>
      <c r="G260" s="337"/>
      <c r="H260" s="337"/>
      <c r="I260" s="337"/>
      <c r="J260" s="337"/>
      <c r="K260" s="337"/>
      <c r="L260" s="337"/>
      <c r="M260" s="337"/>
      <c r="N260" s="337"/>
      <c r="O260" s="46"/>
      <c r="P260" s="207"/>
    </row>
    <row r="261" spans="2:16">
      <c r="B261" s="109"/>
      <c r="C261" s="337"/>
      <c r="D261" s="337"/>
      <c r="E261" s="337"/>
      <c r="F261" s="337"/>
      <c r="G261" s="337"/>
      <c r="H261" s="337"/>
      <c r="I261" s="337"/>
      <c r="J261" s="337"/>
      <c r="K261" s="337"/>
      <c r="L261" s="337"/>
      <c r="M261" s="337"/>
      <c r="N261" s="337"/>
      <c r="O261" s="46"/>
      <c r="P261" s="207"/>
    </row>
    <row r="262" spans="2:16">
      <c r="B262" s="109"/>
      <c r="C262" s="337"/>
      <c r="D262" s="337"/>
      <c r="E262" s="337"/>
      <c r="F262" s="337"/>
      <c r="G262" s="337"/>
      <c r="H262" s="337"/>
      <c r="I262" s="337"/>
      <c r="J262" s="337"/>
      <c r="K262" s="337"/>
      <c r="L262" s="337"/>
      <c r="M262" s="337"/>
      <c r="N262" s="337"/>
      <c r="O262" s="46"/>
      <c r="P262" s="207"/>
    </row>
    <row r="263" spans="2:16">
      <c r="B263" s="109"/>
      <c r="C263" s="337"/>
      <c r="D263" s="337"/>
      <c r="E263" s="337"/>
      <c r="F263" s="337"/>
      <c r="G263" s="337"/>
      <c r="H263" s="337"/>
      <c r="I263" s="337"/>
      <c r="J263" s="337"/>
      <c r="K263" s="337"/>
      <c r="L263" s="337"/>
      <c r="M263" s="337"/>
      <c r="N263" s="337"/>
      <c r="O263" s="46"/>
      <c r="P263" s="207"/>
    </row>
    <row r="264" spans="2:16">
      <c r="B264" s="109"/>
      <c r="C264" s="337"/>
      <c r="D264" s="337"/>
      <c r="E264" s="337"/>
      <c r="F264" s="337"/>
      <c r="G264" s="337"/>
      <c r="H264" s="337"/>
      <c r="I264" s="337"/>
      <c r="J264" s="337"/>
      <c r="K264" s="337"/>
      <c r="L264" s="337"/>
      <c r="M264" s="337"/>
      <c r="N264" s="337"/>
      <c r="O264" s="46"/>
      <c r="P264" s="207"/>
    </row>
    <row r="265" spans="2:16">
      <c r="B265" s="109"/>
      <c r="C265" s="337"/>
      <c r="D265" s="337"/>
      <c r="E265" s="337"/>
      <c r="F265" s="337"/>
      <c r="G265" s="337"/>
      <c r="H265" s="337"/>
      <c r="I265" s="337"/>
      <c r="J265" s="337"/>
      <c r="K265" s="337"/>
      <c r="L265" s="337"/>
      <c r="M265" s="337"/>
      <c r="N265" s="337"/>
      <c r="O265" s="46"/>
      <c r="P265" s="207"/>
    </row>
    <row r="266" spans="2:16">
      <c r="B266" s="109"/>
      <c r="C266" s="337"/>
      <c r="D266" s="337"/>
      <c r="E266" s="337"/>
      <c r="F266" s="337"/>
      <c r="G266" s="337"/>
      <c r="H266" s="337"/>
      <c r="I266" s="337"/>
      <c r="J266" s="337"/>
      <c r="K266" s="337"/>
      <c r="L266" s="337"/>
      <c r="M266" s="337"/>
      <c r="N266" s="337"/>
      <c r="O266" s="46"/>
      <c r="P266" s="207"/>
    </row>
    <row r="267" spans="2:16">
      <c r="B267" s="109"/>
      <c r="C267" s="337"/>
      <c r="D267" s="337"/>
      <c r="E267" s="337"/>
      <c r="F267" s="337"/>
      <c r="G267" s="337"/>
      <c r="H267" s="337"/>
      <c r="I267" s="337"/>
      <c r="J267" s="337"/>
      <c r="K267" s="337"/>
      <c r="L267" s="337"/>
      <c r="M267" s="337"/>
      <c r="N267" s="337"/>
      <c r="O267" s="46"/>
      <c r="P267" s="207"/>
    </row>
    <row r="268" spans="2:16">
      <c r="B268" s="109"/>
      <c r="C268" s="337"/>
      <c r="D268" s="337"/>
      <c r="E268" s="337"/>
      <c r="F268" s="337"/>
      <c r="G268" s="337"/>
      <c r="H268" s="337"/>
      <c r="I268" s="337"/>
      <c r="J268" s="337"/>
      <c r="K268" s="337"/>
      <c r="L268" s="337"/>
      <c r="M268" s="337"/>
      <c r="N268" s="337"/>
      <c r="O268" s="46"/>
      <c r="P268" s="207"/>
    </row>
    <row r="269" spans="2:16">
      <c r="B269" s="109"/>
      <c r="C269" s="337"/>
      <c r="D269" s="337"/>
      <c r="E269" s="337"/>
      <c r="F269" s="337"/>
      <c r="G269" s="337"/>
      <c r="H269" s="337"/>
      <c r="I269" s="337"/>
      <c r="J269" s="337"/>
      <c r="K269" s="337"/>
      <c r="L269" s="337"/>
      <c r="M269" s="337"/>
      <c r="N269" s="337"/>
      <c r="O269" s="46"/>
      <c r="P269" s="207"/>
    </row>
    <row r="270" spans="2:16">
      <c r="B270" s="109"/>
      <c r="C270" s="337"/>
      <c r="D270" s="337"/>
      <c r="E270" s="337"/>
      <c r="F270" s="337"/>
      <c r="G270" s="337"/>
      <c r="H270" s="337"/>
      <c r="I270" s="337"/>
      <c r="J270" s="337"/>
      <c r="K270" s="337"/>
      <c r="L270" s="337"/>
      <c r="M270" s="337"/>
      <c r="N270" s="337"/>
      <c r="O270" s="46"/>
      <c r="P270" s="207"/>
    </row>
    <row r="271" spans="2:16">
      <c r="B271" s="109"/>
      <c r="C271" s="337"/>
      <c r="D271" s="337"/>
      <c r="E271" s="337"/>
      <c r="F271" s="337"/>
      <c r="G271" s="337"/>
      <c r="H271" s="337"/>
      <c r="I271" s="337"/>
      <c r="J271" s="337"/>
      <c r="K271" s="337"/>
      <c r="L271" s="337"/>
      <c r="M271" s="337"/>
      <c r="N271" s="337"/>
      <c r="O271" s="46"/>
      <c r="P271" s="207"/>
    </row>
    <row r="272" spans="2:16">
      <c r="B272" s="109"/>
      <c r="C272" s="337"/>
      <c r="D272" s="337"/>
      <c r="E272" s="337"/>
      <c r="F272" s="337"/>
      <c r="G272" s="337"/>
      <c r="H272" s="337"/>
      <c r="I272" s="337"/>
      <c r="J272" s="337"/>
      <c r="K272" s="337"/>
      <c r="L272" s="337"/>
      <c r="M272" s="337"/>
      <c r="N272" s="337"/>
      <c r="O272" s="46"/>
      <c r="P272" s="207"/>
    </row>
    <row r="273" spans="2:16">
      <c r="B273" s="109"/>
      <c r="C273" s="337"/>
      <c r="D273" s="337"/>
      <c r="E273" s="337"/>
      <c r="F273" s="337"/>
      <c r="G273" s="337"/>
      <c r="H273" s="337"/>
      <c r="I273" s="337"/>
      <c r="J273" s="337"/>
      <c r="K273" s="337"/>
      <c r="L273" s="337"/>
      <c r="M273" s="337"/>
      <c r="N273" s="337"/>
      <c r="O273" s="46"/>
      <c r="P273" s="207"/>
    </row>
    <row r="274" spans="2:16">
      <c r="B274" s="109"/>
      <c r="C274" s="337"/>
      <c r="D274" s="337"/>
      <c r="E274" s="337"/>
      <c r="F274" s="337"/>
      <c r="G274" s="337"/>
      <c r="H274" s="337"/>
      <c r="I274" s="337"/>
      <c r="J274" s="337"/>
      <c r="K274" s="337"/>
      <c r="L274" s="337"/>
      <c r="M274" s="337"/>
      <c r="N274" s="337"/>
      <c r="O274" s="46"/>
      <c r="P274" s="207"/>
    </row>
    <row r="275" spans="2:16">
      <c r="B275" s="109"/>
      <c r="C275" s="337"/>
      <c r="D275" s="337"/>
      <c r="E275" s="337"/>
      <c r="F275" s="337"/>
      <c r="G275" s="337"/>
      <c r="H275" s="337"/>
      <c r="I275" s="337"/>
      <c r="J275" s="337"/>
      <c r="K275" s="337"/>
      <c r="L275" s="337"/>
      <c r="M275" s="337"/>
      <c r="N275" s="337"/>
      <c r="O275" s="46"/>
      <c r="P275" s="207"/>
    </row>
    <row r="276" spans="2:16">
      <c r="B276" s="109"/>
      <c r="C276" s="337"/>
      <c r="D276" s="337"/>
      <c r="E276" s="337"/>
      <c r="F276" s="337"/>
      <c r="G276" s="337"/>
      <c r="H276" s="337"/>
      <c r="I276" s="337"/>
      <c r="J276" s="337"/>
      <c r="K276" s="337"/>
      <c r="L276" s="337"/>
      <c r="M276" s="337"/>
      <c r="N276" s="337"/>
      <c r="O276" s="46"/>
      <c r="P276" s="207"/>
    </row>
    <row r="277" spans="2:16">
      <c r="B277" s="109"/>
      <c r="C277" s="337"/>
      <c r="D277" s="337"/>
      <c r="E277" s="337"/>
      <c r="F277" s="337"/>
      <c r="G277" s="337"/>
      <c r="H277" s="337"/>
      <c r="I277" s="337"/>
      <c r="J277" s="337"/>
      <c r="K277" s="337"/>
      <c r="L277" s="337"/>
      <c r="M277" s="337"/>
      <c r="N277" s="337"/>
      <c r="O277" s="46"/>
      <c r="P277" s="207"/>
    </row>
    <row r="278" spans="2:16">
      <c r="B278" s="109"/>
      <c r="C278" s="337"/>
      <c r="D278" s="337"/>
      <c r="E278" s="337"/>
      <c r="F278" s="337"/>
      <c r="G278" s="337"/>
      <c r="H278" s="337"/>
      <c r="I278" s="337"/>
      <c r="J278" s="337"/>
      <c r="K278" s="337"/>
      <c r="L278" s="337"/>
      <c r="M278" s="337"/>
      <c r="N278" s="337"/>
      <c r="O278" s="46"/>
      <c r="P278" s="207"/>
    </row>
    <row r="279" spans="2:16">
      <c r="B279" s="109"/>
      <c r="C279" s="337"/>
      <c r="D279" s="337"/>
      <c r="E279" s="337"/>
      <c r="F279" s="337"/>
      <c r="G279" s="337"/>
      <c r="H279" s="337"/>
      <c r="I279" s="337"/>
      <c r="J279" s="337"/>
      <c r="K279" s="337"/>
      <c r="L279" s="337"/>
      <c r="M279" s="337"/>
      <c r="N279" s="337"/>
      <c r="O279" s="46"/>
      <c r="P279" s="207"/>
    </row>
    <row r="280" spans="2:16">
      <c r="B280" s="109"/>
      <c r="C280" s="337"/>
      <c r="D280" s="337"/>
      <c r="E280" s="337"/>
      <c r="F280" s="337"/>
      <c r="G280" s="337"/>
      <c r="H280" s="337"/>
      <c r="I280" s="337"/>
      <c r="J280" s="337"/>
      <c r="K280" s="337"/>
      <c r="L280" s="337"/>
      <c r="M280" s="337"/>
      <c r="N280" s="337"/>
      <c r="O280" s="46"/>
      <c r="P280" s="207"/>
    </row>
    <row r="281" spans="2:16">
      <c r="B281" s="109"/>
      <c r="C281" s="337"/>
      <c r="D281" s="337"/>
      <c r="E281" s="337"/>
      <c r="F281" s="337"/>
      <c r="G281" s="337"/>
      <c r="H281" s="337"/>
      <c r="I281" s="337"/>
      <c r="J281" s="337"/>
      <c r="K281" s="337"/>
      <c r="L281" s="337"/>
      <c r="M281" s="337"/>
      <c r="N281" s="337"/>
      <c r="O281" s="46"/>
      <c r="P281" s="207"/>
    </row>
    <row r="282" spans="2:16">
      <c r="B282" s="109"/>
      <c r="C282" s="337"/>
      <c r="D282" s="337"/>
      <c r="E282" s="337"/>
      <c r="F282" s="337"/>
      <c r="G282" s="337"/>
      <c r="H282" s="337"/>
      <c r="I282" s="337"/>
      <c r="J282" s="337"/>
      <c r="K282" s="337"/>
      <c r="L282" s="337"/>
      <c r="M282" s="337"/>
      <c r="N282" s="337"/>
      <c r="O282" s="46"/>
      <c r="P282" s="207"/>
    </row>
    <row r="283" spans="2:16">
      <c r="B283" s="109"/>
      <c r="C283" s="337"/>
      <c r="D283" s="337"/>
      <c r="E283" s="337"/>
      <c r="F283" s="337"/>
      <c r="G283" s="337"/>
      <c r="H283" s="337"/>
      <c r="I283" s="337"/>
      <c r="J283" s="337"/>
      <c r="K283" s="337"/>
      <c r="L283" s="337"/>
      <c r="M283" s="337"/>
      <c r="N283" s="337"/>
      <c r="O283" s="46"/>
      <c r="P283" s="207"/>
    </row>
    <row r="284" spans="2:16">
      <c r="B284" s="109"/>
      <c r="C284" s="337"/>
      <c r="D284" s="337"/>
      <c r="E284" s="337"/>
      <c r="F284" s="337"/>
      <c r="G284" s="337"/>
      <c r="H284" s="337"/>
      <c r="I284" s="337"/>
      <c r="J284" s="337"/>
      <c r="K284" s="337"/>
      <c r="L284" s="337"/>
      <c r="M284" s="337"/>
      <c r="N284" s="337"/>
      <c r="O284" s="46"/>
      <c r="P284" s="207"/>
    </row>
    <row r="285" spans="2:16">
      <c r="B285" s="109"/>
      <c r="C285" s="337"/>
      <c r="D285" s="337"/>
      <c r="E285" s="337"/>
      <c r="F285" s="337"/>
      <c r="G285" s="337"/>
      <c r="H285" s="337"/>
      <c r="I285" s="337"/>
      <c r="J285" s="337"/>
      <c r="K285" s="337"/>
      <c r="L285" s="337"/>
      <c r="M285" s="337"/>
      <c r="N285" s="337"/>
      <c r="O285" s="46"/>
      <c r="P285" s="207"/>
    </row>
    <row r="286" spans="2:16">
      <c r="B286" s="109"/>
      <c r="C286" s="337"/>
      <c r="D286" s="337"/>
      <c r="E286" s="337"/>
      <c r="F286" s="337"/>
      <c r="G286" s="337"/>
      <c r="H286" s="337"/>
      <c r="I286" s="337"/>
      <c r="J286" s="337"/>
      <c r="K286" s="337"/>
      <c r="L286" s="337"/>
      <c r="M286" s="337"/>
      <c r="N286" s="337"/>
      <c r="O286" s="46"/>
      <c r="P286" s="207"/>
    </row>
    <row r="287" spans="2:16">
      <c r="B287" s="109"/>
      <c r="C287" s="337"/>
      <c r="D287" s="337"/>
      <c r="E287" s="337"/>
      <c r="F287" s="337"/>
      <c r="G287" s="337"/>
      <c r="H287" s="337"/>
      <c r="I287" s="337"/>
      <c r="J287" s="337"/>
      <c r="K287" s="337"/>
      <c r="L287" s="337"/>
      <c r="M287" s="337"/>
      <c r="N287" s="337"/>
      <c r="O287" s="46"/>
      <c r="P287" s="207"/>
    </row>
    <row r="288" spans="2:16">
      <c r="B288" s="109"/>
      <c r="C288" s="337"/>
      <c r="D288" s="337"/>
      <c r="E288" s="337"/>
      <c r="F288" s="337"/>
      <c r="G288" s="337"/>
      <c r="H288" s="337"/>
      <c r="I288" s="337"/>
      <c r="J288" s="337"/>
      <c r="K288" s="337"/>
      <c r="L288" s="337"/>
      <c r="M288" s="337"/>
      <c r="N288" s="337"/>
      <c r="O288" s="46"/>
      <c r="P288" s="207"/>
    </row>
    <row r="289" spans="2:16">
      <c r="B289" s="109"/>
      <c r="C289" s="337"/>
      <c r="D289" s="337"/>
      <c r="E289" s="337"/>
      <c r="F289" s="337"/>
      <c r="G289" s="337"/>
      <c r="H289" s="337"/>
      <c r="I289" s="337"/>
      <c r="J289" s="337"/>
      <c r="K289" s="337"/>
      <c r="L289" s="337"/>
      <c r="M289" s="337"/>
      <c r="N289" s="337"/>
      <c r="O289" s="46"/>
      <c r="P289" s="207"/>
    </row>
    <row r="290" spans="2:16">
      <c r="B290" s="109"/>
      <c r="C290" s="337"/>
      <c r="D290" s="337"/>
      <c r="E290" s="337"/>
      <c r="F290" s="337"/>
      <c r="G290" s="337"/>
      <c r="H290" s="337"/>
      <c r="I290" s="337"/>
      <c r="J290" s="337"/>
      <c r="K290" s="337"/>
      <c r="L290" s="337"/>
      <c r="M290" s="337"/>
      <c r="N290" s="337"/>
      <c r="O290" s="46"/>
      <c r="P290" s="207"/>
    </row>
    <row r="291" spans="2:16">
      <c r="B291" s="109"/>
      <c r="C291" s="337"/>
      <c r="D291" s="337"/>
      <c r="E291" s="337"/>
      <c r="F291" s="337"/>
      <c r="G291" s="337"/>
      <c r="H291" s="337"/>
      <c r="I291" s="337"/>
      <c r="J291" s="337"/>
      <c r="K291" s="337"/>
      <c r="L291" s="337"/>
      <c r="M291" s="337"/>
      <c r="N291" s="337"/>
      <c r="O291" s="46"/>
      <c r="P291" s="207"/>
    </row>
    <row r="292" spans="2:16">
      <c r="B292" s="109"/>
      <c r="C292" s="337"/>
      <c r="D292" s="337"/>
      <c r="E292" s="337"/>
      <c r="F292" s="337"/>
      <c r="G292" s="337"/>
      <c r="H292" s="337"/>
      <c r="I292" s="337"/>
      <c r="J292" s="337"/>
      <c r="K292" s="337"/>
      <c r="L292" s="337"/>
      <c r="M292" s="337"/>
      <c r="N292" s="337"/>
      <c r="O292" s="46"/>
      <c r="P292" s="207"/>
    </row>
    <row r="293" spans="2:16">
      <c r="B293" s="109"/>
      <c r="C293" s="337"/>
      <c r="D293" s="337"/>
      <c r="E293" s="337"/>
      <c r="F293" s="337"/>
      <c r="G293" s="337"/>
      <c r="H293" s="337"/>
      <c r="I293" s="337"/>
      <c r="J293" s="337"/>
      <c r="K293" s="337"/>
      <c r="L293" s="337"/>
      <c r="M293" s="337"/>
      <c r="N293" s="337"/>
      <c r="O293" s="46"/>
      <c r="P293" s="207"/>
    </row>
    <row r="294" spans="2:16">
      <c r="B294" s="109"/>
      <c r="C294" s="337"/>
      <c r="D294" s="337"/>
      <c r="E294" s="337"/>
      <c r="F294" s="337"/>
      <c r="G294" s="337"/>
      <c r="H294" s="337"/>
      <c r="I294" s="337"/>
      <c r="J294" s="337"/>
      <c r="K294" s="337"/>
      <c r="L294" s="337"/>
      <c r="M294" s="337"/>
      <c r="N294" s="337"/>
      <c r="O294" s="46"/>
      <c r="P294" s="207"/>
    </row>
    <row r="295" spans="2:16">
      <c r="B295" s="109"/>
      <c r="C295" s="337"/>
      <c r="D295" s="337"/>
      <c r="E295" s="337"/>
      <c r="F295" s="337"/>
      <c r="G295" s="337"/>
      <c r="H295" s="337"/>
      <c r="I295" s="337"/>
      <c r="J295" s="337"/>
      <c r="K295" s="337"/>
      <c r="L295" s="337"/>
      <c r="M295" s="337"/>
      <c r="N295" s="337"/>
      <c r="O295" s="46"/>
      <c r="P295" s="207"/>
    </row>
    <row r="296" spans="2:16">
      <c r="B296" s="109"/>
      <c r="C296" s="337"/>
      <c r="D296" s="337"/>
      <c r="E296" s="337"/>
      <c r="F296" s="337"/>
      <c r="G296" s="337"/>
      <c r="H296" s="337"/>
      <c r="I296" s="337"/>
      <c r="J296" s="337"/>
      <c r="K296" s="337"/>
      <c r="L296" s="337"/>
      <c r="M296" s="337"/>
      <c r="N296" s="337"/>
      <c r="O296" s="46"/>
      <c r="P296" s="207"/>
    </row>
    <row r="297" spans="2:16">
      <c r="B297" s="109"/>
      <c r="C297" s="337"/>
      <c r="D297" s="337"/>
      <c r="E297" s="337"/>
      <c r="F297" s="337"/>
      <c r="G297" s="337"/>
      <c r="H297" s="337"/>
      <c r="I297" s="337"/>
      <c r="J297" s="337"/>
      <c r="K297" s="337"/>
      <c r="L297" s="337"/>
      <c r="M297" s="337"/>
      <c r="N297" s="337"/>
      <c r="O297" s="46"/>
      <c r="P297" s="207"/>
    </row>
    <row r="298" spans="2:16">
      <c r="B298" s="109"/>
      <c r="C298" s="337"/>
      <c r="D298" s="337"/>
      <c r="E298" s="337"/>
      <c r="F298" s="337"/>
      <c r="G298" s="337"/>
      <c r="H298" s="337"/>
      <c r="I298" s="337"/>
      <c r="J298" s="337"/>
      <c r="K298" s="337"/>
      <c r="L298" s="337"/>
      <c r="M298" s="337"/>
      <c r="N298" s="337"/>
      <c r="O298" s="46"/>
      <c r="P298" s="207"/>
    </row>
    <row r="299" spans="2:16">
      <c r="B299" s="109"/>
      <c r="C299" s="337"/>
      <c r="D299" s="337"/>
      <c r="E299" s="337"/>
      <c r="F299" s="337"/>
      <c r="G299" s="337"/>
      <c r="H299" s="337"/>
      <c r="I299" s="337"/>
      <c r="J299" s="337"/>
      <c r="K299" s="337"/>
      <c r="L299" s="337"/>
      <c r="M299" s="337"/>
      <c r="N299" s="337"/>
      <c r="O299" s="46"/>
      <c r="P299" s="207"/>
    </row>
    <row r="300" spans="2:16">
      <c r="B300" s="109"/>
      <c r="C300" s="337"/>
      <c r="D300" s="337"/>
      <c r="E300" s="337"/>
      <c r="F300" s="337"/>
      <c r="G300" s="337"/>
      <c r="H300" s="337"/>
      <c r="I300" s="337"/>
      <c r="J300" s="337"/>
      <c r="K300" s="337"/>
      <c r="L300" s="337"/>
      <c r="M300" s="337"/>
      <c r="N300" s="337"/>
      <c r="O300" s="46"/>
      <c r="P300" s="207"/>
    </row>
    <row r="301" spans="2:16">
      <c r="B301" s="109"/>
      <c r="C301" s="337"/>
      <c r="D301" s="337"/>
      <c r="E301" s="337"/>
      <c r="F301" s="337"/>
      <c r="G301" s="337"/>
      <c r="H301" s="337"/>
      <c r="I301" s="337"/>
      <c r="J301" s="337"/>
      <c r="K301" s="337"/>
      <c r="L301" s="337"/>
      <c r="M301" s="337"/>
      <c r="N301" s="337"/>
      <c r="O301" s="46"/>
      <c r="P301" s="207"/>
    </row>
    <row r="302" spans="2:16">
      <c r="B302" s="109"/>
      <c r="C302" s="337"/>
      <c r="D302" s="337"/>
      <c r="E302" s="337"/>
      <c r="F302" s="337"/>
      <c r="G302" s="337"/>
      <c r="H302" s="337"/>
      <c r="I302" s="337"/>
      <c r="J302" s="337"/>
      <c r="K302" s="337"/>
      <c r="L302" s="337"/>
      <c r="M302" s="337"/>
      <c r="N302" s="337"/>
      <c r="O302" s="46"/>
      <c r="P302" s="207"/>
    </row>
    <row r="303" spans="2:16">
      <c r="B303" s="109"/>
      <c r="C303" s="337"/>
      <c r="D303" s="337"/>
      <c r="E303" s="337"/>
      <c r="F303" s="337"/>
      <c r="G303" s="337"/>
      <c r="H303" s="337"/>
      <c r="I303" s="337"/>
      <c r="J303" s="337"/>
      <c r="K303" s="337"/>
      <c r="L303" s="337"/>
      <c r="M303" s="337"/>
      <c r="N303" s="337"/>
      <c r="O303" s="46"/>
      <c r="P303" s="207"/>
    </row>
    <row r="304" spans="2:16">
      <c r="B304" s="109"/>
      <c r="C304" s="337"/>
      <c r="D304" s="337"/>
      <c r="E304" s="337"/>
      <c r="F304" s="337"/>
      <c r="G304" s="337"/>
      <c r="H304" s="337"/>
      <c r="I304" s="337"/>
      <c r="J304" s="337"/>
      <c r="K304" s="337"/>
      <c r="L304" s="337"/>
      <c r="M304" s="337"/>
      <c r="N304" s="337"/>
      <c r="O304" s="46"/>
      <c r="P304" s="207"/>
    </row>
    <row r="305" spans="2:16">
      <c r="B305" s="109"/>
      <c r="C305" s="337"/>
      <c r="D305" s="337"/>
      <c r="E305" s="337"/>
      <c r="F305" s="337"/>
      <c r="G305" s="337"/>
      <c r="H305" s="337"/>
      <c r="I305" s="337"/>
      <c r="J305" s="337"/>
      <c r="K305" s="337"/>
      <c r="L305" s="337"/>
      <c r="M305" s="337"/>
      <c r="N305" s="337"/>
      <c r="O305" s="46"/>
      <c r="P305" s="207"/>
    </row>
    <row r="306" spans="2:16">
      <c r="B306" s="109"/>
      <c r="C306" s="337"/>
      <c r="D306" s="337"/>
      <c r="E306" s="337"/>
      <c r="F306" s="337"/>
      <c r="G306" s="337"/>
      <c r="H306" s="337"/>
      <c r="I306" s="337"/>
      <c r="J306" s="337"/>
      <c r="K306" s="337"/>
      <c r="L306" s="337"/>
      <c r="M306" s="337"/>
      <c r="N306" s="337"/>
      <c r="O306" s="46"/>
      <c r="P306" s="207"/>
    </row>
    <row r="307" spans="2:16">
      <c r="B307" s="109"/>
      <c r="C307" s="337"/>
      <c r="D307" s="337"/>
      <c r="E307" s="337"/>
      <c r="F307" s="337"/>
      <c r="G307" s="337"/>
      <c r="H307" s="337"/>
      <c r="I307" s="337"/>
      <c r="J307" s="337"/>
      <c r="K307" s="337"/>
      <c r="L307" s="337"/>
      <c r="M307" s="337"/>
      <c r="N307" s="337"/>
      <c r="O307" s="46"/>
      <c r="P307" s="207"/>
    </row>
    <row r="308" spans="2:16">
      <c r="B308" s="109"/>
      <c r="C308" s="337"/>
      <c r="D308" s="337"/>
      <c r="E308" s="337"/>
      <c r="F308" s="337"/>
      <c r="G308" s="337"/>
      <c r="H308" s="337"/>
      <c r="I308" s="337"/>
      <c r="J308" s="337"/>
      <c r="K308" s="337"/>
      <c r="L308" s="337"/>
      <c r="M308" s="337"/>
      <c r="N308" s="337"/>
      <c r="O308" s="46"/>
      <c r="P308" s="207"/>
    </row>
    <row r="309" spans="2:16">
      <c r="B309" s="109"/>
      <c r="C309" s="337"/>
      <c r="D309" s="337"/>
      <c r="E309" s="337"/>
      <c r="F309" s="337"/>
      <c r="G309" s="337"/>
      <c r="H309" s="337"/>
      <c r="I309" s="337"/>
      <c r="J309" s="337"/>
      <c r="K309" s="337"/>
      <c r="L309" s="337"/>
      <c r="M309" s="337"/>
      <c r="N309" s="337"/>
      <c r="O309" s="46"/>
      <c r="P309" s="207"/>
    </row>
    <row r="310" spans="2:16">
      <c r="B310" s="109"/>
      <c r="C310" s="337"/>
      <c r="D310" s="337"/>
      <c r="E310" s="337"/>
      <c r="F310" s="337"/>
      <c r="G310" s="337"/>
      <c r="H310" s="337"/>
      <c r="I310" s="337"/>
      <c r="J310" s="337"/>
      <c r="K310" s="337"/>
      <c r="L310" s="337"/>
      <c r="M310" s="337"/>
      <c r="N310" s="337"/>
      <c r="O310" s="46"/>
      <c r="P310" s="207"/>
    </row>
    <row r="311" spans="2:16">
      <c r="B311" s="109"/>
      <c r="C311" s="337"/>
      <c r="D311" s="337"/>
      <c r="E311" s="337"/>
      <c r="F311" s="337"/>
      <c r="G311" s="337"/>
      <c r="H311" s="337"/>
      <c r="I311" s="337"/>
      <c r="J311" s="337"/>
      <c r="K311" s="337"/>
      <c r="L311" s="337"/>
      <c r="M311" s="337"/>
      <c r="N311" s="337"/>
      <c r="O311" s="46"/>
      <c r="P311" s="207"/>
    </row>
    <row r="312" spans="2:16">
      <c r="B312" s="109"/>
      <c r="C312" s="337"/>
      <c r="D312" s="337"/>
      <c r="E312" s="337"/>
      <c r="F312" s="337"/>
      <c r="G312" s="337"/>
      <c r="H312" s="337"/>
      <c r="I312" s="337"/>
      <c r="J312" s="337"/>
      <c r="K312" s="337"/>
      <c r="L312" s="337"/>
      <c r="M312" s="337"/>
      <c r="N312" s="337"/>
      <c r="O312" s="46"/>
      <c r="P312" s="207"/>
    </row>
    <row r="313" spans="2:16">
      <c r="B313" s="109"/>
      <c r="C313" s="337"/>
      <c r="D313" s="337"/>
      <c r="E313" s="337"/>
      <c r="F313" s="337"/>
      <c r="G313" s="337"/>
      <c r="H313" s="337"/>
      <c r="I313" s="337"/>
      <c r="J313" s="337"/>
      <c r="K313" s="337"/>
      <c r="L313" s="337"/>
      <c r="M313" s="337"/>
      <c r="N313" s="337"/>
      <c r="O313" s="46"/>
      <c r="P313" s="207"/>
    </row>
    <row r="314" spans="2:16">
      <c r="B314" s="109"/>
      <c r="C314" s="337"/>
      <c r="D314" s="337"/>
      <c r="E314" s="337"/>
      <c r="F314" s="337"/>
      <c r="G314" s="337"/>
      <c r="H314" s="337"/>
      <c r="I314" s="337"/>
      <c r="J314" s="337"/>
      <c r="K314" s="337"/>
      <c r="L314" s="337"/>
      <c r="M314" s="337"/>
      <c r="N314" s="337"/>
      <c r="O314" s="46"/>
      <c r="P314" s="207"/>
    </row>
    <row r="315" spans="2:16">
      <c r="B315" s="109"/>
      <c r="C315" s="337"/>
      <c r="D315" s="337"/>
      <c r="E315" s="337"/>
      <c r="F315" s="337"/>
      <c r="G315" s="337"/>
      <c r="H315" s="337"/>
      <c r="I315" s="337"/>
      <c r="J315" s="337"/>
      <c r="K315" s="337"/>
      <c r="L315" s="337"/>
      <c r="M315" s="337"/>
      <c r="N315" s="337"/>
      <c r="O315" s="46"/>
      <c r="P315" s="207"/>
    </row>
    <row r="316" spans="2:16">
      <c r="B316" s="109"/>
      <c r="C316" s="337"/>
      <c r="D316" s="337"/>
      <c r="E316" s="337"/>
      <c r="F316" s="337"/>
      <c r="G316" s="337"/>
      <c r="H316" s="337"/>
      <c r="I316" s="337"/>
      <c r="J316" s="337"/>
      <c r="K316" s="337"/>
      <c r="L316" s="337"/>
      <c r="M316" s="337"/>
      <c r="N316" s="337"/>
      <c r="O316" s="46"/>
      <c r="P316" s="207"/>
    </row>
    <row r="317" spans="2:16">
      <c r="B317" s="109"/>
      <c r="C317" s="337"/>
      <c r="D317" s="337"/>
      <c r="E317" s="337"/>
      <c r="F317" s="337"/>
      <c r="G317" s="337"/>
      <c r="H317" s="337"/>
      <c r="I317" s="337"/>
      <c r="J317" s="337"/>
      <c r="K317" s="337"/>
      <c r="L317" s="337"/>
      <c r="M317" s="337"/>
      <c r="N317" s="337"/>
      <c r="O317" s="46"/>
      <c r="P317" s="207"/>
    </row>
    <row r="318" spans="2:16">
      <c r="B318" s="109"/>
      <c r="C318" s="337"/>
      <c r="D318" s="337"/>
      <c r="E318" s="337"/>
      <c r="F318" s="337"/>
      <c r="G318" s="337"/>
      <c r="H318" s="337"/>
      <c r="I318" s="337"/>
      <c r="J318" s="337"/>
      <c r="K318" s="337"/>
      <c r="L318" s="337"/>
      <c r="M318" s="337"/>
      <c r="N318" s="337"/>
      <c r="O318" s="46"/>
      <c r="P318" s="207"/>
    </row>
    <row r="319" spans="2:16">
      <c r="B319" s="109"/>
      <c r="C319" s="337"/>
      <c r="D319" s="337"/>
      <c r="E319" s="337"/>
      <c r="F319" s="337"/>
      <c r="G319" s="337"/>
      <c r="H319" s="337"/>
      <c r="I319" s="337"/>
      <c r="J319" s="337"/>
      <c r="K319" s="337"/>
      <c r="L319" s="337"/>
      <c r="M319" s="337"/>
      <c r="N319" s="337"/>
      <c r="O319" s="46"/>
      <c r="P319" s="207"/>
    </row>
    <row r="320" spans="2:16">
      <c r="B320" s="109"/>
      <c r="C320" s="337"/>
      <c r="D320" s="337"/>
      <c r="E320" s="337"/>
      <c r="F320" s="337"/>
      <c r="G320" s="337"/>
      <c r="H320" s="337"/>
      <c r="I320" s="337"/>
      <c r="J320" s="337"/>
      <c r="K320" s="337"/>
      <c r="L320" s="337"/>
      <c r="M320" s="337"/>
      <c r="N320" s="337"/>
      <c r="O320" s="46"/>
      <c r="P320" s="207"/>
    </row>
    <row r="321" spans="2:16">
      <c r="B321" s="109"/>
      <c r="C321" s="337"/>
      <c r="D321" s="337"/>
      <c r="E321" s="337"/>
      <c r="F321" s="337"/>
      <c r="G321" s="337"/>
      <c r="H321" s="337"/>
      <c r="I321" s="337"/>
      <c r="J321" s="337"/>
      <c r="K321" s="337"/>
      <c r="L321" s="337"/>
      <c r="M321" s="337"/>
      <c r="N321" s="337"/>
      <c r="O321" s="46"/>
      <c r="P321" s="207"/>
    </row>
    <row r="322" spans="2:16">
      <c r="B322" s="109"/>
      <c r="C322" s="337"/>
      <c r="D322" s="337"/>
      <c r="E322" s="337"/>
      <c r="F322" s="337"/>
      <c r="G322" s="337"/>
      <c r="H322" s="337"/>
      <c r="I322" s="337"/>
      <c r="J322" s="337"/>
      <c r="K322" s="337"/>
      <c r="L322" s="337"/>
      <c r="M322" s="337"/>
      <c r="N322" s="337"/>
      <c r="O322" s="46"/>
      <c r="P322" s="207"/>
    </row>
    <row r="323" spans="2:16">
      <c r="B323" s="109"/>
      <c r="C323" s="337"/>
      <c r="D323" s="337"/>
      <c r="E323" s="337"/>
      <c r="F323" s="337"/>
      <c r="G323" s="337"/>
      <c r="H323" s="337"/>
      <c r="I323" s="337"/>
      <c r="J323" s="337"/>
      <c r="K323" s="337"/>
      <c r="L323" s="337"/>
      <c r="M323" s="337"/>
      <c r="N323" s="337"/>
      <c r="O323" s="46"/>
      <c r="P323" s="207"/>
    </row>
    <row r="324" spans="2:16">
      <c r="B324" s="109"/>
      <c r="C324" s="337"/>
      <c r="D324" s="337"/>
      <c r="E324" s="337"/>
      <c r="F324" s="337"/>
      <c r="G324" s="337"/>
      <c r="H324" s="337"/>
      <c r="I324" s="337"/>
      <c r="J324" s="337"/>
      <c r="K324" s="337"/>
      <c r="L324" s="337"/>
      <c r="M324" s="337"/>
      <c r="N324" s="337"/>
      <c r="O324" s="46"/>
      <c r="P324" s="207"/>
    </row>
    <row r="325" spans="2:16">
      <c r="B325" s="109"/>
      <c r="C325" s="337"/>
      <c r="D325" s="337"/>
      <c r="E325" s="337"/>
      <c r="F325" s="337"/>
      <c r="G325" s="337"/>
      <c r="H325" s="337"/>
      <c r="I325" s="337"/>
      <c r="J325" s="337"/>
      <c r="K325" s="337"/>
      <c r="L325" s="337"/>
      <c r="M325" s="337"/>
      <c r="N325" s="337"/>
      <c r="O325" s="46"/>
      <c r="P325" s="207"/>
    </row>
    <row r="326" spans="2:16">
      <c r="B326" s="109"/>
      <c r="C326" s="337"/>
      <c r="D326" s="337"/>
      <c r="E326" s="337"/>
      <c r="F326" s="337"/>
      <c r="G326" s="337"/>
      <c r="H326" s="337"/>
      <c r="I326" s="337"/>
      <c r="J326" s="337"/>
      <c r="K326" s="337"/>
      <c r="L326" s="337"/>
      <c r="M326" s="337"/>
      <c r="N326" s="337"/>
      <c r="O326" s="46"/>
      <c r="P326" s="207"/>
    </row>
    <row r="327" spans="2:16">
      <c r="B327" s="109"/>
      <c r="C327" s="337"/>
      <c r="D327" s="337"/>
      <c r="E327" s="337"/>
      <c r="F327" s="337"/>
      <c r="G327" s="337"/>
      <c r="H327" s="337"/>
      <c r="I327" s="337"/>
      <c r="J327" s="337"/>
      <c r="K327" s="337"/>
      <c r="L327" s="337"/>
      <c r="M327" s="337"/>
      <c r="N327" s="337"/>
      <c r="O327" s="46"/>
      <c r="P327" s="207"/>
    </row>
    <row r="328" spans="2:16">
      <c r="B328" s="109"/>
      <c r="C328" s="337"/>
      <c r="D328" s="337"/>
      <c r="E328" s="337"/>
      <c r="F328" s="337"/>
      <c r="G328" s="337"/>
      <c r="H328" s="337"/>
      <c r="I328" s="337"/>
      <c r="J328" s="337"/>
      <c r="K328" s="337"/>
      <c r="L328" s="337"/>
      <c r="M328" s="337"/>
      <c r="N328" s="337"/>
      <c r="O328" s="46"/>
      <c r="P328" s="207"/>
    </row>
    <row r="329" spans="2:16">
      <c r="B329" s="109"/>
      <c r="C329" s="337"/>
      <c r="D329" s="337"/>
      <c r="E329" s="337"/>
      <c r="F329" s="337"/>
      <c r="G329" s="337"/>
      <c r="H329" s="337"/>
      <c r="I329" s="337"/>
      <c r="J329" s="337"/>
      <c r="K329" s="337"/>
      <c r="L329" s="337"/>
      <c r="M329" s="337"/>
      <c r="N329" s="337"/>
      <c r="O329" s="46"/>
      <c r="P329" s="207"/>
    </row>
    <row r="330" spans="2:16">
      <c r="B330" s="109"/>
      <c r="C330" s="337"/>
      <c r="D330" s="337"/>
      <c r="E330" s="337"/>
      <c r="F330" s="337"/>
      <c r="G330" s="337"/>
      <c r="H330" s="337"/>
      <c r="I330" s="337"/>
      <c r="J330" s="337"/>
      <c r="K330" s="337"/>
      <c r="L330" s="337"/>
      <c r="M330" s="337"/>
      <c r="N330" s="337"/>
      <c r="O330" s="46"/>
      <c r="P330" s="207"/>
    </row>
    <row r="331" spans="2:16">
      <c r="B331" s="109"/>
      <c r="C331" s="337"/>
      <c r="D331" s="337"/>
      <c r="E331" s="337"/>
      <c r="F331" s="337"/>
      <c r="G331" s="337"/>
      <c r="H331" s="337"/>
      <c r="I331" s="337"/>
      <c r="J331" s="337"/>
      <c r="K331" s="337"/>
      <c r="L331" s="337"/>
      <c r="M331" s="337"/>
      <c r="N331" s="337"/>
      <c r="O331" s="46"/>
      <c r="P331" s="207"/>
    </row>
    <row r="332" spans="2:16">
      <c r="B332" s="109"/>
      <c r="C332" s="337"/>
      <c r="D332" s="337"/>
      <c r="E332" s="337"/>
      <c r="F332" s="337"/>
      <c r="G332" s="337"/>
      <c r="H332" s="337"/>
      <c r="I332" s="337"/>
      <c r="J332" s="337"/>
      <c r="K332" s="337"/>
      <c r="L332" s="337"/>
      <c r="M332" s="337"/>
      <c r="N332" s="337"/>
      <c r="O332" s="46"/>
      <c r="P332" s="207"/>
    </row>
    <row r="333" spans="2:16">
      <c r="B333" s="109"/>
      <c r="C333" s="337"/>
      <c r="D333" s="337"/>
      <c r="E333" s="337"/>
      <c r="F333" s="337"/>
      <c r="G333" s="337"/>
      <c r="H333" s="337"/>
      <c r="I333" s="337"/>
      <c r="J333" s="337"/>
      <c r="K333" s="337"/>
      <c r="L333" s="337"/>
      <c r="M333" s="337"/>
      <c r="N333" s="337"/>
      <c r="O333" s="46"/>
      <c r="P333" s="207"/>
    </row>
    <row r="334" spans="2:16">
      <c r="B334" s="109"/>
      <c r="C334" s="337"/>
      <c r="D334" s="337"/>
      <c r="E334" s="337"/>
      <c r="F334" s="337"/>
      <c r="G334" s="337"/>
      <c r="H334" s="337"/>
      <c r="I334" s="337"/>
      <c r="J334" s="337"/>
      <c r="K334" s="337"/>
      <c r="L334" s="337"/>
      <c r="M334" s="337"/>
      <c r="N334" s="337"/>
      <c r="O334" s="46"/>
      <c r="P334" s="207"/>
    </row>
    <row r="335" spans="2:16">
      <c r="B335" s="109"/>
      <c r="C335" s="337"/>
      <c r="D335" s="337"/>
      <c r="E335" s="337"/>
      <c r="F335" s="337"/>
      <c r="G335" s="337"/>
      <c r="H335" s="337"/>
      <c r="I335" s="337"/>
      <c r="J335" s="337"/>
      <c r="K335" s="337"/>
      <c r="L335" s="337"/>
      <c r="M335" s="337"/>
      <c r="N335" s="337"/>
      <c r="O335" s="46"/>
      <c r="P335" s="207"/>
    </row>
    <row r="336" spans="2:16">
      <c r="B336" s="109"/>
      <c r="C336" s="337"/>
      <c r="D336" s="337"/>
      <c r="E336" s="337"/>
      <c r="F336" s="337"/>
      <c r="G336" s="337"/>
      <c r="H336" s="337"/>
      <c r="I336" s="337"/>
      <c r="J336" s="337"/>
      <c r="K336" s="337"/>
      <c r="L336" s="337"/>
      <c r="M336" s="337"/>
      <c r="N336" s="337"/>
      <c r="O336" s="46"/>
      <c r="P336" s="207"/>
    </row>
    <row r="337" spans="2:16">
      <c r="B337" s="109"/>
      <c r="C337" s="337"/>
      <c r="D337" s="337"/>
      <c r="E337" s="337"/>
      <c r="F337" s="337"/>
      <c r="G337" s="337"/>
      <c r="H337" s="337"/>
      <c r="I337" s="337"/>
      <c r="J337" s="337"/>
      <c r="K337" s="337"/>
      <c r="L337" s="337"/>
      <c r="M337" s="337"/>
      <c r="N337" s="337"/>
      <c r="O337" s="46"/>
      <c r="P337" s="207"/>
    </row>
    <row r="338" spans="2:16">
      <c r="B338" s="109"/>
      <c r="C338" s="337"/>
      <c r="D338" s="337"/>
      <c r="E338" s="337"/>
      <c r="F338" s="337"/>
      <c r="G338" s="337"/>
      <c r="H338" s="337"/>
      <c r="I338" s="337"/>
      <c r="J338" s="337"/>
      <c r="K338" s="337"/>
      <c r="L338" s="337"/>
      <c r="M338" s="337"/>
      <c r="N338" s="337"/>
      <c r="O338" s="46"/>
      <c r="P338" s="207"/>
    </row>
    <row r="339" spans="2:16">
      <c r="B339" s="109"/>
      <c r="C339" s="337"/>
      <c r="D339" s="337"/>
      <c r="E339" s="337"/>
      <c r="F339" s="337"/>
      <c r="G339" s="337"/>
      <c r="H339" s="337"/>
      <c r="I339" s="337"/>
      <c r="J339" s="337"/>
      <c r="K339" s="337"/>
      <c r="L339" s="337"/>
      <c r="M339" s="337"/>
      <c r="N339" s="337"/>
      <c r="O339" s="46"/>
      <c r="P339" s="207"/>
    </row>
    <row r="340" spans="2:16">
      <c r="B340" s="109"/>
      <c r="C340" s="337"/>
      <c r="D340" s="337"/>
      <c r="E340" s="337"/>
      <c r="F340" s="337"/>
      <c r="G340" s="337"/>
      <c r="H340" s="337"/>
      <c r="I340" s="337"/>
      <c r="J340" s="337"/>
      <c r="K340" s="337"/>
      <c r="L340" s="337"/>
      <c r="M340" s="337"/>
      <c r="N340" s="337"/>
      <c r="O340" s="46"/>
      <c r="P340" s="207"/>
    </row>
    <row r="341" spans="2:16">
      <c r="B341" s="109"/>
      <c r="C341" s="337"/>
      <c r="D341" s="337"/>
      <c r="E341" s="337"/>
      <c r="F341" s="337"/>
      <c r="G341" s="337"/>
      <c r="H341" s="337"/>
      <c r="I341" s="337"/>
      <c r="J341" s="337"/>
      <c r="K341" s="337"/>
      <c r="L341" s="337"/>
      <c r="M341" s="337"/>
      <c r="N341" s="337"/>
      <c r="O341" s="46"/>
      <c r="P341" s="207"/>
    </row>
    <row r="342" spans="2:16">
      <c r="B342" s="109"/>
      <c r="C342" s="337"/>
      <c r="D342" s="337"/>
      <c r="E342" s="337"/>
      <c r="F342" s="337"/>
      <c r="G342" s="337"/>
      <c r="H342" s="337"/>
      <c r="I342" s="337"/>
      <c r="J342" s="337"/>
      <c r="K342" s="337"/>
      <c r="L342" s="337"/>
      <c r="M342" s="337"/>
      <c r="N342" s="337"/>
      <c r="O342" s="46"/>
      <c r="P342" s="207"/>
    </row>
    <row r="343" spans="2:16">
      <c r="B343" s="109"/>
      <c r="C343" s="337"/>
      <c r="D343" s="337"/>
      <c r="E343" s="337"/>
      <c r="F343" s="337"/>
      <c r="G343" s="337"/>
      <c r="H343" s="337"/>
      <c r="I343" s="337"/>
      <c r="J343" s="337"/>
      <c r="K343" s="337"/>
      <c r="L343" s="337"/>
      <c r="M343" s="337"/>
      <c r="N343" s="337"/>
      <c r="O343" s="46"/>
      <c r="P343" s="207"/>
    </row>
    <row r="344" spans="2:16">
      <c r="B344" s="109"/>
      <c r="C344" s="337"/>
      <c r="D344" s="337"/>
      <c r="E344" s="337"/>
      <c r="F344" s="337"/>
      <c r="G344" s="337"/>
      <c r="H344" s="337"/>
      <c r="I344" s="337"/>
      <c r="J344" s="337"/>
      <c r="K344" s="337"/>
      <c r="L344" s="337"/>
      <c r="M344" s="337"/>
      <c r="N344" s="337"/>
      <c r="O344" s="46"/>
      <c r="P344" s="207"/>
    </row>
    <row r="345" spans="2:16">
      <c r="B345" s="109"/>
      <c r="C345" s="337"/>
      <c r="D345" s="337"/>
      <c r="E345" s="337"/>
      <c r="F345" s="337"/>
      <c r="G345" s="337"/>
      <c r="H345" s="337"/>
      <c r="I345" s="337"/>
      <c r="J345" s="337"/>
      <c r="K345" s="337"/>
      <c r="L345" s="337"/>
      <c r="M345" s="337"/>
      <c r="N345" s="337"/>
      <c r="O345" s="46"/>
      <c r="P345" s="207"/>
    </row>
    <row r="346" spans="2:16">
      <c r="B346" s="109"/>
      <c r="C346" s="337"/>
      <c r="D346" s="337"/>
      <c r="E346" s="337"/>
      <c r="F346" s="337"/>
      <c r="G346" s="337"/>
      <c r="H346" s="337"/>
      <c r="I346" s="337"/>
      <c r="J346" s="337"/>
      <c r="K346" s="337"/>
      <c r="L346" s="337"/>
      <c r="M346" s="337"/>
      <c r="N346" s="337"/>
      <c r="O346" s="46"/>
      <c r="P346" s="207"/>
    </row>
    <row r="347" spans="2:16">
      <c r="B347" s="109"/>
      <c r="C347" s="337"/>
      <c r="D347" s="337"/>
      <c r="E347" s="337"/>
      <c r="F347" s="337"/>
      <c r="G347" s="337"/>
      <c r="H347" s="337"/>
      <c r="I347" s="337"/>
      <c r="J347" s="337"/>
      <c r="K347" s="337"/>
      <c r="L347" s="337"/>
      <c r="M347" s="337"/>
      <c r="N347" s="337"/>
      <c r="O347" s="46"/>
      <c r="P347" s="207"/>
    </row>
    <row r="348" spans="2:16">
      <c r="B348" s="109"/>
      <c r="C348" s="337"/>
      <c r="D348" s="337"/>
      <c r="E348" s="337"/>
      <c r="F348" s="337"/>
      <c r="G348" s="337"/>
      <c r="H348" s="337"/>
      <c r="I348" s="337"/>
      <c r="J348" s="337"/>
      <c r="K348" s="337"/>
      <c r="L348" s="337"/>
      <c r="M348" s="337"/>
      <c r="N348" s="337"/>
      <c r="O348" s="46"/>
      <c r="P348" s="207"/>
    </row>
    <row r="349" spans="2:16">
      <c r="B349" s="109"/>
      <c r="C349" s="337"/>
      <c r="D349" s="337"/>
      <c r="E349" s="337"/>
      <c r="F349" s="337"/>
      <c r="G349" s="337"/>
      <c r="H349" s="337"/>
      <c r="I349" s="337"/>
      <c r="J349" s="337"/>
      <c r="K349" s="337"/>
      <c r="L349" s="337"/>
      <c r="M349" s="337"/>
      <c r="N349" s="337"/>
      <c r="O349" s="46"/>
      <c r="P349" s="207"/>
    </row>
    <row r="350" spans="2:16">
      <c r="B350" s="109"/>
      <c r="C350" s="337"/>
      <c r="D350" s="337"/>
      <c r="E350" s="337"/>
      <c r="F350" s="337"/>
      <c r="G350" s="337"/>
      <c r="H350" s="337"/>
      <c r="I350" s="337"/>
      <c r="J350" s="337"/>
      <c r="K350" s="337"/>
      <c r="L350" s="337"/>
      <c r="M350" s="337"/>
      <c r="N350" s="337"/>
      <c r="O350" s="46"/>
      <c r="P350" s="207"/>
    </row>
    <row r="351" spans="2:16">
      <c r="B351" s="109"/>
      <c r="C351" s="337"/>
      <c r="D351" s="337"/>
      <c r="E351" s="337"/>
      <c r="F351" s="337"/>
      <c r="G351" s="337"/>
      <c r="H351" s="337"/>
      <c r="I351" s="337"/>
      <c r="J351" s="337"/>
      <c r="K351" s="337"/>
      <c r="L351" s="337"/>
      <c r="M351" s="337"/>
      <c r="N351" s="337"/>
      <c r="O351" s="46"/>
      <c r="P351" s="207"/>
    </row>
    <row r="352" spans="2:16">
      <c r="B352" s="109"/>
      <c r="C352" s="337"/>
      <c r="D352" s="337"/>
      <c r="E352" s="337"/>
      <c r="F352" s="337"/>
      <c r="G352" s="337"/>
      <c r="H352" s="337"/>
      <c r="I352" s="337"/>
      <c r="J352" s="337"/>
      <c r="K352" s="337"/>
      <c r="L352" s="337"/>
      <c r="M352" s="337"/>
      <c r="N352" s="337"/>
      <c r="O352" s="46"/>
      <c r="P352" s="207"/>
    </row>
    <row r="353" spans="2:16">
      <c r="B353" s="109"/>
      <c r="C353" s="337"/>
      <c r="D353" s="337"/>
      <c r="E353" s="337"/>
      <c r="F353" s="337"/>
      <c r="G353" s="337"/>
      <c r="H353" s="337"/>
      <c r="I353" s="337"/>
      <c r="J353" s="337"/>
      <c r="K353" s="337"/>
      <c r="L353" s="337"/>
      <c r="M353" s="337"/>
      <c r="N353" s="337"/>
      <c r="O353" s="46"/>
      <c r="P353" s="207"/>
    </row>
    <row r="354" spans="2:16">
      <c r="B354" s="109"/>
      <c r="C354" s="337"/>
      <c r="D354" s="337"/>
      <c r="E354" s="337"/>
      <c r="F354" s="337"/>
      <c r="G354" s="337"/>
      <c r="H354" s="337"/>
      <c r="I354" s="337"/>
      <c r="J354" s="337"/>
      <c r="K354" s="337"/>
      <c r="L354" s="337"/>
      <c r="M354" s="337"/>
      <c r="N354" s="337"/>
      <c r="O354" s="46"/>
      <c r="P354" s="207"/>
    </row>
    <row r="355" spans="2:16">
      <c r="B355" s="109"/>
      <c r="C355" s="337"/>
      <c r="D355" s="337"/>
      <c r="E355" s="337"/>
      <c r="F355" s="337"/>
      <c r="G355" s="337"/>
      <c r="H355" s="337"/>
      <c r="I355" s="337"/>
      <c r="J355" s="337"/>
      <c r="K355" s="337"/>
      <c r="L355" s="337"/>
      <c r="M355" s="337"/>
      <c r="N355" s="337"/>
      <c r="O355" s="46"/>
      <c r="P355" s="207"/>
    </row>
    <row r="356" spans="2:16">
      <c r="B356" s="109"/>
      <c r="C356" s="337"/>
      <c r="D356" s="337"/>
      <c r="E356" s="337"/>
      <c r="F356" s="337"/>
      <c r="G356" s="337"/>
      <c r="H356" s="337"/>
      <c r="I356" s="337"/>
      <c r="J356" s="337"/>
      <c r="K356" s="337"/>
      <c r="L356" s="337"/>
      <c r="M356" s="337"/>
      <c r="N356" s="337"/>
      <c r="O356" s="46"/>
      <c r="P356" s="207"/>
    </row>
    <row r="357" spans="2:16">
      <c r="B357" s="109"/>
      <c r="C357" s="337"/>
      <c r="D357" s="337"/>
      <c r="E357" s="337"/>
      <c r="F357" s="337"/>
      <c r="G357" s="337"/>
      <c r="H357" s="337"/>
      <c r="I357" s="337"/>
      <c r="J357" s="337"/>
      <c r="K357" s="337"/>
      <c r="L357" s="337"/>
      <c r="M357" s="337"/>
      <c r="N357" s="337"/>
      <c r="O357" s="46"/>
      <c r="P357" s="207"/>
    </row>
    <row r="358" spans="2:16">
      <c r="B358" s="109"/>
      <c r="C358" s="337"/>
      <c r="D358" s="337"/>
      <c r="E358" s="337"/>
      <c r="F358" s="337"/>
      <c r="G358" s="337"/>
      <c r="H358" s="337"/>
      <c r="I358" s="337"/>
      <c r="J358" s="337"/>
      <c r="K358" s="337"/>
      <c r="L358" s="337"/>
      <c r="M358" s="337"/>
      <c r="N358" s="337"/>
      <c r="O358" s="46"/>
      <c r="P358" s="207"/>
    </row>
    <row r="359" spans="2:16">
      <c r="B359" s="109"/>
      <c r="C359" s="337"/>
      <c r="D359" s="337"/>
      <c r="E359" s="337"/>
      <c r="F359" s="337"/>
      <c r="G359" s="337"/>
      <c r="H359" s="337"/>
      <c r="I359" s="337"/>
      <c r="J359" s="337"/>
      <c r="K359" s="337"/>
      <c r="L359" s="337"/>
      <c r="M359" s="337"/>
      <c r="N359" s="337"/>
      <c r="O359" s="46"/>
      <c r="P359" s="207"/>
    </row>
    <row r="360" spans="2:16">
      <c r="B360" s="109"/>
      <c r="C360" s="337"/>
      <c r="D360" s="337"/>
      <c r="E360" s="337"/>
      <c r="F360" s="337"/>
      <c r="G360" s="337"/>
      <c r="H360" s="337"/>
      <c r="I360" s="337"/>
      <c r="J360" s="337"/>
      <c r="K360" s="337"/>
      <c r="L360" s="337"/>
      <c r="M360" s="337"/>
      <c r="N360" s="337"/>
      <c r="O360" s="46"/>
      <c r="P360" s="207"/>
    </row>
    <row r="361" spans="2:16">
      <c r="B361" s="109"/>
      <c r="C361" s="337"/>
      <c r="D361" s="337"/>
      <c r="E361" s="337"/>
      <c r="F361" s="337"/>
      <c r="G361" s="337"/>
      <c r="H361" s="337"/>
      <c r="I361" s="337"/>
      <c r="J361" s="337"/>
      <c r="K361" s="337"/>
      <c r="L361" s="337"/>
      <c r="M361" s="337"/>
      <c r="N361" s="337"/>
      <c r="O361" s="46"/>
      <c r="P361" s="207"/>
    </row>
    <row r="362" spans="2:16">
      <c r="B362" s="109"/>
      <c r="C362" s="337"/>
      <c r="D362" s="337"/>
      <c r="E362" s="337"/>
      <c r="F362" s="337"/>
      <c r="G362" s="337"/>
      <c r="H362" s="337"/>
      <c r="I362" s="337"/>
      <c r="J362" s="337"/>
      <c r="K362" s="337"/>
      <c r="L362" s="337"/>
      <c r="M362" s="337"/>
      <c r="N362" s="337"/>
      <c r="O362" s="46"/>
      <c r="P362" s="207"/>
    </row>
    <row r="363" spans="2:16">
      <c r="B363" s="109"/>
      <c r="C363" s="337"/>
      <c r="D363" s="337"/>
      <c r="E363" s="337"/>
      <c r="F363" s="337"/>
      <c r="G363" s="337"/>
      <c r="H363" s="337"/>
      <c r="I363" s="337"/>
      <c r="J363" s="337"/>
      <c r="K363" s="337"/>
      <c r="L363" s="337"/>
      <c r="M363" s="337"/>
      <c r="N363" s="337"/>
      <c r="O363" s="46"/>
      <c r="P363" s="207"/>
    </row>
    <row r="364" spans="2:16">
      <c r="B364" s="109"/>
      <c r="C364" s="337"/>
      <c r="D364" s="337"/>
      <c r="E364" s="337"/>
      <c r="F364" s="337"/>
      <c r="G364" s="337"/>
      <c r="H364" s="337"/>
      <c r="I364" s="337"/>
      <c r="J364" s="337"/>
      <c r="K364" s="337"/>
      <c r="L364" s="337"/>
      <c r="M364" s="337"/>
      <c r="N364" s="337"/>
      <c r="O364" s="46"/>
      <c r="P364" s="207"/>
    </row>
    <row r="365" spans="2:16">
      <c r="B365" s="109"/>
      <c r="C365" s="337"/>
      <c r="D365" s="337"/>
      <c r="E365" s="337"/>
      <c r="F365" s="337"/>
      <c r="G365" s="337"/>
      <c r="H365" s="337"/>
      <c r="I365" s="337"/>
      <c r="J365" s="337"/>
      <c r="K365" s="337"/>
      <c r="L365" s="337"/>
      <c r="M365" s="337"/>
      <c r="N365" s="337"/>
      <c r="O365" s="46"/>
      <c r="P365" s="207"/>
    </row>
    <row r="366" spans="2:16">
      <c r="B366" s="109"/>
      <c r="C366" s="337"/>
      <c r="D366" s="337"/>
      <c r="E366" s="337"/>
      <c r="F366" s="337"/>
      <c r="G366" s="337"/>
      <c r="H366" s="337"/>
      <c r="I366" s="337"/>
      <c r="J366" s="337"/>
      <c r="K366" s="337"/>
      <c r="L366" s="337"/>
      <c r="M366" s="337"/>
      <c r="N366" s="337"/>
      <c r="O366" s="46"/>
      <c r="P366" s="207"/>
    </row>
    <row r="367" spans="2:16">
      <c r="B367" s="109"/>
      <c r="C367" s="337"/>
      <c r="D367" s="337"/>
      <c r="E367" s="337"/>
      <c r="F367" s="337"/>
      <c r="G367" s="337"/>
      <c r="H367" s="337"/>
      <c r="I367" s="337"/>
      <c r="J367" s="337"/>
      <c r="K367" s="337"/>
      <c r="L367" s="337"/>
      <c r="M367" s="337"/>
      <c r="N367" s="337"/>
      <c r="O367" s="46"/>
      <c r="P367" s="207"/>
    </row>
    <row r="368" spans="2:16">
      <c r="B368" s="109"/>
      <c r="C368" s="337"/>
      <c r="D368" s="337"/>
      <c r="E368" s="337"/>
      <c r="F368" s="337"/>
      <c r="G368" s="337"/>
      <c r="H368" s="337"/>
      <c r="I368" s="337"/>
      <c r="J368" s="337"/>
      <c r="K368" s="337"/>
      <c r="L368" s="337"/>
      <c r="M368" s="337"/>
      <c r="N368" s="337"/>
      <c r="O368" s="46"/>
      <c r="P368" s="207"/>
    </row>
    <row r="369" spans="2:16">
      <c r="B369" s="109"/>
      <c r="C369" s="337"/>
      <c r="D369" s="337"/>
      <c r="E369" s="337"/>
      <c r="F369" s="337"/>
      <c r="G369" s="337"/>
      <c r="H369" s="337"/>
      <c r="I369" s="337"/>
      <c r="J369" s="337"/>
      <c r="K369" s="337"/>
      <c r="L369" s="337"/>
      <c r="M369" s="337"/>
      <c r="N369" s="337"/>
      <c r="O369" s="46"/>
      <c r="P369" s="207"/>
    </row>
    <row r="370" spans="2:16">
      <c r="B370" s="109"/>
      <c r="C370" s="337"/>
      <c r="D370" s="337"/>
      <c r="E370" s="337"/>
      <c r="F370" s="337"/>
      <c r="G370" s="337"/>
      <c r="H370" s="337"/>
      <c r="I370" s="337"/>
      <c r="J370" s="337"/>
      <c r="K370" s="337"/>
      <c r="L370" s="337"/>
      <c r="M370" s="337"/>
      <c r="N370" s="337"/>
      <c r="O370" s="46"/>
      <c r="P370" s="207"/>
    </row>
    <row r="371" spans="2:16">
      <c r="B371" s="109"/>
      <c r="C371" s="337"/>
      <c r="D371" s="337"/>
      <c r="E371" s="337"/>
      <c r="F371" s="337"/>
      <c r="G371" s="337"/>
      <c r="H371" s="337"/>
      <c r="I371" s="337"/>
      <c r="J371" s="337"/>
      <c r="K371" s="337"/>
      <c r="L371" s="337"/>
      <c r="M371" s="337"/>
      <c r="N371" s="337"/>
      <c r="O371" s="46"/>
      <c r="P371" s="207"/>
    </row>
    <row r="372" spans="2:16">
      <c r="B372" s="109"/>
      <c r="C372" s="337"/>
      <c r="D372" s="337"/>
      <c r="E372" s="337"/>
      <c r="F372" s="337"/>
      <c r="G372" s="337"/>
      <c r="H372" s="337"/>
      <c r="I372" s="337"/>
      <c r="J372" s="337"/>
      <c r="K372" s="337"/>
      <c r="L372" s="337"/>
      <c r="M372" s="337"/>
      <c r="N372" s="337"/>
      <c r="O372" s="46"/>
      <c r="P372" s="207"/>
    </row>
    <row r="373" spans="2:16">
      <c r="B373" s="109"/>
      <c r="C373" s="337"/>
      <c r="D373" s="337"/>
      <c r="E373" s="337"/>
      <c r="F373" s="337"/>
      <c r="G373" s="337"/>
      <c r="H373" s="337"/>
      <c r="I373" s="337"/>
      <c r="J373" s="337"/>
      <c r="K373" s="337"/>
      <c r="L373" s="337"/>
      <c r="M373" s="337"/>
      <c r="N373" s="337"/>
      <c r="O373" s="46"/>
      <c r="P373" s="207"/>
    </row>
    <row r="374" spans="2:16">
      <c r="B374" s="109"/>
      <c r="C374" s="337"/>
      <c r="D374" s="337"/>
      <c r="E374" s="337"/>
      <c r="F374" s="337"/>
      <c r="G374" s="337"/>
      <c r="H374" s="337"/>
      <c r="I374" s="337"/>
      <c r="J374" s="337"/>
      <c r="K374" s="337"/>
      <c r="L374" s="337"/>
      <c r="M374" s="337"/>
      <c r="N374" s="337"/>
      <c r="O374" s="46"/>
      <c r="P374" s="207"/>
    </row>
    <row r="375" spans="2:16">
      <c r="B375" s="109"/>
      <c r="C375" s="337"/>
      <c r="D375" s="337"/>
      <c r="E375" s="337"/>
      <c r="F375" s="337"/>
      <c r="G375" s="337"/>
      <c r="H375" s="337"/>
      <c r="I375" s="337"/>
      <c r="J375" s="337"/>
      <c r="K375" s="337"/>
      <c r="L375" s="337"/>
      <c r="M375" s="337"/>
      <c r="N375" s="337"/>
      <c r="O375" s="46"/>
      <c r="P375" s="207"/>
    </row>
    <row r="376" spans="2:16">
      <c r="B376" s="109"/>
      <c r="C376" s="337"/>
      <c r="D376" s="337"/>
      <c r="E376" s="337"/>
      <c r="F376" s="337"/>
      <c r="G376" s="337"/>
      <c r="H376" s="337"/>
      <c r="I376" s="337"/>
      <c r="J376" s="337"/>
      <c r="K376" s="337"/>
      <c r="L376" s="337"/>
      <c r="M376" s="337"/>
      <c r="N376" s="337"/>
      <c r="O376" s="46"/>
      <c r="P376" s="207"/>
    </row>
    <row r="377" spans="2:16">
      <c r="B377" s="109"/>
      <c r="C377" s="337"/>
      <c r="D377" s="337"/>
      <c r="E377" s="337"/>
      <c r="F377" s="337"/>
      <c r="G377" s="337"/>
      <c r="H377" s="337"/>
      <c r="I377" s="337"/>
      <c r="J377" s="337"/>
      <c r="K377" s="337"/>
      <c r="L377" s="337"/>
      <c r="M377" s="337"/>
      <c r="N377" s="337"/>
      <c r="O377" s="46"/>
      <c r="P377" s="207"/>
    </row>
    <row r="378" spans="2:16">
      <c r="B378" s="109"/>
      <c r="C378" s="337"/>
      <c r="D378" s="337"/>
      <c r="E378" s="337"/>
      <c r="F378" s="337"/>
      <c r="G378" s="337"/>
      <c r="H378" s="337"/>
      <c r="I378" s="337"/>
      <c r="J378" s="337"/>
      <c r="K378" s="337"/>
      <c r="L378" s="337"/>
      <c r="M378" s="337"/>
      <c r="N378" s="337"/>
      <c r="O378" s="46"/>
      <c r="P378" s="207"/>
    </row>
    <row r="379" spans="2:16">
      <c r="B379" s="109"/>
      <c r="C379" s="337"/>
      <c r="D379" s="337"/>
      <c r="E379" s="337"/>
      <c r="F379" s="337"/>
      <c r="G379" s="337"/>
      <c r="H379" s="337"/>
      <c r="I379" s="337"/>
      <c r="J379" s="337"/>
      <c r="K379" s="337"/>
      <c r="L379" s="337"/>
      <c r="M379" s="337"/>
      <c r="N379" s="337"/>
      <c r="O379" s="46"/>
      <c r="P379" s="207"/>
    </row>
    <row r="380" spans="2:16">
      <c r="B380" s="109"/>
      <c r="C380" s="337"/>
      <c r="D380" s="337"/>
      <c r="E380" s="337"/>
      <c r="F380" s="337"/>
      <c r="G380" s="337"/>
      <c r="H380" s="337"/>
      <c r="I380" s="337"/>
      <c r="J380" s="337"/>
      <c r="K380" s="337"/>
      <c r="L380" s="337"/>
      <c r="M380" s="337"/>
      <c r="N380" s="337"/>
      <c r="O380" s="46"/>
      <c r="P380" s="207"/>
    </row>
    <row r="381" spans="2:16">
      <c r="B381" s="109"/>
      <c r="C381" s="337"/>
      <c r="D381" s="337"/>
      <c r="E381" s="337"/>
      <c r="F381" s="337"/>
      <c r="G381" s="337"/>
      <c r="H381" s="337"/>
      <c r="I381" s="337"/>
      <c r="J381" s="337"/>
      <c r="K381" s="337"/>
      <c r="L381" s="337"/>
      <c r="M381" s="337"/>
      <c r="N381" s="337"/>
      <c r="O381" s="46"/>
      <c r="P381" s="207"/>
    </row>
    <row r="382" spans="2:16">
      <c r="B382" s="109"/>
      <c r="C382" s="337"/>
      <c r="D382" s="337"/>
      <c r="E382" s="337"/>
      <c r="F382" s="337"/>
      <c r="G382" s="337"/>
      <c r="H382" s="337"/>
      <c r="I382" s="337"/>
      <c r="J382" s="337"/>
      <c r="K382" s="337"/>
      <c r="L382" s="337"/>
      <c r="M382" s="337"/>
      <c r="N382" s="337"/>
      <c r="O382" s="46"/>
      <c r="P382" s="207"/>
    </row>
    <row r="383" spans="2:16">
      <c r="B383" s="109"/>
      <c r="C383" s="337"/>
      <c r="D383" s="337"/>
      <c r="E383" s="337"/>
      <c r="F383" s="337"/>
      <c r="G383" s="337"/>
      <c r="H383" s="337"/>
      <c r="I383" s="337"/>
      <c r="J383" s="337"/>
      <c r="K383" s="337"/>
      <c r="L383" s="337"/>
      <c r="M383" s="337"/>
      <c r="N383" s="337"/>
      <c r="O383" s="46"/>
      <c r="P383" s="207"/>
    </row>
    <row r="384" spans="2:16">
      <c r="B384" s="109"/>
      <c r="C384" s="337"/>
      <c r="D384" s="337"/>
      <c r="E384" s="337"/>
      <c r="F384" s="337"/>
      <c r="G384" s="337"/>
      <c r="H384" s="337"/>
      <c r="I384" s="337"/>
      <c r="J384" s="337"/>
      <c r="K384" s="337"/>
      <c r="L384" s="337"/>
      <c r="M384" s="337"/>
      <c r="N384" s="337"/>
      <c r="O384" s="46"/>
      <c r="P384" s="207"/>
    </row>
    <row r="385" spans="2:16">
      <c r="B385" s="109"/>
      <c r="C385" s="337"/>
      <c r="D385" s="337"/>
      <c r="E385" s="337"/>
      <c r="F385" s="337"/>
      <c r="G385" s="337"/>
      <c r="H385" s="337"/>
      <c r="I385" s="337"/>
      <c r="J385" s="337"/>
      <c r="K385" s="337"/>
      <c r="L385" s="337"/>
      <c r="M385" s="337"/>
      <c r="N385" s="337"/>
      <c r="O385" s="46"/>
      <c r="P385" s="207"/>
    </row>
    <row r="386" spans="2:16">
      <c r="B386" s="109"/>
      <c r="C386" s="337"/>
      <c r="D386" s="337"/>
      <c r="E386" s="337"/>
      <c r="F386" s="337"/>
      <c r="G386" s="337"/>
      <c r="H386" s="337"/>
      <c r="I386" s="337"/>
      <c r="J386" s="337"/>
      <c r="K386" s="337"/>
      <c r="L386" s="337"/>
      <c r="M386" s="337"/>
      <c r="N386" s="337"/>
      <c r="O386" s="46"/>
      <c r="P386" s="207"/>
    </row>
    <row r="387" spans="2:16">
      <c r="B387" s="109"/>
      <c r="C387" s="337"/>
      <c r="D387" s="337"/>
      <c r="E387" s="337"/>
      <c r="F387" s="337"/>
      <c r="G387" s="337"/>
      <c r="H387" s="337"/>
      <c r="I387" s="337"/>
      <c r="J387" s="337"/>
      <c r="K387" s="337"/>
      <c r="L387" s="337"/>
      <c r="M387" s="337"/>
      <c r="N387" s="337"/>
      <c r="O387" s="46"/>
      <c r="P387" s="207"/>
    </row>
    <row r="388" spans="2:16">
      <c r="B388" s="109"/>
      <c r="C388" s="337"/>
      <c r="D388" s="337"/>
      <c r="E388" s="337"/>
      <c r="F388" s="337"/>
      <c r="G388" s="337"/>
      <c r="H388" s="337"/>
      <c r="I388" s="337"/>
      <c r="J388" s="337"/>
      <c r="K388" s="337"/>
      <c r="L388" s="337"/>
      <c r="M388" s="337"/>
      <c r="N388" s="337"/>
      <c r="O388" s="46"/>
      <c r="P388" s="207"/>
    </row>
    <row r="389" spans="2:16">
      <c r="B389" s="109"/>
      <c r="C389" s="337"/>
      <c r="D389" s="337"/>
      <c r="E389" s="337"/>
      <c r="F389" s="337"/>
      <c r="G389" s="337"/>
      <c r="H389" s="337"/>
      <c r="I389" s="337"/>
      <c r="J389" s="337"/>
      <c r="K389" s="337"/>
      <c r="L389" s="337"/>
      <c r="M389" s="337"/>
      <c r="N389" s="337"/>
      <c r="O389" s="46"/>
      <c r="P389" s="207"/>
    </row>
    <row r="390" spans="2:16">
      <c r="B390" s="109"/>
      <c r="C390" s="337"/>
      <c r="D390" s="337"/>
      <c r="E390" s="337"/>
      <c r="F390" s="337"/>
      <c r="G390" s="337"/>
      <c r="H390" s="337"/>
      <c r="I390" s="337"/>
      <c r="J390" s="337"/>
      <c r="K390" s="337"/>
      <c r="L390" s="337"/>
      <c r="M390" s="337"/>
      <c r="N390" s="337"/>
      <c r="O390" s="46"/>
      <c r="P390" s="207"/>
    </row>
    <row r="391" spans="2:16">
      <c r="B391" s="109"/>
      <c r="C391" s="337"/>
      <c r="D391" s="337"/>
      <c r="E391" s="337"/>
      <c r="F391" s="337"/>
      <c r="G391" s="337"/>
      <c r="H391" s="337"/>
      <c r="I391" s="337"/>
      <c r="J391" s="337"/>
      <c r="K391" s="337"/>
      <c r="L391" s="337"/>
      <c r="M391" s="337"/>
      <c r="N391" s="337"/>
      <c r="O391" s="46"/>
      <c r="P391" s="207"/>
    </row>
    <row r="392" spans="2:16">
      <c r="B392" s="109"/>
      <c r="C392" s="337"/>
      <c r="D392" s="337"/>
      <c r="E392" s="337"/>
      <c r="F392" s="337"/>
      <c r="G392" s="337"/>
      <c r="H392" s="337"/>
      <c r="I392" s="337"/>
      <c r="J392" s="337"/>
      <c r="K392" s="337"/>
      <c r="L392" s="337"/>
      <c r="M392" s="337"/>
      <c r="N392" s="337"/>
      <c r="O392" s="46"/>
      <c r="P392" s="207"/>
    </row>
    <row r="393" spans="2:16">
      <c r="B393" s="109"/>
      <c r="C393" s="337"/>
      <c r="D393" s="337"/>
      <c r="E393" s="337"/>
      <c r="F393" s="337"/>
      <c r="G393" s="337"/>
      <c r="H393" s="337"/>
      <c r="I393" s="337"/>
      <c r="J393" s="337"/>
      <c r="K393" s="337"/>
      <c r="L393" s="337"/>
      <c r="M393" s="337"/>
      <c r="N393" s="337"/>
      <c r="O393" s="46"/>
      <c r="P393" s="207"/>
    </row>
    <row r="394" spans="2:16">
      <c r="B394" s="109"/>
      <c r="C394" s="337"/>
      <c r="D394" s="337"/>
      <c r="E394" s="337"/>
      <c r="F394" s="337"/>
      <c r="G394" s="337"/>
      <c r="H394" s="337"/>
      <c r="I394" s="337"/>
      <c r="J394" s="337"/>
      <c r="K394" s="337"/>
      <c r="L394" s="337"/>
      <c r="M394" s="337"/>
      <c r="N394" s="337"/>
      <c r="O394" s="46"/>
      <c r="P394" s="207"/>
    </row>
    <row r="395" spans="2:16">
      <c r="B395" s="109"/>
      <c r="C395" s="337"/>
      <c r="D395" s="337"/>
      <c r="E395" s="337"/>
      <c r="F395" s="337"/>
      <c r="G395" s="337"/>
      <c r="H395" s="337"/>
      <c r="I395" s="337"/>
      <c r="J395" s="337"/>
      <c r="K395" s="337"/>
      <c r="L395" s="337"/>
      <c r="M395" s="337"/>
      <c r="N395" s="337"/>
      <c r="O395" s="46"/>
      <c r="P395" s="207"/>
    </row>
    <row r="396" spans="2:16">
      <c r="B396" s="109"/>
      <c r="C396" s="337"/>
      <c r="D396" s="337"/>
      <c r="E396" s="337"/>
      <c r="F396" s="337"/>
      <c r="G396" s="337"/>
      <c r="H396" s="337"/>
      <c r="I396" s="337"/>
      <c r="J396" s="337"/>
      <c r="K396" s="337"/>
      <c r="L396" s="337"/>
      <c r="M396" s="337"/>
      <c r="N396" s="337"/>
      <c r="O396" s="46"/>
      <c r="P396" s="207"/>
    </row>
    <row r="397" spans="2:16">
      <c r="B397" s="109"/>
      <c r="C397" s="337"/>
      <c r="D397" s="337"/>
      <c r="E397" s="337"/>
      <c r="F397" s="337"/>
      <c r="G397" s="337"/>
      <c r="H397" s="337"/>
      <c r="I397" s="337"/>
      <c r="J397" s="337"/>
      <c r="K397" s="337"/>
      <c r="L397" s="337"/>
      <c r="M397" s="337"/>
      <c r="N397" s="337"/>
      <c r="O397" s="46"/>
      <c r="P397" s="207"/>
    </row>
    <row r="398" spans="2:16">
      <c r="B398" s="109"/>
      <c r="C398" s="337"/>
      <c r="D398" s="337"/>
      <c r="E398" s="337"/>
      <c r="F398" s="337"/>
      <c r="G398" s="337"/>
      <c r="H398" s="337"/>
      <c r="I398" s="337"/>
      <c r="J398" s="337"/>
      <c r="K398" s="337"/>
      <c r="L398" s="337"/>
      <c r="M398" s="337"/>
      <c r="N398" s="337"/>
      <c r="O398" s="46"/>
      <c r="P398" s="207"/>
    </row>
    <row r="399" spans="2:16">
      <c r="B399" s="109"/>
      <c r="C399" s="337"/>
      <c r="D399" s="337"/>
      <c r="E399" s="337"/>
      <c r="F399" s="337"/>
      <c r="G399" s="337"/>
      <c r="H399" s="337"/>
      <c r="I399" s="337"/>
      <c r="J399" s="337"/>
      <c r="K399" s="337"/>
      <c r="L399" s="337"/>
      <c r="M399" s="337"/>
      <c r="N399" s="337"/>
      <c r="O399" s="46"/>
      <c r="P399" s="207"/>
    </row>
    <row r="400" spans="2:16">
      <c r="B400" s="109"/>
      <c r="C400" s="337"/>
      <c r="D400" s="337"/>
      <c r="E400" s="337"/>
      <c r="F400" s="337"/>
      <c r="G400" s="337"/>
      <c r="H400" s="337"/>
      <c r="I400" s="337"/>
      <c r="J400" s="337"/>
      <c r="K400" s="337"/>
      <c r="L400" s="337"/>
      <c r="M400" s="337"/>
      <c r="N400" s="337"/>
      <c r="O400" s="46"/>
      <c r="P400" s="207"/>
    </row>
    <row r="401" spans="2:16">
      <c r="B401" s="109"/>
      <c r="C401" s="337"/>
      <c r="D401" s="337"/>
      <c r="E401" s="337"/>
      <c r="F401" s="337"/>
      <c r="G401" s="337"/>
      <c r="H401" s="337"/>
      <c r="I401" s="337"/>
      <c r="J401" s="337"/>
      <c r="K401" s="337"/>
      <c r="L401" s="337"/>
      <c r="M401" s="337"/>
      <c r="N401" s="337"/>
      <c r="O401" s="46"/>
      <c r="P401" s="207"/>
    </row>
    <row r="402" spans="2:16">
      <c r="B402" s="109"/>
      <c r="C402" s="337"/>
      <c r="D402" s="337"/>
      <c r="E402" s="337"/>
      <c r="F402" s="337"/>
      <c r="G402" s="337"/>
      <c r="H402" s="337"/>
      <c r="I402" s="337"/>
      <c r="J402" s="337"/>
      <c r="K402" s="337"/>
      <c r="L402" s="337"/>
      <c r="M402" s="337"/>
      <c r="N402" s="337"/>
      <c r="O402" s="46"/>
      <c r="P402" s="207"/>
    </row>
    <row r="403" spans="2:16">
      <c r="B403" s="109"/>
      <c r="C403" s="337"/>
      <c r="D403" s="337"/>
      <c r="E403" s="337"/>
      <c r="F403" s="337"/>
      <c r="G403" s="337"/>
      <c r="H403" s="337"/>
      <c r="I403" s="337"/>
      <c r="J403" s="337"/>
      <c r="K403" s="337"/>
      <c r="L403" s="337"/>
      <c r="M403" s="337"/>
      <c r="N403" s="337"/>
      <c r="O403" s="46"/>
      <c r="P403" s="207"/>
    </row>
    <row r="404" spans="2:16">
      <c r="B404" s="109"/>
      <c r="C404" s="337"/>
      <c r="D404" s="337"/>
      <c r="E404" s="337"/>
      <c r="F404" s="337"/>
      <c r="G404" s="337"/>
      <c r="H404" s="337"/>
      <c r="I404" s="337"/>
      <c r="J404" s="337"/>
      <c r="K404" s="337"/>
      <c r="L404" s="337"/>
      <c r="M404" s="337"/>
      <c r="N404" s="337"/>
      <c r="O404" s="46"/>
      <c r="P404" s="207"/>
    </row>
    <row r="405" spans="2:16">
      <c r="B405" s="109"/>
      <c r="C405" s="337"/>
      <c r="D405" s="337"/>
      <c r="E405" s="337"/>
      <c r="F405" s="337"/>
      <c r="G405" s="337"/>
      <c r="H405" s="337"/>
      <c r="I405" s="337"/>
      <c r="J405" s="337"/>
      <c r="K405" s="337"/>
      <c r="L405" s="337"/>
      <c r="M405" s="337"/>
      <c r="N405" s="337"/>
      <c r="O405" s="46"/>
      <c r="P405" s="207"/>
    </row>
    <row r="406" spans="2:16">
      <c r="B406" s="109"/>
      <c r="C406" s="337"/>
      <c r="D406" s="337"/>
      <c r="E406" s="337"/>
      <c r="F406" s="337"/>
      <c r="G406" s="337"/>
      <c r="H406" s="337"/>
      <c r="I406" s="337"/>
      <c r="J406" s="337"/>
      <c r="K406" s="337"/>
      <c r="L406" s="337"/>
      <c r="M406" s="337"/>
      <c r="N406" s="337"/>
      <c r="O406" s="46"/>
      <c r="P406" s="207"/>
    </row>
    <row r="407" spans="2:16">
      <c r="B407" s="109"/>
      <c r="C407" s="337"/>
      <c r="D407" s="337"/>
      <c r="E407" s="337"/>
      <c r="F407" s="337"/>
      <c r="G407" s="337"/>
      <c r="H407" s="337"/>
      <c r="I407" s="337"/>
      <c r="J407" s="337"/>
      <c r="K407" s="337"/>
      <c r="L407" s="337"/>
      <c r="M407" s="337"/>
      <c r="N407" s="337"/>
      <c r="O407" s="46"/>
      <c r="P407" s="207"/>
    </row>
    <row r="408" spans="2:16">
      <c r="B408" s="109"/>
      <c r="C408" s="337"/>
      <c r="D408" s="337"/>
      <c r="E408" s="337"/>
      <c r="F408" s="337"/>
      <c r="G408" s="337"/>
      <c r="H408" s="337"/>
      <c r="I408" s="337"/>
      <c r="J408" s="337"/>
      <c r="K408" s="337"/>
      <c r="L408" s="337"/>
      <c r="M408" s="337"/>
      <c r="N408" s="337"/>
      <c r="O408" s="46"/>
      <c r="P408" s="207"/>
    </row>
    <row r="409" spans="2:16">
      <c r="B409" s="109"/>
      <c r="C409" s="337"/>
      <c r="D409" s="337"/>
      <c r="E409" s="337"/>
      <c r="F409" s="337"/>
      <c r="G409" s="337"/>
      <c r="H409" s="337"/>
      <c r="I409" s="337"/>
      <c r="J409" s="337"/>
      <c r="K409" s="337"/>
      <c r="L409" s="337"/>
      <c r="M409" s="337"/>
      <c r="N409" s="337"/>
      <c r="O409" s="46"/>
      <c r="P409" s="207"/>
    </row>
    <row r="410" spans="2:16">
      <c r="B410" s="109"/>
      <c r="C410" s="337"/>
      <c r="D410" s="337"/>
      <c r="E410" s="337"/>
      <c r="F410" s="337"/>
      <c r="G410" s="337"/>
      <c r="H410" s="337"/>
      <c r="I410" s="337"/>
      <c r="J410" s="337"/>
      <c r="K410" s="337"/>
      <c r="L410" s="337"/>
      <c r="M410" s="337"/>
      <c r="N410" s="337"/>
      <c r="O410" s="46"/>
      <c r="P410" s="207"/>
    </row>
    <row r="411" spans="2:16">
      <c r="B411" s="109"/>
      <c r="C411" s="337"/>
      <c r="D411" s="337"/>
      <c r="E411" s="337"/>
      <c r="F411" s="337"/>
      <c r="G411" s="337"/>
      <c r="H411" s="337"/>
      <c r="I411" s="337"/>
      <c r="J411" s="337"/>
      <c r="K411" s="337"/>
      <c r="L411" s="337"/>
      <c r="M411" s="337"/>
      <c r="N411" s="337"/>
      <c r="O411" s="46"/>
      <c r="P411" s="207"/>
    </row>
    <row r="412" spans="2:16">
      <c r="B412" s="109"/>
      <c r="C412" s="337"/>
      <c r="D412" s="337"/>
      <c r="E412" s="337"/>
      <c r="F412" s="337"/>
      <c r="G412" s="337"/>
      <c r="H412" s="337"/>
      <c r="I412" s="337"/>
      <c r="J412" s="337"/>
      <c r="K412" s="337"/>
      <c r="L412" s="337"/>
      <c r="M412" s="337"/>
      <c r="N412" s="337"/>
      <c r="O412" s="46"/>
      <c r="P412" s="207"/>
    </row>
    <row r="413" spans="2:16">
      <c r="B413" s="109"/>
      <c r="C413" s="337"/>
      <c r="D413" s="337"/>
      <c r="E413" s="337"/>
      <c r="F413" s="337"/>
      <c r="G413" s="337"/>
      <c r="H413" s="337"/>
      <c r="I413" s="337"/>
      <c r="J413" s="337"/>
      <c r="K413" s="337"/>
      <c r="L413" s="337"/>
      <c r="M413" s="337"/>
      <c r="N413" s="337"/>
      <c r="O413" s="46"/>
      <c r="P413" s="207"/>
    </row>
    <row r="414" spans="2:16">
      <c r="B414" s="109"/>
      <c r="C414" s="337"/>
      <c r="D414" s="337"/>
      <c r="E414" s="337"/>
      <c r="F414" s="337"/>
      <c r="G414" s="337"/>
      <c r="H414" s="337"/>
      <c r="I414" s="337"/>
      <c r="J414" s="337"/>
      <c r="K414" s="337"/>
      <c r="L414" s="337"/>
      <c r="M414" s="337"/>
      <c r="N414" s="337"/>
      <c r="O414" s="46"/>
      <c r="P414" s="207"/>
    </row>
    <row r="415" spans="2:16">
      <c r="B415" s="109"/>
      <c r="C415" s="337"/>
      <c r="D415" s="337"/>
      <c r="E415" s="337"/>
      <c r="F415" s="337"/>
      <c r="G415" s="337"/>
      <c r="H415" s="337"/>
      <c r="I415" s="337"/>
      <c r="J415" s="337"/>
      <c r="K415" s="337"/>
      <c r="L415" s="337"/>
      <c r="M415" s="337"/>
      <c r="N415" s="337"/>
      <c r="O415" s="46"/>
      <c r="P415" s="207"/>
    </row>
    <row r="416" spans="2:16">
      <c r="B416" s="109"/>
      <c r="C416" s="337"/>
      <c r="D416" s="337"/>
      <c r="E416" s="337"/>
      <c r="F416" s="337"/>
      <c r="G416" s="337"/>
      <c r="H416" s="337"/>
      <c r="I416" s="337"/>
      <c r="J416" s="337"/>
      <c r="K416" s="337"/>
      <c r="L416" s="337"/>
      <c r="M416" s="337"/>
      <c r="N416" s="337"/>
      <c r="O416" s="46"/>
      <c r="P416" s="207"/>
    </row>
    <row r="417" spans="2:16">
      <c r="B417" s="109"/>
      <c r="C417" s="337"/>
      <c r="D417" s="337"/>
      <c r="E417" s="337"/>
      <c r="F417" s="337"/>
      <c r="G417" s="337"/>
      <c r="H417" s="337"/>
      <c r="I417" s="337"/>
      <c r="J417" s="337"/>
      <c r="K417" s="337"/>
      <c r="L417" s="337"/>
      <c r="M417" s="337"/>
      <c r="N417" s="337"/>
      <c r="O417" s="46"/>
      <c r="P417" s="207"/>
    </row>
    <row r="418" spans="2:16">
      <c r="B418" s="109"/>
      <c r="C418" s="337"/>
      <c r="D418" s="337"/>
      <c r="E418" s="337"/>
      <c r="F418" s="337"/>
      <c r="G418" s="337"/>
      <c r="H418" s="337"/>
      <c r="I418" s="337"/>
      <c r="J418" s="337"/>
      <c r="K418" s="337"/>
      <c r="L418" s="337"/>
      <c r="M418" s="337"/>
      <c r="N418" s="337"/>
      <c r="O418" s="46"/>
      <c r="P418" s="207"/>
    </row>
    <row r="419" spans="2:16">
      <c r="B419" s="109"/>
      <c r="C419" s="337"/>
      <c r="D419" s="337"/>
      <c r="E419" s="337"/>
      <c r="F419" s="337"/>
      <c r="G419" s="337"/>
      <c r="H419" s="337"/>
      <c r="I419" s="337"/>
      <c r="J419" s="337"/>
      <c r="K419" s="337"/>
      <c r="L419" s="337"/>
      <c r="M419" s="337"/>
      <c r="N419" s="337"/>
      <c r="O419" s="46"/>
      <c r="P419" s="207"/>
    </row>
    <row r="420" spans="2:16">
      <c r="B420" s="109"/>
      <c r="C420" s="337"/>
      <c r="D420" s="337"/>
      <c r="E420" s="337"/>
      <c r="F420" s="337"/>
      <c r="G420" s="337"/>
      <c r="H420" s="337"/>
      <c r="I420" s="337"/>
      <c r="J420" s="337"/>
      <c r="K420" s="337"/>
      <c r="L420" s="337"/>
      <c r="M420" s="337"/>
      <c r="N420" s="337"/>
      <c r="O420" s="46"/>
      <c r="P420" s="207"/>
    </row>
    <row r="421" spans="2:16">
      <c r="B421" s="109"/>
      <c r="C421" s="337"/>
      <c r="D421" s="337"/>
      <c r="E421" s="337"/>
      <c r="F421" s="337"/>
      <c r="G421" s="337"/>
      <c r="H421" s="337"/>
      <c r="I421" s="337"/>
      <c r="J421" s="337"/>
      <c r="K421" s="337"/>
      <c r="L421" s="337"/>
      <c r="M421" s="337"/>
      <c r="N421" s="337"/>
      <c r="O421" s="46"/>
      <c r="P421" s="207"/>
    </row>
    <row r="422" spans="2:16">
      <c r="B422" s="109"/>
      <c r="C422" s="337"/>
      <c r="D422" s="337"/>
      <c r="E422" s="337"/>
      <c r="F422" s="337"/>
      <c r="G422" s="337"/>
      <c r="H422" s="337"/>
      <c r="I422" s="337"/>
      <c r="J422" s="337"/>
      <c r="K422" s="337"/>
      <c r="L422" s="337"/>
      <c r="M422" s="337"/>
      <c r="N422" s="337"/>
      <c r="O422" s="46"/>
      <c r="P422" s="207"/>
    </row>
    <row r="423" spans="2:16">
      <c r="B423" s="109"/>
      <c r="C423" s="337"/>
      <c r="D423" s="337"/>
      <c r="E423" s="337"/>
      <c r="F423" s="337"/>
      <c r="G423" s="337"/>
      <c r="H423" s="337"/>
      <c r="I423" s="337"/>
      <c r="J423" s="337"/>
      <c r="K423" s="337"/>
      <c r="L423" s="337"/>
      <c r="M423" s="337"/>
      <c r="N423" s="337"/>
      <c r="O423" s="46"/>
      <c r="P423" s="207"/>
    </row>
    <row r="424" spans="2:16">
      <c r="B424" s="109"/>
      <c r="C424" s="337"/>
      <c r="D424" s="337"/>
      <c r="E424" s="337"/>
      <c r="F424" s="337"/>
      <c r="G424" s="337"/>
      <c r="H424" s="337"/>
      <c r="I424" s="337"/>
      <c r="J424" s="337"/>
      <c r="K424" s="337"/>
      <c r="L424" s="337"/>
      <c r="M424" s="337"/>
      <c r="N424" s="337"/>
      <c r="O424" s="46"/>
      <c r="P424" s="207"/>
    </row>
    <row r="425" spans="2:16">
      <c r="B425" s="109"/>
      <c r="C425" s="337"/>
      <c r="D425" s="337"/>
      <c r="E425" s="337"/>
      <c r="F425" s="337"/>
      <c r="G425" s="337"/>
      <c r="H425" s="337"/>
      <c r="I425" s="337"/>
      <c r="J425" s="337"/>
      <c r="K425" s="337"/>
      <c r="L425" s="337"/>
      <c r="M425" s="337"/>
      <c r="N425" s="337"/>
      <c r="O425" s="46"/>
      <c r="P425" s="207"/>
    </row>
    <row r="426" spans="2:16">
      <c r="B426" s="109"/>
      <c r="C426" s="337"/>
      <c r="D426" s="337"/>
      <c r="E426" s="337"/>
      <c r="F426" s="337"/>
      <c r="G426" s="337"/>
      <c r="H426" s="337"/>
      <c r="I426" s="337"/>
      <c r="J426" s="337"/>
      <c r="K426" s="337"/>
      <c r="L426" s="337"/>
      <c r="M426" s="337"/>
      <c r="N426" s="337"/>
      <c r="O426" s="46"/>
      <c r="P426" s="207"/>
    </row>
    <row r="427" spans="2:16">
      <c r="B427" s="109"/>
      <c r="C427" s="337"/>
      <c r="D427" s="337"/>
      <c r="E427" s="337"/>
      <c r="F427" s="337"/>
      <c r="G427" s="337"/>
      <c r="H427" s="337"/>
      <c r="I427" s="337"/>
      <c r="J427" s="337"/>
      <c r="K427" s="337"/>
      <c r="L427" s="337"/>
      <c r="M427" s="337"/>
      <c r="N427" s="337"/>
      <c r="O427" s="46"/>
      <c r="P427" s="207"/>
    </row>
    <row r="428" spans="2:16">
      <c r="B428" s="109"/>
      <c r="C428" s="337"/>
      <c r="D428" s="337"/>
      <c r="E428" s="337"/>
      <c r="F428" s="337"/>
      <c r="G428" s="337"/>
      <c r="H428" s="337"/>
      <c r="I428" s="337"/>
      <c r="J428" s="337"/>
      <c r="K428" s="337"/>
      <c r="L428" s="337"/>
      <c r="M428" s="337"/>
      <c r="N428" s="337"/>
      <c r="O428" s="46"/>
      <c r="P428" s="207"/>
    </row>
    <row r="429" spans="2:16">
      <c r="B429" s="109"/>
      <c r="C429" s="337"/>
      <c r="D429" s="337"/>
      <c r="E429" s="337"/>
      <c r="F429" s="337"/>
      <c r="G429" s="337"/>
      <c r="H429" s="337"/>
      <c r="I429" s="337"/>
      <c r="J429" s="337"/>
      <c r="K429" s="337"/>
      <c r="L429" s="337"/>
      <c r="M429" s="337"/>
      <c r="N429" s="337"/>
      <c r="O429" s="46"/>
      <c r="P429" s="207"/>
    </row>
    <row r="430" spans="2:16">
      <c r="B430" s="109"/>
      <c r="C430" s="337"/>
      <c r="D430" s="337"/>
      <c r="E430" s="337"/>
      <c r="F430" s="337"/>
      <c r="G430" s="337"/>
      <c r="H430" s="337"/>
      <c r="I430" s="337"/>
      <c r="J430" s="337"/>
      <c r="K430" s="337"/>
      <c r="L430" s="337"/>
      <c r="M430" s="337"/>
      <c r="N430" s="337"/>
      <c r="O430" s="46"/>
      <c r="P430" s="207"/>
    </row>
    <row r="431" spans="2:16">
      <c r="B431" s="109"/>
      <c r="C431" s="337"/>
      <c r="D431" s="337"/>
      <c r="E431" s="337"/>
      <c r="F431" s="337"/>
      <c r="G431" s="337"/>
      <c r="H431" s="337"/>
      <c r="I431" s="337"/>
      <c r="J431" s="337"/>
      <c r="K431" s="337"/>
      <c r="L431" s="337"/>
      <c r="M431" s="337"/>
      <c r="N431" s="337"/>
      <c r="O431" s="46"/>
      <c r="P431" s="207"/>
    </row>
    <row r="432" spans="2:16">
      <c r="B432" s="109"/>
      <c r="C432" s="337"/>
      <c r="D432" s="337"/>
      <c r="E432" s="337"/>
      <c r="F432" s="337"/>
      <c r="G432" s="337"/>
      <c r="H432" s="337"/>
      <c r="I432" s="337"/>
      <c r="J432" s="337"/>
      <c r="K432" s="337"/>
      <c r="L432" s="337"/>
      <c r="M432" s="337"/>
      <c r="N432" s="337"/>
      <c r="O432" s="46"/>
      <c r="P432" s="207"/>
    </row>
    <row r="433" spans="2:16">
      <c r="B433" s="109"/>
      <c r="C433" s="337"/>
      <c r="D433" s="337"/>
      <c r="E433" s="337"/>
      <c r="F433" s="337"/>
      <c r="G433" s="337"/>
      <c r="H433" s="337"/>
      <c r="I433" s="337"/>
      <c r="J433" s="337"/>
      <c r="K433" s="337"/>
      <c r="L433" s="337"/>
      <c r="M433" s="337"/>
      <c r="N433" s="337"/>
      <c r="O433" s="46"/>
      <c r="P433" s="207"/>
    </row>
    <row r="434" spans="2:16">
      <c r="B434" s="109"/>
      <c r="C434" s="337"/>
      <c r="D434" s="337"/>
      <c r="E434" s="337"/>
      <c r="F434" s="337"/>
      <c r="G434" s="337"/>
      <c r="H434" s="337"/>
      <c r="I434" s="337"/>
      <c r="J434" s="337"/>
      <c r="K434" s="337"/>
      <c r="L434" s="337"/>
      <c r="M434" s="337"/>
      <c r="N434" s="337"/>
      <c r="O434" s="46"/>
      <c r="P434" s="207"/>
    </row>
    <row r="435" spans="2:16">
      <c r="B435" s="109"/>
      <c r="C435" s="337"/>
      <c r="D435" s="337"/>
      <c r="E435" s="337"/>
      <c r="F435" s="337"/>
      <c r="G435" s="337"/>
      <c r="H435" s="337"/>
      <c r="I435" s="337"/>
      <c r="J435" s="337"/>
      <c r="K435" s="337"/>
      <c r="L435" s="337"/>
      <c r="M435" s="337"/>
      <c r="N435" s="337"/>
      <c r="O435" s="46"/>
      <c r="P435" s="207"/>
    </row>
    <row r="436" spans="2:16">
      <c r="B436" s="109"/>
      <c r="C436" s="337"/>
      <c r="D436" s="337"/>
      <c r="E436" s="337"/>
      <c r="F436" s="337"/>
      <c r="G436" s="337"/>
      <c r="H436" s="337"/>
      <c r="I436" s="337"/>
      <c r="J436" s="337"/>
      <c r="K436" s="337"/>
      <c r="L436" s="337"/>
      <c r="M436" s="337"/>
      <c r="N436" s="337"/>
      <c r="O436" s="46"/>
      <c r="P436" s="207"/>
    </row>
    <row r="437" spans="2:16">
      <c r="B437" s="109"/>
      <c r="C437" s="337"/>
      <c r="D437" s="337"/>
      <c r="E437" s="337"/>
      <c r="F437" s="337"/>
      <c r="G437" s="337"/>
      <c r="H437" s="337"/>
      <c r="I437" s="337"/>
      <c r="J437" s="337"/>
      <c r="K437" s="337"/>
      <c r="L437" s="337"/>
      <c r="M437" s="337"/>
      <c r="N437" s="337"/>
      <c r="O437" s="46"/>
      <c r="P437" s="207"/>
    </row>
    <row r="438" spans="2:16">
      <c r="B438" s="109"/>
      <c r="C438" s="337"/>
      <c r="D438" s="337"/>
      <c r="E438" s="337"/>
      <c r="F438" s="337"/>
      <c r="G438" s="337"/>
      <c r="H438" s="337"/>
      <c r="I438" s="337"/>
      <c r="J438" s="337"/>
      <c r="K438" s="337"/>
      <c r="L438" s="337"/>
      <c r="M438" s="337"/>
      <c r="N438" s="337"/>
      <c r="O438" s="46"/>
      <c r="P438" s="207"/>
    </row>
    <row r="439" spans="2:16">
      <c r="B439" s="109"/>
      <c r="C439" s="337"/>
      <c r="D439" s="337"/>
      <c r="E439" s="337"/>
      <c r="F439" s="337"/>
      <c r="G439" s="337"/>
      <c r="H439" s="337"/>
      <c r="I439" s="337"/>
      <c r="J439" s="337"/>
      <c r="K439" s="337"/>
      <c r="L439" s="337"/>
      <c r="M439" s="337"/>
      <c r="N439" s="337"/>
      <c r="O439" s="46"/>
      <c r="P439" s="207"/>
    </row>
    <row r="440" spans="2:16">
      <c r="B440" s="109"/>
      <c r="C440" s="337"/>
      <c r="D440" s="337"/>
      <c r="E440" s="337"/>
      <c r="F440" s="337"/>
      <c r="G440" s="337"/>
      <c r="H440" s="337"/>
      <c r="I440" s="337"/>
      <c r="J440" s="337"/>
      <c r="K440" s="337"/>
      <c r="L440" s="337"/>
      <c r="M440" s="337"/>
      <c r="N440" s="337"/>
      <c r="O440" s="46"/>
      <c r="P440" s="207"/>
    </row>
    <row r="441" spans="2:16">
      <c r="B441" s="109"/>
      <c r="C441" s="337"/>
      <c r="D441" s="337"/>
      <c r="E441" s="337"/>
      <c r="F441" s="337"/>
      <c r="G441" s="337"/>
      <c r="H441" s="337"/>
      <c r="I441" s="337"/>
      <c r="J441" s="337"/>
      <c r="K441" s="337"/>
      <c r="L441" s="337"/>
      <c r="M441" s="337"/>
      <c r="N441" s="337"/>
      <c r="O441" s="46"/>
      <c r="P441" s="207"/>
    </row>
    <row r="442" spans="2:16">
      <c r="B442" s="109"/>
      <c r="C442" s="337"/>
      <c r="D442" s="337"/>
      <c r="E442" s="337"/>
      <c r="F442" s="337"/>
      <c r="G442" s="337"/>
      <c r="H442" s="337"/>
      <c r="I442" s="337"/>
      <c r="J442" s="337"/>
      <c r="K442" s="337"/>
      <c r="L442" s="337"/>
      <c r="M442" s="337"/>
      <c r="N442" s="337"/>
      <c r="O442" s="46"/>
      <c r="P442" s="207"/>
    </row>
    <row r="443" spans="2:16">
      <c r="B443" s="109"/>
      <c r="C443" s="337"/>
      <c r="D443" s="337"/>
      <c r="E443" s="337"/>
      <c r="F443" s="337"/>
      <c r="G443" s="337"/>
      <c r="H443" s="337"/>
      <c r="I443" s="337"/>
      <c r="J443" s="337"/>
      <c r="K443" s="337"/>
      <c r="L443" s="337"/>
      <c r="M443" s="337"/>
      <c r="N443" s="337"/>
      <c r="O443" s="46"/>
      <c r="P443" s="207"/>
    </row>
    <row r="444" spans="2:16">
      <c r="B444" s="109"/>
      <c r="C444" s="337"/>
      <c r="D444" s="337"/>
      <c r="E444" s="337"/>
      <c r="F444" s="337"/>
      <c r="G444" s="337"/>
      <c r="H444" s="337"/>
      <c r="I444" s="337"/>
      <c r="J444" s="337"/>
      <c r="K444" s="337"/>
      <c r="L444" s="337"/>
      <c r="M444" s="337"/>
      <c r="N444" s="337"/>
      <c r="O444" s="46"/>
      <c r="P444" s="207"/>
    </row>
    <row r="445" spans="2:16">
      <c r="B445" s="109"/>
      <c r="C445" s="337"/>
      <c r="D445" s="337"/>
      <c r="E445" s="337"/>
      <c r="F445" s="337"/>
      <c r="G445" s="337"/>
      <c r="H445" s="337"/>
      <c r="I445" s="337"/>
      <c r="J445" s="337"/>
      <c r="K445" s="337"/>
      <c r="L445" s="337"/>
      <c r="M445" s="337"/>
      <c r="N445" s="337"/>
      <c r="O445" s="46"/>
      <c r="P445" s="207"/>
    </row>
    <row r="446" spans="2:16">
      <c r="B446" s="109"/>
      <c r="C446" s="337"/>
      <c r="D446" s="337"/>
      <c r="E446" s="337"/>
      <c r="F446" s="337"/>
      <c r="G446" s="337"/>
      <c r="H446" s="337"/>
      <c r="I446" s="337"/>
      <c r="J446" s="337"/>
      <c r="K446" s="337"/>
      <c r="L446" s="337"/>
      <c r="M446" s="337"/>
      <c r="N446" s="337"/>
      <c r="O446" s="46"/>
      <c r="P446" s="207"/>
    </row>
    <row r="447" spans="2:16">
      <c r="B447" s="109"/>
      <c r="C447" s="337"/>
      <c r="D447" s="337"/>
      <c r="E447" s="337"/>
      <c r="F447" s="337"/>
      <c r="G447" s="337"/>
      <c r="H447" s="337"/>
      <c r="I447" s="337"/>
      <c r="J447" s="337"/>
      <c r="K447" s="337"/>
      <c r="L447" s="337"/>
      <c r="M447" s="337"/>
      <c r="N447" s="337"/>
      <c r="O447" s="46"/>
      <c r="P447" s="207"/>
    </row>
    <row r="448" spans="2:16">
      <c r="B448" s="109"/>
      <c r="C448" s="337"/>
      <c r="D448" s="337"/>
      <c r="E448" s="337"/>
      <c r="F448" s="337"/>
      <c r="G448" s="337"/>
      <c r="H448" s="337"/>
      <c r="I448" s="337"/>
      <c r="J448" s="337"/>
      <c r="K448" s="337"/>
      <c r="L448" s="337"/>
      <c r="M448" s="337"/>
      <c r="N448" s="337"/>
      <c r="O448" s="46"/>
      <c r="P448" s="207"/>
    </row>
    <row r="449" spans="2:16">
      <c r="B449" s="109"/>
      <c r="C449" s="337"/>
      <c r="D449" s="337"/>
      <c r="E449" s="337"/>
      <c r="F449" s="337"/>
      <c r="G449" s="337"/>
      <c r="H449" s="337"/>
      <c r="I449" s="337"/>
      <c r="J449" s="337"/>
      <c r="K449" s="337"/>
      <c r="L449" s="337"/>
      <c r="M449" s="337"/>
      <c r="N449" s="337"/>
      <c r="O449" s="46"/>
      <c r="P449" s="207"/>
    </row>
    <row r="450" spans="2:16">
      <c r="B450" s="109"/>
      <c r="C450" s="337"/>
      <c r="D450" s="337"/>
      <c r="E450" s="337"/>
      <c r="F450" s="337"/>
      <c r="G450" s="337"/>
      <c r="H450" s="337"/>
      <c r="I450" s="337"/>
      <c r="J450" s="337"/>
      <c r="K450" s="337"/>
      <c r="L450" s="337"/>
      <c r="M450" s="337"/>
      <c r="N450" s="337"/>
      <c r="O450" s="46"/>
      <c r="P450" s="207"/>
    </row>
    <row r="451" spans="2:16">
      <c r="B451" s="109"/>
      <c r="C451" s="337"/>
      <c r="D451" s="337"/>
      <c r="E451" s="337"/>
      <c r="F451" s="337"/>
      <c r="G451" s="337"/>
      <c r="H451" s="337"/>
      <c r="I451" s="337"/>
      <c r="J451" s="337"/>
      <c r="K451" s="337"/>
      <c r="L451" s="337"/>
      <c r="M451" s="337"/>
      <c r="N451" s="337"/>
      <c r="O451" s="46"/>
      <c r="P451" s="207"/>
    </row>
    <row r="452" spans="2:16">
      <c r="B452" s="109"/>
      <c r="C452" s="337"/>
      <c r="D452" s="337"/>
      <c r="E452" s="337"/>
      <c r="F452" s="337"/>
      <c r="G452" s="337"/>
      <c r="H452" s="337"/>
      <c r="I452" s="337"/>
      <c r="J452" s="337"/>
      <c r="K452" s="337"/>
      <c r="L452" s="337"/>
      <c r="M452" s="337"/>
      <c r="N452" s="337"/>
      <c r="O452" s="46"/>
      <c r="P452" s="207"/>
    </row>
    <row r="453" spans="2:16">
      <c r="B453" s="109"/>
      <c r="C453" s="337"/>
      <c r="D453" s="337"/>
      <c r="E453" s="337"/>
      <c r="F453" s="337"/>
      <c r="G453" s="337"/>
      <c r="H453" s="337"/>
      <c r="I453" s="337"/>
      <c r="J453" s="337"/>
      <c r="K453" s="337"/>
      <c r="L453" s="337"/>
      <c r="M453" s="337"/>
      <c r="N453" s="337"/>
      <c r="O453" s="46"/>
      <c r="P453" s="207"/>
    </row>
    <row r="454" spans="2:16">
      <c r="B454" s="109"/>
      <c r="C454" s="337"/>
      <c r="D454" s="337"/>
      <c r="E454" s="337"/>
      <c r="F454" s="337"/>
      <c r="G454" s="337"/>
      <c r="H454" s="337"/>
      <c r="I454" s="337"/>
      <c r="J454" s="337"/>
      <c r="K454" s="337"/>
      <c r="L454" s="337"/>
      <c r="M454" s="337"/>
      <c r="N454" s="337"/>
      <c r="O454" s="46"/>
      <c r="P454" s="207"/>
    </row>
    <row r="455" spans="2:16">
      <c r="B455" s="109"/>
      <c r="C455" s="337"/>
      <c r="D455" s="337"/>
      <c r="E455" s="337"/>
      <c r="F455" s="337"/>
      <c r="G455" s="337"/>
      <c r="H455" s="337"/>
      <c r="I455" s="337"/>
      <c r="J455" s="337"/>
      <c r="K455" s="337"/>
      <c r="L455" s="337"/>
      <c r="M455" s="337"/>
      <c r="N455" s="337"/>
      <c r="O455" s="46"/>
      <c r="P455" s="207"/>
    </row>
    <row r="456" spans="2:16">
      <c r="B456" s="109"/>
      <c r="C456" s="337"/>
      <c r="D456" s="337"/>
      <c r="E456" s="337"/>
      <c r="F456" s="337"/>
      <c r="G456" s="337"/>
      <c r="H456" s="337"/>
      <c r="I456" s="337"/>
      <c r="J456" s="337"/>
      <c r="K456" s="337"/>
      <c r="L456" s="337"/>
      <c r="M456" s="337"/>
      <c r="N456" s="337"/>
      <c r="O456" s="46"/>
      <c r="P456" s="207"/>
    </row>
    <row r="457" spans="2:16">
      <c r="B457" s="109"/>
      <c r="C457" s="337"/>
      <c r="D457" s="337"/>
      <c r="E457" s="337"/>
      <c r="F457" s="337"/>
      <c r="G457" s="337"/>
      <c r="H457" s="337"/>
      <c r="I457" s="337"/>
      <c r="J457" s="337"/>
      <c r="K457" s="337"/>
      <c r="L457" s="337"/>
      <c r="M457" s="337"/>
      <c r="N457" s="337"/>
      <c r="O457" s="46"/>
      <c r="P457" s="207"/>
    </row>
    <row r="458" spans="2:16">
      <c r="B458" s="109"/>
      <c r="C458" s="337"/>
      <c r="D458" s="337"/>
      <c r="E458" s="337"/>
      <c r="F458" s="337"/>
      <c r="G458" s="337"/>
      <c r="H458" s="337"/>
      <c r="I458" s="337"/>
      <c r="J458" s="337"/>
      <c r="K458" s="337"/>
      <c r="L458" s="337"/>
      <c r="M458" s="337"/>
      <c r="N458" s="337"/>
      <c r="O458" s="46"/>
      <c r="P458" s="207"/>
    </row>
    <row r="459" spans="2:16">
      <c r="B459" s="109"/>
      <c r="C459" s="337"/>
      <c r="D459" s="337"/>
      <c r="E459" s="337"/>
      <c r="F459" s="337"/>
      <c r="G459" s="337"/>
      <c r="H459" s="337"/>
      <c r="I459" s="337"/>
      <c r="J459" s="337"/>
      <c r="K459" s="337"/>
      <c r="L459" s="337"/>
      <c r="M459" s="337"/>
      <c r="N459" s="337"/>
      <c r="O459" s="46"/>
      <c r="P459" s="207"/>
    </row>
    <row r="460" spans="2:16">
      <c r="B460" s="109"/>
      <c r="C460" s="337"/>
      <c r="D460" s="337"/>
      <c r="E460" s="337"/>
      <c r="F460" s="337"/>
      <c r="G460" s="337"/>
      <c r="H460" s="337"/>
      <c r="I460" s="337"/>
      <c r="J460" s="337"/>
      <c r="K460" s="337"/>
      <c r="L460" s="337"/>
      <c r="M460" s="337"/>
      <c r="N460" s="337"/>
      <c r="O460" s="46"/>
      <c r="P460" s="207"/>
    </row>
    <row r="461" spans="2:16">
      <c r="B461" s="109"/>
      <c r="C461" s="337"/>
      <c r="D461" s="337"/>
      <c r="E461" s="337"/>
      <c r="F461" s="337"/>
      <c r="G461" s="337"/>
      <c r="H461" s="337"/>
      <c r="I461" s="337"/>
      <c r="J461" s="337"/>
      <c r="K461" s="337"/>
      <c r="L461" s="337"/>
      <c r="M461" s="337"/>
      <c r="N461" s="337"/>
      <c r="O461" s="46"/>
      <c r="P461" s="207"/>
    </row>
    <row r="462" spans="2:16">
      <c r="B462" s="109"/>
      <c r="C462" s="337"/>
      <c r="D462" s="337"/>
      <c r="E462" s="337"/>
      <c r="F462" s="337"/>
      <c r="G462" s="337"/>
      <c r="H462" s="337"/>
      <c r="I462" s="337"/>
      <c r="J462" s="337"/>
      <c r="K462" s="337"/>
      <c r="L462" s="337"/>
      <c r="M462" s="337"/>
      <c r="N462" s="337"/>
      <c r="O462" s="46"/>
      <c r="P462" s="207"/>
    </row>
    <row r="463" spans="2:16">
      <c r="B463" s="109"/>
      <c r="C463" s="337"/>
      <c r="D463" s="337"/>
      <c r="E463" s="337"/>
      <c r="F463" s="337"/>
      <c r="G463" s="337"/>
      <c r="H463" s="337"/>
      <c r="I463" s="337"/>
      <c r="J463" s="337"/>
      <c r="K463" s="337"/>
      <c r="L463" s="337"/>
      <c r="M463" s="337"/>
      <c r="N463" s="337"/>
      <c r="O463" s="46"/>
      <c r="P463" s="207"/>
    </row>
    <row r="464" spans="2:16">
      <c r="B464" s="109"/>
      <c r="C464" s="337"/>
      <c r="D464" s="337"/>
      <c r="E464" s="337"/>
      <c r="F464" s="337"/>
      <c r="G464" s="337"/>
      <c r="H464" s="337"/>
      <c r="I464" s="337"/>
      <c r="J464" s="337"/>
      <c r="K464" s="337"/>
      <c r="L464" s="337"/>
      <c r="M464" s="337"/>
      <c r="N464" s="337"/>
      <c r="O464" s="46"/>
      <c r="P464" s="207"/>
    </row>
    <row r="465" spans="2:16">
      <c r="B465" s="109"/>
      <c r="C465" s="337"/>
      <c r="D465" s="337"/>
      <c r="E465" s="337"/>
      <c r="F465" s="337"/>
      <c r="G465" s="337"/>
      <c r="H465" s="337"/>
      <c r="I465" s="337"/>
      <c r="J465" s="337"/>
      <c r="K465" s="337"/>
      <c r="L465" s="337"/>
      <c r="M465" s="337"/>
      <c r="N465" s="337"/>
      <c r="O465" s="46"/>
      <c r="P465" s="207"/>
    </row>
    <row r="466" spans="2:16">
      <c r="B466" s="109"/>
      <c r="C466" s="337"/>
      <c r="D466" s="337"/>
      <c r="E466" s="337"/>
      <c r="F466" s="337"/>
      <c r="G466" s="337"/>
      <c r="H466" s="337"/>
      <c r="I466" s="337"/>
      <c r="J466" s="337"/>
      <c r="K466" s="337"/>
      <c r="L466" s="337"/>
      <c r="M466" s="337"/>
      <c r="N466" s="337"/>
      <c r="O466" s="46"/>
      <c r="P466" s="207"/>
    </row>
    <row r="467" spans="2:16">
      <c r="B467" s="109"/>
      <c r="C467" s="337"/>
      <c r="D467" s="337"/>
      <c r="E467" s="337"/>
      <c r="F467" s="337"/>
      <c r="G467" s="337"/>
      <c r="H467" s="337"/>
      <c r="I467" s="337"/>
      <c r="J467" s="337"/>
      <c r="K467" s="337"/>
      <c r="L467" s="337"/>
      <c r="M467" s="337"/>
      <c r="N467" s="337"/>
      <c r="O467" s="46"/>
      <c r="P467" s="207"/>
    </row>
    <row r="468" spans="2:16">
      <c r="B468" s="109"/>
      <c r="C468" s="337"/>
      <c r="D468" s="337"/>
      <c r="E468" s="337"/>
      <c r="F468" s="337"/>
      <c r="G468" s="337"/>
      <c r="H468" s="337"/>
      <c r="I468" s="337"/>
      <c r="J468" s="337"/>
      <c r="K468" s="337"/>
      <c r="L468" s="337"/>
      <c r="M468" s="337"/>
      <c r="N468" s="337"/>
      <c r="O468" s="46"/>
      <c r="P468" s="207"/>
    </row>
    <row r="469" spans="2:16">
      <c r="B469" s="109"/>
      <c r="C469" s="337"/>
      <c r="D469" s="337"/>
      <c r="E469" s="337"/>
      <c r="F469" s="337"/>
      <c r="G469" s="337"/>
      <c r="H469" s="337"/>
      <c r="I469" s="337"/>
      <c r="J469" s="337"/>
      <c r="K469" s="337"/>
      <c r="L469" s="337"/>
      <c r="M469" s="337"/>
      <c r="N469" s="337"/>
      <c r="O469" s="46"/>
      <c r="P469" s="207"/>
    </row>
    <row r="470" spans="2:16">
      <c r="B470" s="109"/>
      <c r="C470" s="337"/>
      <c r="D470" s="337"/>
      <c r="E470" s="337"/>
      <c r="F470" s="337"/>
      <c r="G470" s="337"/>
      <c r="H470" s="337"/>
      <c r="I470" s="337"/>
      <c r="J470" s="337"/>
      <c r="K470" s="337"/>
      <c r="L470" s="337"/>
      <c r="M470" s="337"/>
      <c r="N470" s="337"/>
      <c r="O470" s="46"/>
      <c r="P470" s="207"/>
    </row>
    <row r="471" spans="2:16">
      <c r="B471" s="109"/>
      <c r="C471" s="337"/>
      <c r="D471" s="337"/>
      <c r="E471" s="337"/>
      <c r="F471" s="337"/>
      <c r="G471" s="337"/>
      <c r="H471" s="337"/>
      <c r="I471" s="337"/>
      <c r="J471" s="337"/>
      <c r="K471" s="337"/>
      <c r="L471" s="337"/>
      <c r="M471" s="337"/>
      <c r="N471" s="337"/>
      <c r="O471" s="46"/>
      <c r="P471" s="207"/>
    </row>
    <row r="472" spans="2:16">
      <c r="B472" s="109"/>
      <c r="C472" s="337"/>
      <c r="D472" s="337"/>
      <c r="E472" s="337"/>
      <c r="F472" s="337"/>
      <c r="G472" s="337"/>
      <c r="H472" s="337"/>
      <c r="I472" s="337"/>
      <c r="J472" s="337"/>
      <c r="K472" s="337"/>
      <c r="L472" s="337"/>
      <c r="M472" s="337"/>
      <c r="N472" s="337"/>
      <c r="O472" s="46"/>
      <c r="P472" s="207"/>
    </row>
    <row r="473" spans="2:16">
      <c r="B473" s="109"/>
      <c r="C473" s="337"/>
      <c r="D473" s="337"/>
      <c r="E473" s="337"/>
      <c r="F473" s="337"/>
      <c r="G473" s="337"/>
      <c r="H473" s="337"/>
      <c r="I473" s="337"/>
      <c r="J473" s="337"/>
      <c r="K473" s="337"/>
      <c r="L473" s="337"/>
      <c r="M473" s="337"/>
      <c r="N473" s="337"/>
      <c r="O473" s="46"/>
      <c r="P473" s="207"/>
    </row>
    <row r="474" spans="2:16">
      <c r="B474" s="109"/>
      <c r="C474" s="337"/>
      <c r="D474" s="337"/>
      <c r="E474" s="337"/>
      <c r="F474" s="337"/>
      <c r="G474" s="337"/>
      <c r="H474" s="337"/>
      <c r="I474" s="337"/>
      <c r="J474" s="337"/>
      <c r="K474" s="337"/>
      <c r="L474" s="337"/>
      <c r="M474" s="337"/>
      <c r="N474" s="337"/>
      <c r="O474" s="46"/>
      <c r="P474" s="207"/>
    </row>
    <row r="475" spans="2:16">
      <c r="B475" s="109"/>
      <c r="C475" s="337"/>
      <c r="D475" s="337"/>
      <c r="E475" s="337"/>
      <c r="F475" s="337"/>
      <c r="G475" s="337"/>
      <c r="H475" s="337"/>
      <c r="I475" s="337"/>
      <c r="J475" s="337"/>
      <c r="K475" s="337"/>
      <c r="L475" s="337"/>
      <c r="M475" s="337"/>
      <c r="N475" s="337"/>
      <c r="O475" s="46"/>
      <c r="P475" s="207"/>
    </row>
    <row r="476" spans="2:16">
      <c r="B476" s="109"/>
      <c r="C476" s="337"/>
      <c r="D476" s="337"/>
      <c r="E476" s="337"/>
      <c r="F476" s="337"/>
      <c r="G476" s="337"/>
      <c r="H476" s="337"/>
      <c r="I476" s="337"/>
      <c r="J476" s="337"/>
      <c r="K476" s="337"/>
      <c r="L476" s="337"/>
      <c r="M476" s="337"/>
      <c r="N476" s="337"/>
      <c r="O476" s="46"/>
      <c r="P476" s="207"/>
    </row>
    <row r="477" spans="2:16">
      <c r="B477" s="109"/>
      <c r="C477" s="337"/>
      <c r="D477" s="337"/>
      <c r="E477" s="337"/>
      <c r="F477" s="337"/>
      <c r="G477" s="337"/>
      <c r="H477" s="337"/>
      <c r="I477" s="337"/>
      <c r="J477" s="337"/>
      <c r="K477" s="337"/>
      <c r="L477" s="337"/>
      <c r="M477" s="337"/>
      <c r="N477" s="337"/>
      <c r="O477" s="46"/>
      <c r="P477" s="207"/>
    </row>
    <row r="478" spans="2:16">
      <c r="B478" s="109"/>
      <c r="C478" s="337"/>
      <c r="D478" s="337"/>
      <c r="E478" s="337"/>
      <c r="F478" s="337"/>
      <c r="G478" s="337"/>
      <c r="H478" s="337"/>
      <c r="I478" s="337"/>
      <c r="J478" s="337"/>
      <c r="K478" s="337"/>
      <c r="L478" s="337"/>
      <c r="M478" s="337"/>
      <c r="N478" s="337"/>
      <c r="O478" s="46"/>
      <c r="P478" s="207"/>
    </row>
    <row r="479" spans="2:16">
      <c r="B479" s="109"/>
      <c r="C479" s="337"/>
      <c r="D479" s="337"/>
      <c r="E479" s="337"/>
      <c r="F479" s="337"/>
      <c r="G479" s="337"/>
      <c r="H479" s="337"/>
      <c r="I479" s="337"/>
      <c r="J479" s="337"/>
      <c r="K479" s="337"/>
      <c r="L479" s="337"/>
      <c r="M479" s="337"/>
      <c r="N479" s="337"/>
      <c r="O479" s="46"/>
      <c r="P479" s="207"/>
    </row>
    <row r="480" spans="2:16">
      <c r="B480" s="109"/>
      <c r="C480" s="337"/>
      <c r="D480" s="337"/>
      <c r="E480" s="337"/>
      <c r="F480" s="337"/>
      <c r="G480" s="337"/>
      <c r="H480" s="337"/>
      <c r="I480" s="337"/>
      <c r="J480" s="337"/>
      <c r="K480" s="337"/>
      <c r="L480" s="337"/>
      <c r="M480" s="337"/>
      <c r="N480" s="337"/>
      <c r="O480" s="46"/>
      <c r="P480" s="207"/>
    </row>
    <row r="481" spans="2:16">
      <c r="B481" s="109"/>
      <c r="C481" s="337"/>
      <c r="D481" s="337"/>
      <c r="E481" s="337"/>
      <c r="F481" s="337"/>
      <c r="G481" s="337"/>
      <c r="H481" s="337"/>
      <c r="I481" s="337"/>
      <c r="J481" s="337"/>
      <c r="K481" s="337"/>
      <c r="L481" s="337"/>
      <c r="M481" s="337"/>
      <c r="N481" s="337"/>
      <c r="O481" s="46"/>
      <c r="P481" s="207"/>
    </row>
    <row r="482" spans="2:16">
      <c r="B482" s="109"/>
      <c r="C482" s="337"/>
      <c r="D482" s="337"/>
      <c r="E482" s="337"/>
      <c r="F482" s="337"/>
      <c r="G482" s="337"/>
      <c r="H482" s="337"/>
      <c r="I482" s="337"/>
      <c r="J482" s="337"/>
      <c r="K482" s="337"/>
      <c r="L482" s="337"/>
      <c r="M482" s="337"/>
      <c r="N482" s="337"/>
      <c r="O482" s="46"/>
      <c r="P482" s="207"/>
    </row>
    <row r="483" spans="2:16">
      <c r="B483" s="109"/>
      <c r="C483" s="337"/>
      <c r="D483" s="337"/>
      <c r="E483" s="337"/>
      <c r="F483" s="337"/>
      <c r="G483" s="337"/>
      <c r="H483" s="337"/>
      <c r="I483" s="337"/>
      <c r="J483" s="337"/>
      <c r="K483" s="337"/>
      <c r="L483" s="337"/>
      <c r="M483" s="337"/>
      <c r="N483" s="337"/>
      <c r="O483" s="46"/>
      <c r="P483" s="207"/>
    </row>
    <row r="484" spans="2:16">
      <c r="B484" s="109"/>
      <c r="C484" s="337"/>
      <c r="D484" s="337"/>
      <c r="E484" s="337"/>
      <c r="F484" s="337"/>
      <c r="G484" s="337"/>
      <c r="H484" s="337"/>
      <c r="I484" s="337"/>
      <c r="J484" s="337"/>
      <c r="K484" s="337"/>
      <c r="L484" s="337"/>
      <c r="M484" s="337"/>
      <c r="N484" s="337"/>
      <c r="O484" s="46"/>
      <c r="P484" s="207"/>
    </row>
    <row r="485" spans="2:16">
      <c r="B485" s="109"/>
      <c r="C485" s="337"/>
      <c r="D485" s="337"/>
      <c r="E485" s="337"/>
      <c r="F485" s="337"/>
      <c r="G485" s="337"/>
      <c r="H485" s="337"/>
      <c r="I485" s="337"/>
      <c r="J485" s="337"/>
      <c r="K485" s="337"/>
      <c r="L485" s="337"/>
      <c r="M485" s="337"/>
      <c r="N485" s="337"/>
      <c r="O485" s="46"/>
      <c r="P485" s="207"/>
    </row>
    <row r="486" spans="2:16">
      <c r="B486" s="109"/>
      <c r="C486" s="337"/>
      <c r="D486" s="337"/>
      <c r="E486" s="337"/>
      <c r="F486" s="337"/>
      <c r="G486" s="337"/>
      <c r="H486" s="337"/>
      <c r="I486" s="337"/>
      <c r="J486" s="337"/>
      <c r="K486" s="337"/>
      <c r="L486" s="337"/>
      <c r="M486" s="337"/>
      <c r="N486" s="337"/>
      <c r="O486" s="46"/>
      <c r="P486" s="207"/>
    </row>
    <row r="487" spans="2:16">
      <c r="B487" s="109"/>
      <c r="C487" s="337"/>
      <c r="D487" s="337"/>
      <c r="E487" s="337"/>
      <c r="F487" s="337"/>
      <c r="G487" s="337"/>
      <c r="H487" s="337"/>
      <c r="I487" s="337"/>
      <c r="J487" s="337"/>
      <c r="K487" s="337"/>
      <c r="L487" s="337"/>
      <c r="M487" s="337"/>
      <c r="N487" s="337"/>
      <c r="O487" s="46"/>
      <c r="P487" s="207"/>
    </row>
    <row r="488" spans="2:16">
      <c r="B488" s="109"/>
      <c r="C488" s="337"/>
      <c r="D488" s="337"/>
      <c r="E488" s="337"/>
      <c r="F488" s="337"/>
      <c r="G488" s="337"/>
      <c r="H488" s="337"/>
      <c r="I488" s="337"/>
      <c r="J488" s="337"/>
      <c r="K488" s="337"/>
      <c r="L488" s="337"/>
      <c r="M488" s="337"/>
      <c r="N488" s="337"/>
      <c r="O488" s="46"/>
      <c r="P488" s="207"/>
    </row>
    <row r="489" spans="2:16">
      <c r="B489" s="109"/>
      <c r="C489" s="337"/>
      <c r="D489" s="337"/>
      <c r="E489" s="337"/>
      <c r="F489" s="337"/>
      <c r="G489" s="337"/>
      <c r="H489" s="337"/>
      <c r="I489" s="337"/>
      <c r="J489" s="337"/>
      <c r="K489" s="337"/>
      <c r="L489" s="337"/>
      <c r="M489" s="337"/>
      <c r="N489" s="337"/>
      <c r="O489" s="46"/>
      <c r="P489" s="207"/>
    </row>
    <row r="490" spans="2:16">
      <c r="B490" s="109"/>
      <c r="C490" s="337"/>
      <c r="D490" s="337"/>
      <c r="E490" s="337"/>
      <c r="F490" s="337"/>
      <c r="G490" s="337"/>
      <c r="H490" s="337"/>
      <c r="I490" s="337"/>
      <c r="J490" s="337"/>
      <c r="K490" s="337"/>
      <c r="L490" s="337"/>
      <c r="M490" s="337"/>
      <c r="N490" s="337"/>
      <c r="O490" s="46"/>
      <c r="P490" s="207"/>
    </row>
    <row r="491" spans="2:16">
      <c r="B491" s="109"/>
      <c r="C491" s="337"/>
      <c r="D491" s="337"/>
      <c r="E491" s="337"/>
      <c r="F491" s="337"/>
      <c r="G491" s="337"/>
      <c r="H491" s="337"/>
      <c r="I491" s="337"/>
      <c r="J491" s="337"/>
      <c r="K491" s="337"/>
      <c r="L491" s="337"/>
      <c r="M491" s="337"/>
      <c r="N491" s="337"/>
      <c r="O491" s="46"/>
      <c r="P491" s="207"/>
    </row>
    <row r="492" spans="2:16">
      <c r="B492" s="109"/>
      <c r="C492" s="337"/>
      <c r="D492" s="337"/>
      <c r="E492" s="337"/>
      <c r="F492" s="337"/>
      <c r="G492" s="337"/>
      <c r="H492" s="337"/>
      <c r="I492" s="337"/>
      <c r="J492" s="337"/>
      <c r="K492" s="337"/>
      <c r="L492" s="337"/>
      <c r="M492" s="337"/>
      <c r="N492" s="337"/>
      <c r="O492" s="46"/>
      <c r="P492" s="207"/>
    </row>
    <row r="493" spans="2:16">
      <c r="B493" s="109"/>
      <c r="C493" s="337"/>
      <c r="D493" s="337"/>
      <c r="E493" s="337"/>
      <c r="F493" s="337"/>
      <c r="G493" s="337"/>
      <c r="H493" s="337"/>
      <c r="I493" s="337"/>
      <c r="J493" s="337"/>
      <c r="K493" s="337"/>
      <c r="L493" s="337"/>
      <c r="M493" s="337"/>
      <c r="N493" s="337"/>
      <c r="O493" s="46"/>
      <c r="P493" s="207"/>
    </row>
    <row r="494" spans="2:16">
      <c r="B494" s="109"/>
      <c r="C494" s="337"/>
      <c r="D494" s="337"/>
      <c r="E494" s="337"/>
      <c r="F494" s="337"/>
      <c r="G494" s="337"/>
      <c r="H494" s="337"/>
      <c r="I494" s="337"/>
      <c r="J494" s="337"/>
      <c r="K494" s="337"/>
      <c r="L494" s="337"/>
      <c r="M494" s="337"/>
      <c r="N494" s="337"/>
      <c r="O494" s="46"/>
      <c r="P494" s="207"/>
    </row>
    <row r="495" spans="2:16">
      <c r="B495" s="109"/>
      <c r="C495" s="337"/>
      <c r="D495" s="337"/>
      <c r="E495" s="337"/>
      <c r="F495" s="337"/>
      <c r="G495" s="337"/>
      <c r="H495" s="337"/>
      <c r="I495" s="337"/>
      <c r="J495" s="337"/>
      <c r="K495" s="337"/>
      <c r="L495" s="337"/>
      <c r="M495" s="337"/>
      <c r="N495" s="337"/>
      <c r="O495" s="46"/>
      <c r="P495" s="207"/>
    </row>
    <row r="496" spans="2:16">
      <c r="B496" s="109"/>
      <c r="C496" s="337"/>
      <c r="D496" s="337"/>
      <c r="E496" s="337"/>
      <c r="F496" s="337"/>
      <c r="G496" s="337"/>
      <c r="H496" s="337"/>
      <c r="I496" s="337"/>
      <c r="J496" s="337"/>
      <c r="K496" s="337"/>
      <c r="L496" s="337"/>
      <c r="M496" s="337"/>
      <c r="N496" s="337"/>
      <c r="O496" s="46"/>
      <c r="P496" s="207"/>
    </row>
    <row r="497" spans="2:16">
      <c r="B497" s="109"/>
      <c r="C497" s="337"/>
      <c r="D497" s="337"/>
      <c r="E497" s="337"/>
      <c r="F497" s="337"/>
      <c r="G497" s="337"/>
      <c r="H497" s="337"/>
      <c r="I497" s="337"/>
      <c r="J497" s="337"/>
      <c r="K497" s="337"/>
      <c r="L497" s="337"/>
      <c r="M497" s="337"/>
      <c r="N497" s="337"/>
      <c r="O497" s="46"/>
      <c r="P497" s="207"/>
    </row>
    <row r="498" spans="2:16">
      <c r="B498" s="109"/>
      <c r="C498" s="337"/>
      <c r="D498" s="337"/>
      <c r="E498" s="337"/>
      <c r="F498" s="337"/>
      <c r="G498" s="337"/>
      <c r="H498" s="337"/>
      <c r="I498" s="337"/>
      <c r="J498" s="337"/>
      <c r="K498" s="337"/>
      <c r="L498" s="337"/>
      <c r="M498" s="337"/>
      <c r="N498" s="337"/>
      <c r="O498" s="46"/>
      <c r="P498" s="207"/>
    </row>
    <row r="499" spans="2:16">
      <c r="B499" s="109"/>
      <c r="C499" s="337"/>
      <c r="D499" s="337"/>
      <c r="E499" s="337"/>
      <c r="F499" s="337"/>
      <c r="G499" s="337"/>
      <c r="H499" s="337"/>
      <c r="I499" s="337"/>
      <c r="J499" s="337"/>
      <c r="K499" s="337"/>
      <c r="L499" s="337"/>
      <c r="M499" s="337"/>
      <c r="N499" s="337"/>
      <c r="O499" s="46"/>
      <c r="P499" s="207"/>
    </row>
    <row r="500" spans="2:16">
      <c r="B500" s="109"/>
      <c r="C500" s="337"/>
      <c r="D500" s="337"/>
      <c r="E500" s="337"/>
      <c r="F500" s="337"/>
      <c r="G500" s="337"/>
      <c r="H500" s="337"/>
      <c r="I500" s="337"/>
      <c r="J500" s="337"/>
      <c r="K500" s="337"/>
      <c r="L500" s="337"/>
      <c r="M500" s="337"/>
      <c r="N500" s="337"/>
      <c r="O500" s="46"/>
      <c r="P500" s="207"/>
    </row>
    <row r="501" spans="2:16">
      <c r="B501" s="109"/>
      <c r="C501" s="337"/>
      <c r="D501" s="337"/>
      <c r="E501" s="337"/>
      <c r="F501" s="337"/>
      <c r="G501" s="337"/>
      <c r="H501" s="337"/>
      <c r="I501" s="337"/>
      <c r="J501" s="337"/>
      <c r="K501" s="337"/>
      <c r="L501" s="337"/>
      <c r="M501" s="337"/>
      <c r="N501" s="337"/>
      <c r="O501" s="46"/>
      <c r="P501" s="207"/>
    </row>
    <row r="502" spans="2:16">
      <c r="B502" s="109"/>
      <c r="C502" s="337"/>
      <c r="D502" s="337"/>
      <c r="E502" s="337"/>
      <c r="F502" s="337"/>
      <c r="G502" s="337"/>
      <c r="H502" s="337"/>
      <c r="I502" s="337"/>
      <c r="J502" s="337"/>
      <c r="K502" s="337"/>
      <c r="L502" s="337"/>
      <c r="M502" s="337"/>
      <c r="N502" s="337"/>
      <c r="O502" s="46"/>
      <c r="P502" s="207"/>
    </row>
    <row r="503" spans="2:16">
      <c r="B503" s="109"/>
      <c r="C503" s="337"/>
      <c r="D503" s="337"/>
      <c r="E503" s="337"/>
      <c r="F503" s="337"/>
      <c r="G503" s="337"/>
      <c r="H503" s="337"/>
      <c r="I503" s="337"/>
      <c r="J503" s="337"/>
      <c r="K503" s="337"/>
      <c r="L503" s="337"/>
      <c r="M503" s="337"/>
      <c r="N503" s="337"/>
      <c r="O503" s="46"/>
      <c r="P503" s="207"/>
    </row>
    <row r="504" spans="2:16">
      <c r="B504" s="109"/>
      <c r="C504" s="337"/>
      <c r="D504" s="337"/>
      <c r="E504" s="337"/>
      <c r="F504" s="337"/>
      <c r="G504" s="337"/>
      <c r="H504" s="337"/>
      <c r="I504" s="337"/>
      <c r="J504" s="337"/>
      <c r="K504" s="337"/>
      <c r="L504" s="337"/>
      <c r="M504" s="337"/>
      <c r="N504" s="337"/>
      <c r="O504" s="46"/>
      <c r="P504" s="207"/>
    </row>
    <row r="505" spans="2:16">
      <c r="B505" s="109"/>
      <c r="C505" s="337"/>
      <c r="D505" s="337"/>
      <c r="E505" s="337"/>
      <c r="F505" s="337"/>
      <c r="G505" s="337"/>
      <c r="H505" s="337"/>
      <c r="I505" s="337"/>
      <c r="J505" s="337"/>
      <c r="K505" s="337"/>
      <c r="L505" s="337"/>
      <c r="M505" s="337"/>
      <c r="N505" s="337"/>
      <c r="O505" s="46"/>
      <c r="P505" s="207"/>
    </row>
    <row r="506" spans="2:16">
      <c r="B506" s="109"/>
      <c r="C506" s="337"/>
      <c r="D506" s="337"/>
      <c r="E506" s="337"/>
      <c r="F506" s="337"/>
      <c r="G506" s="337"/>
      <c r="H506" s="337"/>
      <c r="I506" s="337"/>
      <c r="J506" s="337"/>
      <c r="K506" s="337"/>
      <c r="L506" s="337"/>
      <c r="M506" s="337"/>
      <c r="N506" s="337"/>
      <c r="O506" s="46"/>
      <c r="P506" s="207"/>
    </row>
    <row r="507" spans="2:16">
      <c r="B507" s="109"/>
      <c r="C507" s="337"/>
      <c r="D507" s="337"/>
      <c r="E507" s="337"/>
      <c r="F507" s="337"/>
      <c r="G507" s="337"/>
      <c r="H507" s="337"/>
      <c r="I507" s="337"/>
      <c r="J507" s="337"/>
      <c r="K507" s="337"/>
      <c r="L507" s="337"/>
      <c r="M507" s="337"/>
      <c r="N507" s="337"/>
      <c r="O507" s="46"/>
      <c r="P507" s="207"/>
    </row>
    <row r="508" spans="2:16">
      <c r="B508" s="109"/>
      <c r="C508" s="337"/>
      <c r="D508" s="337"/>
      <c r="E508" s="337"/>
      <c r="F508" s="337"/>
      <c r="G508" s="337"/>
      <c r="H508" s="337"/>
      <c r="I508" s="337"/>
      <c r="J508" s="337"/>
      <c r="K508" s="337"/>
      <c r="L508" s="337"/>
      <c r="M508" s="337"/>
      <c r="N508" s="337"/>
      <c r="O508" s="46"/>
      <c r="P508" s="207"/>
    </row>
    <row r="509" spans="2:16">
      <c r="B509" s="109"/>
      <c r="C509" s="337"/>
      <c r="D509" s="337"/>
      <c r="E509" s="337"/>
      <c r="F509" s="337"/>
      <c r="G509" s="337"/>
      <c r="H509" s="337"/>
      <c r="I509" s="337"/>
      <c r="J509" s="337"/>
      <c r="K509" s="337"/>
      <c r="L509" s="337"/>
      <c r="M509" s="337"/>
      <c r="N509" s="337"/>
      <c r="O509" s="46"/>
      <c r="P509" s="207"/>
    </row>
    <row r="510" spans="2:16">
      <c r="B510" s="109"/>
      <c r="C510" s="337"/>
      <c r="D510" s="337"/>
      <c r="E510" s="337"/>
      <c r="F510" s="337"/>
      <c r="G510" s="337"/>
      <c r="H510" s="337"/>
      <c r="I510" s="337"/>
      <c r="J510" s="337"/>
      <c r="K510" s="337"/>
      <c r="L510" s="337"/>
      <c r="M510" s="337"/>
      <c r="N510" s="337"/>
      <c r="O510" s="46"/>
      <c r="P510" s="207"/>
    </row>
    <row r="511" spans="2:16">
      <c r="B511" s="109"/>
      <c r="C511" s="337"/>
      <c r="D511" s="337"/>
      <c r="E511" s="337"/>
      <c r="F511" s="337"/>
      <c r="G511" s="337"/>
      <c r="H511" s="337"/>
      <c r="I511" s="337"/>
      <c r="J511" s="337"/>
      <c r="K511" s="337"/>
      <c r="L511" s="337"/>
      <c r="M511" s="337"/>
      <c r="N511" s="337"/>
      <c r="O511" s="46"/>
      <c r="P511" s="207"/>
    </row>
    <row r="512" spans="2:16">
      <c r="B512" s="109"/>
      <c r="C512" s="337"/>
      <c r="D512" s="337"/>
      <c r="E512" s="337"/>
      <c r="F512" s="337"/>
      <c r="G512" s="337"/>
      <c r="H512" s="337"/>
      <c r="I512" s="337"/>
      <c r="J512" s="337"/>
      <c r="K512" s="337"/>
      <c r="L512" s="337"/>
      <c r="M512" s="337"/>
      <c r="N512" s="337"/>
      <c r="O512" s="46"/>
      <c r="P512" s="207"/>
    </row>
    <row r="513" spans="2:16">
      <c r="B513" s="109"/>
      <c r="C513" s="337"/>
      <c r="D513" s="337"/>
      <c r="E513" s="337"/>
      <c r="F513" s="337"/>
      <c r="G513" s="337"/>
      <c r="H513" s="337"/>
      <c r="I513" s="337"/>
      <c r="J513" s="337"/>
      <c r="K513" s="337"/>
      <c r="L513" s="337"/>
      <c r="M513" s="337"/>
      <c r="N513" s="337"/>
      <c r="O513" s="46"/>
      <c r="P513" s="207"/>
    </row>
    <row r="514" spans="2:16">
      <c r="B514" s="109"/>
      <c r="C514" s="337"/>
      <c r="D514" s="337"/>
      <c r="E514" s="337"/>
      <c r="F514" s="337"/>
      <c r="G514" s="337"/>
      <c r="H514" s="337"/>
      <c r="I514" s="337"/>
      <c r="J514" s="337"/>
      <c r="K514" s="337"/>
      <c r="L514" s="337"/>
      <c r="M514" s="337"/>
      <c r="N514" s="337"/>
      <c r="O514" s="46"/>
      <c r="P514" s="207"/>
    </row>
    <row r="515" spans="2:16">
      <c r="B515" s="109"/>
      <c r="C515" s="337"/>
      <c r="D515" s="337"/>
      <c r="E515" s="337"/>
      <c r="F515" s="337"/>
      <c r="G515" s="337"/>
      <c r="H515" s="337"/>
      <c r="I515" s="337"/>
      <c r="J515" s="337"/>
      <c r="K515" s="337"/>
      <c r="L515" s="337"/>
      <c r="M515" s="337"/>
      <c r="N515" s="337"/>
      <c r="O515" s="46"/>
      <c r="P515" s="207"/>
    </row>
    <row r="516" spans="2:16">
      <c r="B516" s="109"/>
      <c r="C516" s="337"/>
      <c r="D516" s="337"/>
      <c r="E516" s="337"/>
      <c r="F516" s="337"/>
      <c r="G516" s="337"/>
      <c r="H516" s="337"/>
      <c r="I516" s="337"/>
      <c r="J516" s="337"/>
      <c r="K516" s="337"/>
      <c r="L516" s="337"/>
      <c r="M516" s="337"/>
      <c r="N516" s="337"/>
      <c r="O516" s="46"/>
      <c r="P516" s="207"/>
    </row>
    <row r="517" spans="2:16">
      <c r="B517" s="109"/>
      <c r="C517" s="337"/>
      <c r="D517" s="337"/>
      <c r="E517" s="337"/>
      <c r="F517" s="337"/>
      <c r="G517" s="337"/>
      <c r="H517" s="337"/>
      <c r="I517" s="337"/>
      <c r="J517" s="337"/>
      <c r="K517" s="337"/>
      <c r="L517" s="337"/>
      <c r="M517" s="337"/>
      <c r="N517" s="337"/>
      <c r="O517" s="46"/>
      <c r="P517" s="207"/>
    </row>
    <row r="518" spans="2:16">
      <c r="B518" s="109"/>
      <c r="C518" s="337"/>
      <c r="D518" s="337"/>
      <c r="E518" s="337"/>
      <c r="F518" s="337"/>
      <c r="G518" s="337"/>
      <c r="H518" s="337"/>
      <c r="I518" s="337"/>
      <c r="J518" s="337"/>
      <c r="K518" s="337"/>
      <c r="L518" s="337"/>
      <c r="M518" s="337"/>
      <c r="N518" s="337"/>
      <c r="O518" s="46"/>
      <c r="P518" s="207"/>
    </row>
    <row r="519" spans="2:16">
      <c r="B519" s="109"/>
      <c r="C519" s="337"/>
      <c r="D519" s="337"/>
      <c r="E519" s="337"/>
      <c r="F519" s="337"/>
      <c r="G519" s="337"/>
      <c r="H519" s="337"/>
      <c r="I519" s="337"/>
      <c r="J519" s="337"/>
      <c r="K519" s="337"/>
      <c r="L519" s="337"/>
      <c r="M519" s="337"/>
      <c r="N519" s="337"/>
      <c r="O519" s="46"/>
      <c r="P519" s="207"/>
    </row>
    <row r="520" spans="2:16">
      <c r="B520" s="109"/>
      <c r="C520" s="337"/>
      <c r="D520" s="337"/>
      <c r="E520" s="337"/>
      <c r="F520" s="337"/>
      <c r="G520" s="337"/>
      <c r="H520" s="337"/>
      <c r="I520" s="337"/>
      <c r="J520" s="337"/>
      <c r="K520" s="337"/>
      <c r="L520" s="337"/>
      <c r="M520" s="337"/>
      <c r="N520" s="337"/>
      <c r="O520" s="46"/>
      <c r="P520" s="207"/>
    </row>
    <row r="521" spans="2:16">
      <c r="B521" s="109"/>
      <c r="C521" s="337"/>
      <c r="D521" s="337"/>
      <c r="E521" s="337"/>
      <c r="F521" s="337"/>
      <c r="G521" s="337"/>
      <c r="H521" s="337"/>
      <c r="I521" s="337"/>
      <c r="J521" s="337"/>
      <c r="K521" s="337"/>
      <c r="L521" s="337"/>
      <c r="M521" s="337"/>
      <c r="N521" s="337"/>
      <c r="O521" s="46"/>
      <c r="P521" s="207"/>
    </row>
    <row r="522" spans="2:16">
      <c r="B522" s="109"/>
      <c r="C522" s="337"/>
      <c r="D522" s="337"/>
      <c r="E522" s="337"/>
      <c r="F522" s="337"/>
      <c r="G522" s="337"/>
      <c r="H522" s="337"/>
      <c r="I522" s="337"/>
      <c r="J522" s="337"/>
      <c r="K522" s="337"/>
      <c r="L522" s="337"/>
      <c r="M522" s="337"/>
      <c r="N522" s="337"/>
      <c r="O522" s="46"/>
      <c r="P522" s="207"/>
    </row>
    <row r="523" spans="2:16">
      <c r="B523" s="109"/>
      <c r="C523" s="337"/>
      <c r="D523" s="337"/>
      <c r="E523" s="337"/>
      <c r="F523" s="337"/>
      <c r="G523" s="337"/>
      <c r="H523" s="337"/>
      <c r="I523" s="337"/>
      <c r="J523" s="337"/>
      <c r="K523" s="337"/>
      <c r="L523" s="337"/>
      <c r="M523" s="337"/>
      <c r="N523" s="337"/>
      <c r="O523" s="46"/>
      <c r="P523" s="207"/>
    </row>
    <row r="524" spans="2:16">
      <c r="B524" s="109"/>
      <c r="C524" s="337"/>
      <c r="D524" s="337"/>
      <c r="E524" s="337"/>
      <c r="F524" s="337"/>
      <c r="G524" s="337"/>
      <c r="H524" s="337"/>
      <c r="I524" s="337"/>
      <c r="J524" s="337"/>
      <c r="K524" s="337"/>
      <c r="L524" s="337"/>
      <c r="M524" s="337"/>
      <c r="N524" s="337"/>
      <c r="O524" s="46"/>
      <c r="P524" s="207"/>
    </row>
    <row r="525" spans="2:16">
      <c r="B525" s="109"/>
      <c r="C525" s="337"/>
      <c r="D525" s="337"/>
      <c r="E525" s="337"/>
      <c r="F525" s="337"/>
      <c r="G525" s="337"/>
      <c r="H525" s="337"/>
      <c r="I525" s="337"/>
      <c r="J525" s="337"/>
      <c r="K525" s="337"/>
      <c r="L525" s="337"/>
      <c r="M525" s="337"/>
      <c r="N525" s="337"/>
      <c r="O525" s="46"/>
      <c r="P525" s="207"/>
    </row>
    <row r="526" spans="2:16">
      <c r="B526" s="109"/>
      <c r="C526" s="337"/>
      <c r="D526" s="337"/>
      <c r="E526" s="337"/>
      <c r="F526" s="337"/>
      <c r="G526" s="337"/>
      <c r="H526" s="337"/>
      <c r="I526" s="337"/>
      <c r="J526" s="337"/>
      <c r="K526" s="337"/>
      <c r="L526" s="337"/>
      <c r="M526" s="337"/>
      <c r="N526" s="337"/>
      <c r="O526" s="46"/>
      <c r="P526" s="207"/>
    </row>
    <row r="527" spans="2:16">
      <c r="B527" s="109"/>
      <c r="C527" s="337"/>
      <c r="D527" s="337"/>
      <c r="E527" s="337"/>
      <c r="F527" s="337"/>
      <c r="G527" s="337"/>
      <c r="H527" s="337"/>
      <c r="I527" s="337"/>
      <c r="J527" s="337"/>
      <c r="K527" s="337"/>
      <c r="L527" s="337"/>
      <c r="M527" s="337"/>
      <c r="N527" s="337"/>
      <c r="O527" s="46"/>
      <c r="P527" s="207"/>
    </row>
    <row r="528" spans="2:16">
      <c r="B528" s="109"/>
      <c r="C528" s="337"/>
      <c r="D528" s="337"/>
      <c r="E528" s="337"/>
      <c r="F528" s="337"/>
      <c r="G528" s="337"/>
      <c r="H528" s="337"/>
      <c r="I528" s="337"/>
      <c r="J528" s="337"/>
      <c r="K528" s="337"/>
      <c r="L528" s="337"/>
      <c r="M528" s="337"/>
      <c r="N528" s="337"/>
      <c r="O528" s="46"/>
      <c r="P528" s="207"/>
    </row>
    <row r="529" spans="2:16">
      <c r="B529" s="109"/>
      <c r="C529" s="337"/>
      <c r="D529" s="337"/>
      <c r="E529" s="337"/>
      <c r="F529" s="337"/>
      <c r="G529" s="337"/>
      <c r="H529" s="337"/>
      <c r="I529" s="337"/>
      <c r="J529" s="337"/>
      <c r="K529" s="337"/>
      <c r="L529" s="337"/>
      <c r="M529" s="337"/>
      <c r="N529" s="337"/>
      <c r="O529" s="46"/>
      <c r="P529" s="207"/>
    </row>
    <row r="530" spans="2:16">
      <c r="B530" s="109"/>
      <c r="C530" s="337"/>
      <c r="D530" s="337"/>
      <c r="E530" s="337"/>
      <c r="F530" s="337"/>
      <c r="G530" s="337"/>
      <c r="H530" s="337"/>
      <c r="I530" s="337"/>
      <c r="J530" s="337"/>
      <c r="K530" s="337"/>
      <c r="L530" s="337"/>
      <c r="M530" s="337"/>
      <c r="N530" s="337"/>
      <c r="O530" s="46"/>
      <c r="P530" s="207"/>
    </row>
    <row r="531" spans="2:16">
      <c r="B531" s="109"/>
      <c r="C531" s="337"/>
      <c r="D531" s="337"/>
      <c r="E531" s="337"/>
      <c r="F531" s="337"/>
      <c r="G531" s="337"/>
      <c r="H531" s="337"/>
      <c r="I531" s="337"/>
      <c r="J531" s="337"/>
      <c r="K531" s="337"/>
      <c r="L531" s="337"/>
      <c r="M531" s="337"/>
      <c r="N531" s="337"/>
      <c r="O531" s="46"/>
      <c r="P531" s="207"/>
    </row>
    <row r="532" spans="2:16">
      <c r="B532" s="109"/>
      <c r="C532" s="337"/>
      <c r="D532" s="337"/>
      <c r="E532" s="337"/>
      <c r="F532" s="337"/>
      <c r="G532" s="337"/>
      <c r="H532" s="337"/>
      <c r="I532" s="337"/>
      <c r="J532" s="337"/>
      <c r="K532" s="337"/>
      <c r="L532" s="337"/>
      <c r="M532" s="337"/>
      <c r="N532" s="337"/>
      <c r="O532" s="46"/>
      <c r="P532" s="207"/>
    </row>
    <row r="533" spans="2:16">
      <c r="B533" s="109"/>
      <c r="C533" s="337"/>
      <c r="D533" s="337"/>
      <c r="E533" s="337"/>
      <c r="F533" s="337"/>
      <c r="G533" s="337"/>
      <c r="H533" s="337"/>
      <c r="I533" s="337"/>
      <c r="J533" s="337"/>
      <c r="K533" s="337"/>
      <c r="L533" s="337"/>
      <c r="M533" s="337"/>
      <c r="N533" s="337"/>
      <c r="O533" s="46"/>
      <c r="P533" s="207"/>
    </row>
    <row r="534" spans="2:16">
      <c r="B534" s="109"/>
      <c r="C534" s="337"/>
      <c r="D534" s="337"/>
      <c r="E534" s="337"/>
      <c r="F534" s="337"/>
      <c r="G534" s="337"/>
      <c r="H534" s="337"/>
      <c r="I534" s="337"/>
      <c r="J534" s="337"/>
      <c r="K534" s="337"/>
      <c r="L534" s="337"/>
      <c r="M534" s="337"/>
      <c r="N534" s="337"/>
      <c r="O534" s="46"/>
      <c r="P534" s="207"/>
    </row>
    <row r="535" spans="2:16">
      <c r="B535" s="109"/>
      <c r="C535" s="337"/>
      <c r="D535" s="337"/>
      <c r="E535" s="337"/>
      <c r="F535" s="337"/>
      <c r="G535" s="337"/>
      <c r="H535" s="337"/>
      <c r="I535" s="337"/>
      <c r="J535" s="337"/>
      <c r="K535" s="337"/>
      <c r="L535" s="337"/>
      <c r="M535" s="337"/>
      <c r="N535" s="337"/>
      <c r="O535" s="46"/>
      <c r="P535" s="207"/>
    </row>
    <row r="536" spans="2:16">
      <c r="B536" s="109"/>
      <c r="C536" s="337"/>
      <c r="D536" s="337"/>
      <c r="E536" s="337"/>
      <c r="F536" s="337"/>
      <c r="G536" s="337"/>
      <c r="H536" s="337"/>
      <c r="I536" s="337"/>
      <c r="J536" s="337"/>
      <c r="K536" s="337"/>
      <c r="L536" s="337"/>
      <c r="M536" s="337"/>
      <c r="N536" s="337"/>
      <c r="O536" s="46"/>
      <c r="P536" s="207"/>
    </row>
    <row r="537" spans="2:16">
      <c r="B537" s="109"/>
      <c r="C537" s="337"/>
      <c r="D537" s="337"/>
      <c r="E537" s="337"/>
      <c r="F537" s="337"/>
      <c r="G537" s="337"/>
      <c r="H537" s="337"/>
      <c r="I537" s="337"/>
      <c r="J537" s="337"/>
      <c r="K537" s="337"/>
      <c r="L537" s="337"/>
      <c r="M537" s="337"/>
      <c r="N537" s="337"/>
      <c r="O537" s="46"/>
      <c r="P537" s="207"/>
    </row>
    <row r="538" spans="2:16">
      <c r="B538" s="109"/>
      <c r="C538" s="337"/>
      <c r="D538" s="337"/>
      <c r="E538" s="337"/>
      <c r="F538" s="337"/>
      <c r="G538" s="337"/>
      <c r="H538" s="337"/>
      <c r="I538" s="337"/>
      <c r="J538" s="337"/>
      <c r="K538" s="337"/>
      <c r="L538" s="337"/>
      <c r="M538" s="337"/>
      <c r="N538" s="337"/>
      <c r="O538" s="46"/>
      <c r="P538" s="207"/>
    </row>
    <row r="539" spans="2:16">
      <c r="B539" s="109"/>
      <c r="C539" s="337"/>
      <c r="D539" s="337"/>
      <c r="E539" s="337"/>
      <c r="F539" s="337"/>
      <c r="G539" s="337"/>
      <c r="H539" s="337"/>
      <c r="I539" s="337"/>
      <c r="J539" s="337"/>
      <c r="K539" s="337"/>
      <c r="L539" s="337"/>
      <c r="M539" s="337"/>
      <c r="N539" s="337"/>
      <c r="O539" s="46"/>
      <c r="P539" s="207"/>
    </row>
    <row r="540" spans="2:16">
      <c r="B540" s="109"/>
      <c r="C540" s="337"/>
      <c r="D540" s="337"/>
      <c r="E540" s="337"/>
      <c r="F540" s="337"/>
      <c r="G540" s="337"/>
      <c r="H540" s="337"/>
      <c r="I540" s="337"/>
      <c r="J540" s="337"/>
      <c r="K540" s="337"/>
      <c r="L540" s="337"/>
      <c r="M540" s="337"/>
      <c r="N540" s="337"/>
      <c r="O540" s="46"/>
      <c r="P540" s="207"/>
    </row>
    <row r="541" spans="2:16">
      <c r="B541" s="109"/>
      <c r="C541" s="337"/>
      <c r="D541" s="337"/>
      <c r="E541" s="337"/>
      <c r="F541" s="337"/>
      <c r="G541" s="337"/>
      <c r="H541" s="337"/>
      <c r="I541" s="337"/>
      <c r="J541" s="337"/>
      <c r="K541" s="337"/>
      <c r="L541" s="337"/>
      <c r="M541" s="337"/>
      <c r="N541" s="337"/>
      <c r="O541" s="46"/>
      <c r="P541" s="207"/>
    </row>
    <row r="542" spans="2:16">
      <c r="B542" s="109"/>
      <c r="C542" s="337"/>
      <c r="D542" s="337"/>
      <c r="E542" s="337"/>
      <c r="F542" s="337"/>
      <c r="G542" s="337"/>
      <c r="H542" s="337"/>
      <c r="I542" s="337"/>
      <c r="J542" s="337"/>
      <c r="K542" s="337"/>
      <c r="L542" s="337"/>
      <c r="M542" s="337"/>
      <c r="N542" s="337"/>
      <c r="O542" s="46"/>
      <c r="P542" s="207"/>
    </row>
    <row r="543" spans="2:16">
      <c r="B543" s="109"/>
      <c r="C543" s="337"/>
      <c r="D543" s="337"/>
      <c r="E543" s="337"/>
      <c r="F543" s="337"/>
      <c r="G543" s="337"/>
      <c r="H543" s="337"/>
      <c r="I543" s="337"/>
      <c r="J543" s="337"/>
      <c r="K543" s="337"/>
      <c r="L543" s="337"/>
      <c r="M543" s="337"/>
      <c r="N543" s="337"/>
      <c r="O543" s="46"/>
      <c r="P543" s="207"/>
    </row>
    <row r="544" spans="2:16">
      <c r="B544" s="109"/>
      <c r="C544" s="337"/>
      <c r="D544" s="337"/>
      <c r="E544" s="337"/>
      <c r="F544" s="337"/>
      <c r="G544" s="337"/>
      <c r="H544" s="337"/>
      <c r="I544" s="337"/>
      <c r="J544" s="337"/>
      <c r="K544" s="337"/>
      <c r="L544" s="337"/>
      <c r="M544" s="337"/>
      <c r="N544" s="337"/>
      <c r="O544" s="46"/>
      <c r="P544" s="207"/>
    </row>
    <row r="545" spans="2:16">
      <c r="B545" s="109"/>
      <c r="C545" s="337"/>
      <c r="D545" s="337"/>
      <c r="E545" s="337"/>
      <c r="F545" s="337"/>
      <c r="G545" s="337"/>
      <c r="H545" s="337"/>
      <c r="I545" s="337"/>
      <c r="J545" s="337"/>
      <c r="K545" s="337"/>
      <c r="L545" s="337"/>
      <c r="M545" s="337"/>
      <c r="N545" s="337"/>
      <c r="O545" s="46"/>
      <c r="P545" s="207"/>
    </row>
    <row r="546" spans="2:16">
      <c r="B546" s="109"/>
      <c r="C546" s="337"/>
      <c r="D546" s="337"/>
      <c r="E546" s="337"/>
      <c r="F546" s="337"/>
      <c r="G546" s="337"/>
      <c r="H546" s="337"/>
      <c r="I546" s="337"/>
      <c r="J546" s="337"/>
      <c r="K546" s="337"/>
      <c r="L546" s="337"/>
      <c r="M546" s="337"/>
      <c r="N546" s="337"/>
      <c r="O546" s="46"/>
      <c r="P546" s="207"/>
    </row>
    <row r="547" spans="2:16">
      <c r="B547" s="109"/>
      <c r="C547" s="337"/>
      <c r="D547" s="337"/>
      <c r="E547" s="337"/>
      <c r="F547" s="337"/>
      <c r="G547" s="337"/>
      <c r="H547" s="337"/>
      <c r="I547" s="337"/>
      <c r="J547" s="337"/>
      <c r="K547" s="337"/>
      <c r="L547" s="337"/>
      <c r="M547" s="337"/>
      <c r="N547" s="337"/>
      <c r="O547" s="46"/>
      <c r="P547" s="207"/>
    </row>
    <row r="548" spans="2:16">
      <c r="B548" s="109"/>
      <c r="C548" s="337"/>
      <c r="D548" s="337"/>
      <c r="E548" s="337"/>
      <c r="F548" s="337"/>
      <c r="G548" s="337"/>
      <c r="H548" s="337"/>
      <c r="I548" s="337"/>
      <c r="J548" s="337"/>
      <c r="K548" s="337"/>
      <c r="L548" s="337"/>
      <c r="M548" s="337"/>
      <c r="N548" s="337"/>
      <c r="O548" s="46"/>
      <c r="P548" s="207"/>
    </row>
    <row r="549" spans="2:16">
      <c r="B549" s="109"/>
      <c r="C549" s="337"/>
      <c r="D549" s="337"/>
      <c r="E549" s="337"/>
      <c r="F549" s="337"/>
      <c r="G549" s="337"/>
      <c r="H549" s="337"/>
      <c r="I549" s="337"/>
      <c r="J549" s="337"/>
      <c r="K549" s="337"/>
      <c r="L549" s="337"/>
      <c r="M549" s="337"/>
      <c r="N549" s="337"/>
      <c r="O549" s="46"/>
      <c r="P549" s="207"/>
    </row>
    <row r="550" spans="2:16">
      <c r="B550" s="109"/>
      <c r="C550" s="337"/>
      <c r="D550" s="337"/>
      <c r="E550" s="337"/>
      <c r="F550" s="337"/>
      <c r="G550" s="337"/>
      <c r="H550" s="337"/>
      <c r="I550" s="337"/>
      <c r="J550" s="337"/>
      <c r="K550" s="337"/>
      <c r="L550" s="337"/>
      <c r="M550" s="337"/>
      <c r="N550" s="337"/>
      <c r="O550" s="46"/>
      <c r="P550" s="207"/>
    </row>
    <row r="551" spans="2:16">
      <c r="B551" s="109"/>
      <c r="C551" s="337"/>
      <c r="D551" s="337"/>
      <c r="E551" s="337"/>
      <c r="F551" s="337"/>
      <c r="G551" s="337"/>
      <c r="H551" s="337"/>
      <c r="I551" s="337"/>
      <c r="J551" s="337"/>
      <c r="K551" s="337"/>
      <c r="L551" s="337"/>
      <c r="M551" s="337"/>
      <c r="N551" s="337"/>
      <c r="O551" s="46"/>
      <c r="P551" s="207"/>
    </row>
    <row r="552" spans="2:16">
      <c r="B552" s="109"/>
      <c r="C552" s="337"/>
      <c r="D552" s="337"/>
      <c r="E552" s="337"/>
      <c r="F552" s="337"/>
      <c r="G552" s="337"/>
      <c r="H552" s="337"/>
      <c r="I552" s="337"/>
      <c r="J552" s="337"/>
      <c r="K552" s="337"/>
      <c r="L552" s="337"/>
      <c r="M552" s="337"/>
      <c r="N552" s="337"/>
      <c r="O552" s="46"/>
      <c r="P552" s="207"/>
    </row>
    <row r="553" spans="2:16">
      <c r="B553" s="109"/>
      <c r="C553" s="337"/>
      <c r="D553" s="337"/>
      <c r="E553" s="337"/>
      <c r="F553" s="337"/>
      <c r="G553" s="337"/>
      <c r="H553" s="337"/>
      <c r="I553" s="337"/>
      <c r="J553" s="337"/>
      <c r="K553" s="337"/>
      <c r="L553" s="337"/>
      <c r="M553" s="337"/>
      <c r="N553" s="337"/>
      <c r="O553" s="46"/>
      <c r="P553" s="207"/>
    </row>
    <row r="554" spans="2:16">
      <c r="B554" s="109"/>
      <c r="C554" s="337"/>
      <c r="D554" s="337"/>
      <c r="E554" s="337"/>
      <c r="F554" s="337"/>
      <c r="G554" s="337"/>
      <c r="H554" s="337"/>
      <c r="I554" s="337"/>
      <c r="J554" s="337"/>
      <c r="K554" s="337"/>
      <c r="L554" s="337"/>
      <c r="M554" s="337"/>
      <c r="N554" s="337"/>
      <c r="O554" s="46"/>
      <c r="P554" s="207"/>
    </row>
    <row r="555" spans="2:16">
      <c r="B555" s="109"/>
      <c r="C555" s="337"/>
      <c r="D555" s="337"/>
      <c r="E555" s="337"/>
      <c r="F555" s="337"/>
      <c r="G555" s="337"/>
      <c r="H555" s="337"/>
      <c r="I555" s="337"/>
      <c r="J555" s="337"/>
      <c r="K555" s="337"/>
      <c r="L555" s="337"/>
      <c r="M555" s="337"/>
      <c r="N555" s="337"/>
      <c r="O555" s="46"/>
      <c r="P555" s="207"/>
    </row>
    <row r="556" spans="2:16">
      <c r="B556" s="109"/>
      <c r="C556" s="337"/>
      <c r="D556" s="337"/>
      <c r="E556" s="337"/>
      <c r="F556" s="337"/>
      <c r="G556" s="337"/>
      <c r="H556" s="337"/>
      <c r="I556" s="337"/>
      <c r="J556" s="337"/>
      <c r="K556" s="337"/>
      <c r="L556" s="337"/>
      <c r="M556" s="337"/>
      <c r="N556" s="337"/>
      <c r="O556" s="46"/>
      <c r="P556" s="207"/>
    </row>
    <row r="557" spans="2:16">
      <c r="B557" s="109"/>
      <c r="C557" s="337"/>
      <c r="D557" s="337"/>
      <c r="E557" s="337"/>
      <c r="F557" s="337"/>
      <c r="G557" s="337"/>
      <c r="H557" s="337"/>
      <c r="I557" s="337"/>
      <c r="J557" s="337"/>
      <c r="K557" s="337"/>
      <c r="L557" s="337"/>
      <c r="M557" s="337"/>
      <c r="N557" s="337"/>
      <c r="O557" s="46"/>
      <c r="P557" s="207"/>
    </row>
    <row r="558" spans="2:16">
      <c r="B558" s="109"/>
      <c r="C558" s="337"/>
      <c r="D558" s="337"/>
      <c r="E558" s="337"/>
      <c r="F558" s="337"/>
      <c r="G558" s="337"/>
      <c r="H558" s="337"/>
      <c r="I558" s="337"/>
      <c r="J558" s="337"/>
      <c r="K558" s="337"/>
      <c r="L558" s="337"/>
      <c r="M558" s="337"/>
      <c r="N558" s="337"/>
      <c r="O558" s="46"/>
      <c r="P558" s="207"/>
    </row>
    <row r="559" spans="2:16">
      <c r="B559" s="109"/>
      <c r="C559" s="337"/>
      <c r="D559" s="337"/>
      <c r="E559" s="337"/>
      <c r="F559" s="337"/>
      <c r="G559" s="337"/>
      <c r="H559" s="337"/>
      <c r="I559" s="337"/>
      <c r="J559" s="337"/>
      <c r="K559" s="337"/>
      <c r="L559" s="337"/>
      <c r="M559" s="337"/>
      <c r="N559" s="337"/>
      <c r="O559" s="46"/>
      <c r="P559" s="207"/>
    </row>
    <row r="560" spans="2:16">
      <c r="B560" s="109"/>
      <c r="C560" s="337"/>
      <c r="D560" s="337"/>
      <c r="E560" s="337"/>
      <c r="F560" s="337"/>
      <c r="G560" s="337"/>
      <c r="H560" s="337"/>
      <c r="I560" s="337"/>
      <c r="J560" s="337"/>
      <c r="K560" s="337"/>
      <c r="L560" s="337"/>
      <c r="M560" s="337"/>
      <c r="N560" s="337"/>
      <c r="O560" s="46"/>
      <c r="P560" s="207"/>
    </row>
    <row r="561" spans="2:16">
      <c r="B561" s="109"/>
      <c r="C561" s="337"/>
      <c r="D561" s="337"/>
      <c r="E561" s="337"/>
      <c r="F561" s="337"/>
      <c r="G561" s="337"/>
      <c r="H561" s="337"/>
      <c r="I561" s="337"/>
      <c r="J561" s="337"/>
      <c r="K561" s="337"/>
      <c r="L561" s="337"/>
      <c r="M561" s="337"/>
      <c r="N561" s="337"/>
      <c r="O561" s="46"/>
      <c r="P561" s="207"/>
    </row>
    <row r="562" spans="2:16">
      <c r="B562" s="109"/>
      <c r="C562" s="337"/>
      <c r="D562" s="337"/>
      <c r="E562" s="337"/>
      <c r="F562" s="337"/>
      <c r="G562" s="337"/>
      <c r="H562" s="337"/>
      <c r="I562" s="337"/>
      <c r="J562" s="337"/>
      <c r="K562" s="337"/>
      <c r="L562" s="337"/>
      <c r="M562" s="337"/>
      <c r="N562" s="337"/>
      <c r="O562" s="46"/>
      <c r="P562" s="207"/>
    </row>
    <row r="563" spans="2:16">
      <c r="B563" s="109"/>
      <c r="C563" s="337"/>
      <c r="D563" s="337"/>
      <c r="E563" s="337"/>
      <c r="F563" s="337"/>
      <c r="G563" s="337"/>
      <c r="H563" s="337"/>
      <c r="I563" s="337"/>
      <c r="J563" s="337"/>
      <c r="K563" s="337"/>
      <c r="L563" s="337"/>
      <c r="M563" s="337"/>
      <c r="N563" s="337"/>
      <c r="O563" s="46"/>
      <c r="P563" s="207"/>
    </row>
    <row r="564" spans="2:16">
      <c r="B564" s="109"/>
      <c r="C564" s="337"/>
      <c r="D564" s="337"/>
      <c r="E564" s="337"/>
      <c r="F564" s="337"/>
      <c r="G564" s="337"/>
      <c r="H564" s="337"/>
      <c r="I564" s="337"/>
      <c r="J564" s="337"/>
      <c r="K564" s="337"/>
      <c r="L564" s="337"/>
      <c r="M564" s="337"/>
      <c r="N564" s="337"/>
      <c r="O564" s="46"/>
      <c r="P564" s="207"/>
    </row>
    <row r="565" spans="2:16">
      <c r="B565" s="109"/>
      <c r="C565" s="337"/>
      <c r="D565" s="337"/>
      <c r="E565" s="337"/>
      <c r="F565" s="337"/>
      <c r="G565" s="337"/>
      <c r="H565" s="337"/>
      <c r="I565" s="337"/>
      <c r="J565" s="337"/>
      <c r="K565" s="337"/>
      <c r="L565" s="337"/>
      <c r="M565" s="337"/>
      <c r="N565" s="337"/>
      <c r="O565" s="46"/>
      <c r="P565" s="207"/>
    </row>
    <row r="566" spans="2:16">
      <c r="B566" s="109"/>
      <c r="C566" s="337"/>
      <c r="D566" s="337"/>
      <c r="E566" s="337"/>
      <c r="F566" s="337"/>
      <c r="G566" s="337"/>
      <c r="H566" s="337"/>
      <c r="I566" s="337"/>
      <c r="J566" s="337"/>
      <c r="K566" s="337"/>
      <c r="L566" s="337"/>
      <c r="M566" s="337"/>
      <c r="N566" s="337"/>
      <c r="O566" s="46"/>
      <c r="P566" s="207"/>
    </row>
    <row r="567" spans="2:16">
      <c r="B567" s="109"/>
      <c r="C567" s="337"/>
      <c r="D567" s="337"/>
      <c r="E567" s="337"/>
      <c r="F567" s="337"/>
      <c r="G567" s="337"/>
      <c r="H567" s="337"/>
      <c r="I567" s="337"/>
      <c r="J567" s="337"/>
      <c r="K567" s="337"/>
      <c r="L567" s="337"/>
      <c r="M567" s="337"/>
      <c r="N567" s="337"/>
      <c r="O567" s="46"/>
      <c r="P567" s="207"/>
    </row>
    <row r="568" spans="2:16">
      <c r="B568" s="109"/>
      <c r="C568" s="337"/>
      <c r="D568" s="337"/>
      <c r="E568" s="337"/>
      <c r="F568" s="337"/>
      <c r="G568" s="337"/>
      <c r="H568" s="337"/>
      <c r="I568" s="337"/>
      <c r="J568" s="337"/>
      <c r="K568" s="337"/>
      <c r="L568" s="337"/>
      <c r="M568" s="337"/>
      <c r="N568" s="337"/>
      <c r="O568" s="46"/>
      <c r="P568" s="207"/>
    </row>
    <row r="569" spans="2:16">
      <c r="B569" s="109"/>
      <c r="C569" s="337"/>
      <c r="D569" s="337"/>
      <c r="E569" s="337"/>
      <c r="F569" s="337"/>
      <c r="G569" s="337"/>
      <c r="H569" s="337"/>
      <c r="I569" s="337"/>
      <c r="J569" s="337"/>
      <c r="K569" s="337"/>
      <c r="L569" s="337"/>
      <c r="M569" s="337"/>
      <c r="N569" s="337"/>
      <c r="O569" s="46"/>
      <c r="P569" s="207"/>
    </row>
    <row r="570" spans="2:16">
      <c r="B570" s="109"/>
      <c r="C570" s="337"/>
      <c r="D570" s="337"/>
      <c r="E570" s="337"/>
      <c r="F570" s="337"/>
      <c r="G570" s="337"/>
      <c r="H570" s="337"/>
      <c r="I570" s="337"/>
      <c r="J570" s="337"/>
      <c r="K570" s="337"/>
      <c r="L570" s="337"/>
      <c r="M570" s="337"/>
      <c r="N570" s="337"/>
      <c r="O570" s="46"/>
      <c r="P570" s="207"/>
    </row>
    <row r="571" spans="2:16">
      <c r="B571" s="109"/>
      <c r="C571" s="337"/>
      <c r="D571" s="337"/>
      <c r="E571" s="337"/>
      <c r="F571" s="337"/>
      <c r="G571" s="337"/>
      <c r="H571" s="337"/>
      <c r="I571" s="337"/>
      <c r="J571" s="337"/>
      <c r="K571" s="337"/>
      <c r="L571" s="337"/>
      <c r="M571" s="337"/>
      <c r="N571" s="337"/>
      <c r="O571" s="46"/>
      <c r="P571" s="207"/>
    </row>
    <row r="572" spans="2:16">
      <c r="B572" s="109"/>
      <c r="C572" s="337"/>
      <c r="D572" s="337"/>
      <c r="E572" s="337"/>
      <c r="F572" s="337"/>
      <c r="G572" s="337"/>
      <c r="H572" s="337"/>
      <c r="I572" s="337"/>
      <c r="J572" s="337"/>
      <c r="K572" s="337"/>
      <c r="L572" s="337"/>
      <c r="M572" s="337"/>
      <c r="N572" s="337"/>
      <c r="O572" s="46"/>
      <c r="P572" s="207"/>
    </row>
    <row r="573" spans="2:16">
      <c r="B573" s="109"/>
      <c r="C573" s="337"/>
      <c r="D573" s="337"/>
      <c r="E573" s="337"/>
      <c r="F573" s="337"/>
      <c r="G573" s="337"/>
      <c r="H573" s="337"/>
      <c r="I573" s="337"/>
      <c r="J573" s="337"/>
      <c r="K573" s="337"/>
      <c r="L573" s="337"/>
      <c r="M573" s="337"/>
      <c r="N573" s="337"/>
      <c r="O573" s="46"/>
      <c r="P573" s="207"/>
    </row>
    <row r="574" spans="2:16">
      <c r="B574" s="109"/>
      <c r="C574" s="337"/>
      <c r="D574" s="337"/>
      <c r="E574" s="337"/>
      <c r="F574" s="337"/>
      <c r="G574" s="337"/>
      <c r="H574" s="337"/>
      <c r="I574" s="337"/>
      <c r="J574" s="337"/>
      <c r="K574" s="337"/>
      <c r="L574" s="337"/>
      <c r="M574" s="337"/>
      <c r="N574" s="337"/>
      <c r="O574" s="46"/>
      <c r="P574" s="207"/>
    </row>
    <row r="575" spans="2:16">
      <c r="B575" s="109"/>
      <c r="C575" s="337"/>
      <c r="D575" s="337"/>
      <c r="E575" s="337"/>
      <c r="F575" s="337"/>
      <c r="G575" s="337"/>
      <c r="H575" s="337"/>
      <c r="I575" s="337"/>
      <c r="J575" s="337"/>
      <c r="K575" s="337"/>
      <c r="L575" s="337"/>
      <c r="M575" s="337"/>
      <c r="N575" s="337"/>
      <c r="O575" s="46"/>
      <c r="P575" s="207"/>
    </row>
    <row r="576" spans="2:16">
      <c r="B576" s="109"/>
      <c r="C576" s="337"/>
      <c r="D576" s="337"/>
      <c r="E576" s="337"/>
      <c r="F576" s="337"/>
      <c r="G576" s="337"/>
      <c r="H576" s="337"/>
      <c r="I576" s="337"/>
      <c r="J576" s="337"/>
      <c r="K576" s="337"/>
      <c r="L576" s="337"/>
      <c r="M576" s="337"/>
      <c r="N576" s="337"/>
      <c r="O576" s="46"/>
      <c r="P576" s="207"/>
    </row>
    <row r="577" spans="2:16">
      <c r="B577" s="109"/>
      <c r="C577" s="337"/>
      <c r="D577" s="337"/>
      <c r="E577" s="337"/>
      <c r="F577" s="337"/>
      <c r="G577" s="337"/>
      <c r="H577" s="337"/>
      <c r="I577" s="337"/>
      <c r="J577" s="337"/>
      <c r="K577" s="337"/>
      <c r="L577" s="337"/>
      <c r="M577" s="337"/>
      <c r="N577" s="337"/>
      <c r="O577" s="46"/>
      <c r="P577" s="207"/>
    </row>
    <row r="578" spans="2:16">
      <c r="B578" s="109"/>
      <c r="C578" s="337"/>
      <c r="D578" s="337"/>
      <c r="E578" s="337"/>
      <c r="F578" s="337"/>
      <c r="G578" s="337"/>
      <c r="H578" s="337"/>
      <c r="I578" s="337"/>
      <c r="J578" s="337"/>
      <c r="K578" s="337"/>
      <c r="L578" s="337"/>
      <c r="M578" s="337"/>
      <c r="N578" s="337"/>
      <c r="O578" s="46"/>
      <c r="P578" s="207"/>
    </row>
    <row r="579" spans="2:16">
      <c r="B579" s="109"/>
      <c r="C579" s="337"/>
      <c r="D579" s="337"/>
      <c r="E579" s="337"/>
      <c r="F579" s="337"/>
      <c r="G579" s="337"/>
      <c r="H579" s="337"/>
      <c r="I579" s="337"/>
      <c r="J579" s="337"/>
      <c r="K579" s="337"/>
      <c r="L579" s="337"/>
      <c r="M579" s="337"/>
      <c r="N579" s="337"/>
      <c r="O579" s="46"/>
      <c r="P579" s="207"/>
    </row>
    <row r="580" spans="2:16">
      <c r="B580" s="109"/>
      <c r="C580" s="337"/>
      <c r="D580" s="337"/>
      <c r="E580" s="337"/>
      <c r="F580" s="337"/>
      <c r="G580" s="337"/>
      <c r="H580" s="337"/>
      <c r="I580" s="337"/>
      <c r="J580" s="337"/>
      <c r="K580" s="337"/>
      <c r="L580" s="337"/>
      <c r="M580" s="337"/>
      <c r="N580" s="337"/>
      <c r="O580" s="46"/>
      <c r="P580" s="207"/>
    </row>
    <row r="581" spans="2:16">
      <c r="B581" s="109"/>
      <c r="C581" s="337"/>
      <c r="D581" s="337"/>
      <c r="E581" s="337"/>
      <c r="F581" s="337"/>
      <c r="G581" s="337"/>
      <c r="H581" s="337"/>
      <c r="I581" s="337"/>
      <c r="J581" s="337"/>
      <c r="K581" s="337"/>
      <c r="L581" s="337"/>
      <c r="M581" s="337"/>
      <c r="N581" s="337"/>
      <c r="O581" s="46"/>
      <c r="P581" s="207"/>
    </row>
    <row r="582" spans="2:16">
      <c r="B582" s="109"/>
      <c r="C582" s="337"/>
      <c r="D582" s="337"/>
      <c r="E582" s="337"/>
      <c r="F582" s="337"/>
      <c r="G582" s="337"/>
      <c r="H582" s="337"/>
      <c r="I582" s="337"/>
      <c r="J582" s="337"/>
      <c r="K582" s="337"/>
      <c r="L582" s="337"/>
      <c r="M582" s="337"/>
      <c r="N582" s="337"/>
      <c r="O582" s="46"/>
      <c r="P582" s="207"/>
    </row>
    <row r="583" spans="2:16">
      <c r="B583" s="109"/>
      <c r="C583" s="337"/>
      <c r="D583" s="337"/>
      <c r="E583" s="337"/>
      <c r="F583" s="337"/>
      <c r="G583" s="337"/>
      <c r="H583" s="337"/>
      <c r="I583" s="337"/>
      <c r="J583" s="337"/>
      <c r="K583" s="337"/>
      <c r="L583" s="337"/>
      <c r="M583" s="337"/>
      <c r="N583" s="337"/>
      <c r="O583" s="46"/>
      <c r="P583" s="207"/>
    </row>
    <row r="584" spans="2:16">
      <c r="B584" s="109"/>
      <c r="C584" s="337"/>
      <c r="D584" s="337"/>
      <c r="E584" s="337"/>
      <c r="F584" s="337"/>
      <c r="G584" s="337"/>
      <c r="H584" s="337"/>
      <c r="I584" s="337"/>
      <c r="J584" s="337"/>
      <c r="K584" s="337"/>
      <c r="L584" s="337"/>
      <c r="M584" s="337"/>
      <c r="N584" s="337"/>
      <c r="O584" s="46"/>
      <c r="P584" s="207"/>
    </row>
    <row r="585" spans="2:16">
      <c r="B585" s="109"/>
      <c r="C585" s="337"/>
      <c r="D585" s="337"/>
      <c r="E585" s="337"/>
      <c r="F585" s="337"/>
      <c r="G585" s="337"/>
      <c r="H585" s="337"/>
      <c r="I585" s="337"/>
      <c r="J585" s="337"/>
      <c r="K585" s="337"/>
      <c r="L585" s="337"/>
      <c r="M585" s="337"/>
      <c r="N585" s="337"/>
      <c r="O585" s="46"/>
      <c r="P585" s="207"/>
    </row>
    <row r="586" spans="2:16">
      <c r="B586" s="109"/>
      <c r="C586" s="337"/>
      <c r="D586" s="337"/>
      <c r="E586" s="337"/>
      <c r="F586" s="337"/>
      <c r="G586" s="337"/>
      <c r="H586" s="337"/>
      <c r="I586" s="337"/>
      <c r="J586" s="337"/>
      <c r="K586" s="337"/>
      <c r="L586" s="337"/>
      <c r="M586" s="337"/>
      <c r="N586" s="337"/>
      <c r="O586" s="46"/>
      <c r="P586" s="207"/>
    </row>
    <row r="587" spans="2:16">
      <c r="B587" s="109"/>
      <c r="C587" s="337"/>
      <c r="D587" s="337"/>
      <c r="E587" s="337"/>
      <c r="F587" s="337"/>
      <c r="G587" s="337"/>
      <c r="H587" s="337"/>
      <c r="I587" s="337"/>
      <c r="J587" s="337"/>
      <c r="K587" s="337"/>
      <c r="L587" s="337"/>
      <c r="M587" s="337"/>
      <c r="N587" s="337"/>
      <c r="O587" s="46"/>
      <c r="P587" s="207"/>
    </row>
    <row r="588" spans="2:16">
      <c r="B588" s="109"/>
      <c r="C588" s="337"/>
      <c r="D588" s="337"/>
      <c r="E588" s="337"/>
      <c r="F588" s="337"/>
      <c r="G588" s="337"/>
      <c r="H588" s="337"/>
      <c r="I588" s="337"/>
      <c r="J588" s="337"/>
      <c r="K588" s="337"/>
      <c r="L588" s="337"/>
      <c r="M588" s="337"/>
      <c r="N588" s="337"/>
      <c r="O588" s="46"/>
      <c r="P588" s="207"/>
    </row>
    <row r="589" spans="2:16">
      <c r="B589" s="109"/>
      <c r="C589" s="337"/>
      <c r="D589" s="337"/>
      <c r="E589" s="337"/>
      <c r="F589" s="337"/>
      <c r="G589" s="337"/>
      <c r="H589" s="337"/>
      <c r="I589" s="337"/>
      <c r="J589" s="337"/>
      <c r="K589" s="337"/>
      <c r="L589" s="337"/>
      <c r="M589" s="337"/>
      <c r="N589" s="337"/>
      <c r="O589" s="46"/>
      <c r="P589" s="207"/>
    </row>
    <row r="590" spans="2:16">
      <c r="B590" s="109"/>
      <c r="C590" s="337"/>
      <c r="D590" s="337"/>
      <c r="E590" s="337"/>
      <c r="F590" s="337"/>
      <c r="G590" s="337"/>
      <c r="H590" s="337"/>
      <c r="I590" s="337"/>
      <c r="J590" s="337"/>
      <c r="K590" s="337"/>
      <c r="L590" s="337"/>
      <c r="M590" s="337"/>
      <c r="N590" s="337"/>
      <c r="O590" s="46"/>
      <c r="P590" s="207"/>
    </row>
    <row r="591" spans="2:16">
      <c r="B591" s="109"/>
      <c r="C591" s="337"/>
      <c r="D591" s="337"/>
      <c r="E591" s="337"/>
      <c r="F591" s="337"/>
      <c r="G591" s="337"/>
      <c r="H591" s="337"/>
      <c r="I591" s="337"/>
      <c r="J591" s="337"/>
      <c r="K591" s="337"/>
      <c r="L591" s="337"/>
      <c r="M591" s="337"/>
      <c r="N591" s="337"/>
      <c r="O591" s="46"/>
      <c r="P591" s="207"/>
    </row>
    <row r="592" spans="2:16">
      <c r="B592" s="109"/>
      <c r="C592" s="337"/>
      <c r="D592" s="337"/>
      <c r="E592" s="337"/>
      <c r="F592" s="337"/>
      <c r="G592" s="337"/>
      <c r="H592" s="337"/>
      <c r="I592" s="337"/>
      <c r="J592" s="337"/>
      <c r="K592" s="337"/>
      <c r="L592" s="337"/>
      <c r="M592" s="337"/>
      <c r="N592" s="337"/>
      <c r="O592" s="46"/>
      <c r="P592" s="207"/>
    </row>
    <row r="593" spans="2:16">
      <c r="B593" s="109"/>
      <c r="C593" s="337"/>
      <c r="D593" s="337"/>
      <c r="E593" s="337"/>
      <c r="F593" s="337"/>
      <c r="G593" s="337"/>
      <c r="H593" s="337"/>
      <c r="I593" s="337"/>
      <c r="J593" s="337"/>
      <c r="K593" s="337"/>
      <c r="L593" s="337"/>
      <c r="M593" s="337"/>
      <c r="N593" s="337"/>
      <c r="O593" s="46"/>
      <c r="P593" s="207"/>
    </row>
    <row r="594" spans="2:16">
      <c r="B594" s="109"/>
      <c r="C594" s="337"/>
      <c r="D594" s="337"/>
      <c r="E594" s="337"/>
      <c r="F594" s="337"/>
      <c r="G594" s="337"/>
      <c r="H594" s="337"/>
      <c r="I594" s="337"/>
      <c r="J594" s="337"/>
      <c r="K594" s="337"/>
      <c r="L594" s="337"/>
      <c r="M594" s="337"/>
      <c r="N594" s="337"/>
      <c r="O594" s="46"/>
      <c r="P594" s="207"/>
    </row>
    <row r="595" spans="2:16">
      <c r="B595" s="109"/>
      <c r="C595" s="337"/>
      <c r="D595" s="337"/>
      <c r="E595" s="337"/>
      <c r="F595" s="337"/>
      <c r="G595" s="337"/>
      <c r="H595" s="337"/>
      <c r="I595" s="337"/>
      <c r="J595" s="337"/>
      <c r="K595" s="337"/>
      <c r="L595" s="337"/>
      <c r="M595" s="337"/>
      <c r="N595" s="337"/>
      <c r="O595" s="46"/>
      <c r="P595" s="207"/>
    </row>
    <row r="596" spans="2:16">
      <c r="B596" s="109"/>
      <c r="C596" s="337"/>
      <c r="D596" s="337"/>
      <c r="E596" s="337"/>
      <c r="F596" s="337"/>
      <c r="G596" s="337"/>
      <c r="H596" s="337"/>
      <c r="I596" s="337"/>
      <c r="J596" s="337"/>
      <c r="K596" s="337"/>
      <c r="L596" s="337"/>
      <c r="M596" s="337"/>
      <c r="N596" s="337"/>
      <c r="O596" s="46"/>
      <c r="P596" s="207"/>
    </row>
    <row r="597" spans="2:16">
      <c r="B597" s="109"/>
      <c r="C597" s="337"/>
      <c r="D597" s="337"/>
      <c r="E597" s="337"/>
      <c r="F597" s="337"/>
      <c r="G597" s="337"/>
      <c r="H597" s="337"/>
      <c r="I597" s="337"/>
      <c r="J597" s="337"/>
      <c r="K597" s="337"/>
      <c r="L597" s="337"/>
      <c r="M597" s="337"/>
      <c r="N597" s="337"/>
      <c r="O597" s="46"/>
      <c r="P597" s="207"/>
    </row>
    <row r="598" spans="2:16">
      <c r="B598" s="109"/>
      <c r="C598" s="337"/>
      <c r="D598" s="337"/>
      <c r="E598" s="337"/>
      <c r="F598" s="337"/>
      <c r="G598" s="337"/>
      <c r="H598" s="337"/>
      <c r="I598" s="337"/>
      <c r="J598" s="337"/>
      <c r="K598" s="337"/>
      <c r="L598" s="337"/>
      <c r="M598" s="337"/>
      <c r="N598" s="337"/>
      <c r="O598" s="46"/>
      <c r="P598" s="207"/>
    </row>
    <row r="599" spans="2:16">
      <c r="B599" s="109"/>
      <c r="C599" s="337"/>
      <c r="D599" s="337"/>
      <c r="E599" s="337"/>
      <c r="F599" s="337"/>
      <c r="G599" s="337"/>
      <c r="H599" s="337"/>
      <c r="I599" s="337"/>
      <c r="J599" s="337"/>
      <c r="K599" s="337"/>
      <c r="L599" s="337"/>
      <c r="M599" s="337"/>
      <c r="N599" s="337"/>
      <c r="O599" s="46"/>
      <c r="P599" s="207"/>
    </row>
    <row r="600" spans="2:16">
      <c r="B600" s="109"/>
      <c r="C600" s="337"/>
      <c r="D600" s="337"/>
      <c r="E600" s="337"/>
      <c r="F600" s="337"/>
      <c r="G600" s="337"/>
      <c r="H600" s="337"/>
      <c r="I600" s="337"/>
      <c r="J600" s="337"/>
      <c r="K600" s="337"/>
      <c r="L600" s="337"/>
      <c r="M600" s="337"/>
      <c r="N600" s="337"/>
      <c r="O600" s="46"/>
      <c r="P600" s="207"/>
    </row>
    <row r="601" spans="2:16">
      <c r="B601" s="109"/>
      <c r="C601" s="337"/>
      <c r="D601" s="337"/>
      <c r="E601" s="337"/>
      <c r="F601" s="337"/>
      <c r="G601" s="337"/>
      <c r="H601" s="337"/>
      <c r="I601" s="337"/>
      <c r="J601" s="337"/>
      <c r="K601" s="337"/>
      <c r="L601" s="337"/>
      <c r="M601" s="337"/>
      <c r="N601" s="337"/>
      <c r="O601" s="46"/>
      <c r="P601" s="207"/>
    </row>
    <row r="602" spans="2:16">
      <c r="B602" s="109"/>
      <c r="C602" s="337"/>
      <c r="D602" s="337"/>
      <c r="E602" s="337"/>
      <c r="F602" s="337"/>
      <c r="G602" s="337"/>
      <c r="H602" s="337"/>
      <c r="I602" s="337"/>
      <c r="J602" s="337"/>
      <c r="K602" s="337"/>
      <c r="L602" s="337"/>
      <c r="M602" s="337"/>
      <c r="N602" s="337"/>
      <c r="O602" s="46"/>
      <c r="P602" s="207"/>
    </row>
    <row r="603" spans="2:16">
      <c r="B603" s="109"/>
      <c r="C603" s="337"/>
      <c r="D603" s="337"/>
      <c r="E603" s="337"/>
      <c r="F603" s="337"/>
      <c r="G603" s="337"/>
      <c r="H603" s="337"/>
      <c r="I603" s="337"/>
      <c r="J603" s="337"/>
      <c r="K603" s="337"/>
      <c r="L603" s="337"/>
      <c r="M603" s="337"/>
      <c r="N603" s="337"/>
      <c r="O603" s="46"/>
      <c r="P603" s="207"/>
    </row>
    <row r="604" spans="2:16">
      <c r="B604" s="109"/>
      <c r="C604" s="337"/>
      <c r="D604" s="337"/>
      <c r="E604" s="337"/>
      <c r="F604" s="337"/>
      <c r="G604" s="337"/>
      <c r="H604" s="337"/>
      <c r="I604" s="337"/>
      <c r="J604" s="337"/>
      <c r="K604" s="337"/>
      <c r="L604" s="337"/>
      <c r="M604" s="337"/>
      <c r="N604" s="337"/>
      <c r="O604" s="46"/>
      <c r="P604" s="207"/>
    </row>
    <row r="605" spans="2:16">
      <c r="B605" s="109"/>
      <c r="C605" s="337"/>
      <c r="D605" s="337"/>
      <c r="E605" s="337"/>
      <c r="F605" s="337"/>
      <c r="G605" s="337"/>
      <c r="H605" s="337"/>
      <c r="I605" s="337"/>
      <c r="J605" s="337"/>
      <c r="K605" s="337"/>
      <c r="L605" s="337"/>
      <c r="M605" s="337"/>
      <c r="N605" s="337"/>
      <c r="O605" s="46"/>
      <c r="P605" s="207"/>
    </row>
    <row r="606" spans="2:16">
      <c r="B606" s="109"/>
      <c r="C606" s="337"/>
      <c r="D606" s="337"/>
      <c r="E606" s="337"/>
      <c r="F606" s="337"/>
      <c r="G606" s="337"/>
      <c r="H606" s="337"/>
      <c r="I606" s="337"/>
      <c r="J606" s="337"/>
      <c r="K606" s="337"/>
      <c r="L606" s="337"/>
      <c r="M606" s="337"/>
      <c r="N606" s="337"/>
      <c r="O606" s="46"/>
      <c r="P606" s="207"/>
    </row>
    <row r="607" spans="2:16">
      <c r="B607" s="109"/>
      <c r="C607" s="337"/>
      <c r="D607" s="337"/>
      <c r="E607" s="337"/>
      <c r="F607" s="337"/>
      <c r="G607" s="337"/>
      <c r="H607" s="337"/>
      <c r="I607" s="337"/>
      <c r="J607" s="337"/>
      <c r="K607" s="337"/>
      <c r="L607" s="337"/>
      <c r="M607" s="337"/>
      <c r="N607" s="337"/>
      <c r="O607" s="46"/>
      <c r="P607" s="207"/>
    </row>
    <row r="608" spans="2:16">
      <c r="B608" s="109"/>
      <c r="C608" s="337"/>
      <c r="D608" s="337"/>
      <c r="E608" s="337"/>
      <c r="F608" s="337"/>
      <c r="G608" s="337"/>
      <c r="H608" s="337"/>
      <c r="I608" s="337"/>
      <c r="J608" s="337"/>
      <c r="K608" s="337"/>
      <c r="L608" s="337"/>
      <c r="M608" s="337"/>
      <c r="N608" s="337"/>
      <c r="O608" s="46"/>
      <c r="P608" s="207"/>
    </row>
    <row r="609" spans="2:16">
      <c r="B609" s="109"/>
      <c r="C609" s="337"/>
      <c r="D609" s="337"/>
      <c r="E609" s="337"/>
      <c r="F609" s="337"/>
      <c r="G609" s="337"/>
      <c r="H609" s="337"/>
      <c r="I609" s="337"/>
      <c r="J609" s="337"/>
      <c r="K609" s="337"/>
      <c r="L609" s="337"/>
      <c r="M609" s="337"/>
      <c r="N609" s="337"/>
      <c r="O609" s="46"/>
      <c r="P609" s="207"/>
    </row>
    <row r="610" spans="2:16">
      <c r="B610" s="109"/>
      <c r="C610" s="337"/>
      <c r="D610" s="337"/>
      <c r="E610" s="337"/>
      <c r="F610" s="337"/>
      <c r="G610" s="337"/>
      <c r="H610" s="337"/>
      <c r="I610" s="337"/>
      <c r="J610" s="337"/>
      <c r="K610" s="337"/>
      <c r="L610" s="337"/>
      <c r="M610" s="337"/>
      <c r="N610" s="337"/>
      <c r="O610" s="46"/>
      <c r="P610" s="207"/>
    </row>
    <row r="611" spans="2:16">
      <c r="B611" s="109"/>
      <c r="C611" s="337"/>
      <c r="D611" s="337"/>
      <c r="E611" s="337"/>
      <c r="F611" s="337"/>
      <c r="G611" s="337"/>
      <c r="H611" s="337"/>
      <c r="I611" s="337"/>
      <c r="J611" s="337"/>
      <c r="K611" s="337"/>
      <c r="L611" s="337"/>
      <c r="M611" s="337"/>
      <c r="N611" s="337"/>
      <c r="O611" s="46"/>
      <c r="P611" s="207"/>
    </row>
    <row r="612" spans="2:16">
      <c r="B612" s="109"/>
      <c r="C612" s="337"/>
      <c r="D612" s="337"/>
      <c r="E612" s="337"/>
      <c r="F612" s="337"/>
      <c r="G612" s="337"/>
      <c r="H612" s="337"/>
      <c r="I612" s="337"/>
      <c r="J612" s="337"/>
      <c r="K612" s="337"/>
      <c r="L612" s="337"/>
      <c r="M612" s="337"/>
      <c r="N612" s="337"/>
      <c r="O612" s="46"/>
      <c r="P612" s="207"/>
    </row>
    <row r="613" spans="2:16">
      <c r="B613" s="109"/>
      <c r="C613" s="337"/>
      <c r="D613" s="337"/>
      <c r="E613" s="337"/>
      <c r="F613" s="337"/>
      <c r="G613" s="337"/>
      <c r="H613" s="337"/>
      <c r="I613" s="337"/>
      <c r="J613" s="337"/>
      <c r="K613" s="337"/>
      <c r="L613" s="337"/>
      <c r="M613" s="337"/>
      <c r="N613" s="337"/>
      <c r="O613" s="337"/>
    </row>
    <row r="614" spans="2:16">
      <c r="B614" s="109"/>
      <c r="C614" s="337"/>
      <c r="D614" s="337"/>
      <c r="E614" s="337"/>
      <c r="F614" s="337"/>
      <c r="G614" s="337"/>
      <c r="H614" s="337"/>
      <c r="I614" s="337"/>
      <c r="J614" s="337"/>
      <c r="K614" s="337"/>
      <c r="L614" s="337"/>
      <c r="M614" s="337"/>
      <c r="N614" s="337"/>
      <c r="O614" s="337"/>
    </row>
    <row r="615" spans="2:16">
      <c r="B615" s="109"/>
      <c r="C615" s="337"/>
      <c r="D615" s="337"/>
      <c r="E615" s="337"/>
      <c r="F615" s="337"/>
      <c r="G615" s="337"/>
      <c r="H615" s="337"/>
      <c r="I615" s="337"/>
      <c r="J615" s="337"/>
      <c r="K615" s="337"/>
      <c r="L615" s="337"/>
      <c r="M615" s="337"/>
      <c r="N615" s="337"/>
      <c r="O615" s="337"/>
    </row>
    <row r="616" spans="2:16">
      <c r="B616" s="109"/>
      <c r="C616" s="337"/>
      <c r="D616" s="337"/>
      <c r="E616" s="337"/>
      <c r="F616" s="337"/>
      <c r="G616" s="337"/>
      <c r="H616" s="337"/>
      <c r="I616" s="337"/>
      <c r="J616" s="337"/>
      <c r="K616" s="337"/>
      <c r="L616" s="337"/>
      <c r="M616" s="337"/>
      <c r="N616" s="337"/>
      <c r="O616" s="337"/>
    </row>
    <row r="617" spans="2:16">
      <c r="B617" s="109"/>
      <c r="C617" s="337"/>
      <c r="D617" s="337"/>
      <c r="E617" s="337"/>
      <c r="F617" s="337"/>
      <c r="G617" s="337"/>
      <c r="H617" s="337"/>
      <c r="I617" s="337"/>
      <c r="J617" s="337"/>
      <c r="K617" s="337"/>
      <c r="L617" s="337"/>
      <c r="M617" s="337"/>
      <c r="N617" s="337"/>
      <c r="O617" s="337"/>
    </row>
    <row r="618" spans="2:16">
      <c r="B618" s="109"/>
      <c r="C618" s="337"/>
      <c r="D618" s="337"/>
      <c r="E618" s="337"/>
      <c r="F618" s="337"/>
      <c r="G618" s="337"/>
      <c r="H618" s="337"/>
      <c r="I618" s="337"/>
      <c r="J618" s="337"/>
      <c r="K618" s="337"/>
      <c r="L618" s="337"/>
      <c r="M618" s="337"/>
      <c r="N618" s="337"/>
      <c r="O618" s="337"/>
    </row>
    <row r="619" spans="2:16">
      <c r="B619" s="109"/>
      <c r="C619" s="337"/>
      <c r="D619" s="337"/>
      <c r="E619" s="337"/>
      <c r="F619" s="337"/>
      <c r="G619" s="337"/>
      <c r="H619" s="337"/>
      <c r="I619" s="337"/>
      <c r="J619" s="337"/>
      <c r="K619" s="337"/>
      <c r="L619" s="337"/>
      <c r="M619" s="337"/>
      <c r="N619" s="337"/>
      <c r="O619" s="337"/>
    </row>
    <row r="620" spans="2:16">
      <c r="B620" s="109"/>
      <c r="C620" s="337"/>
      <c r="D620" s="337"/>
      <c r="E620" s="337"/>
      <c r="F620" s="337"/>
      <c r="G620" s="337"/>
      <c r="H620" s="337"/>
      <c r="I620" s="337"/>
      <c r="J620" s="337"/>
      <c r="K620" s="337"/>
      <c r="L620" s="337"/>
      <c r="M620" s="337"/>
      <c r="N620" s="337"/>
      <c r="O620" s="337"/>
    </row>
    <row r="621" spans="2:16">
      <c r="B621" s="109"/>
      <c r="C621" s="337"/>
      <c r="D621" s="337"/>
      <c r="E621" s="337"/>
      <c r="F621" s="337"/>
      <c r="G621" s="337"/>
      <c r="H621" s="337"/>
      <c r="I621" s="337"/>
      <c r="J621" s="337"/>
      <c r="K621" s="337"/>
      <c r="L621" s="337"/>
      <c r="M621" s="337"/>
      <c r="N621" s="337"/>
      <c r="O621" s="337"/>
    </row>
    <row r="622" spans="2:16">
      <c r="B622" s="109"/>
      <c r="C622" s="337"/>
      <c r="D622" s="337"/>
      <c r="E622" s="337"/>
      <c r="F622" s="337"/>
      <c r="G622" s="337"/>
      <c r="H622" s="337"/>
      <c r="I622" s="337"/>
      <c r="J622" s="337"/>
      <c r="K622" s="337"/>
      <c r="L622" s="337"/>
      <c r="M622" s="337"/>
      <c r="N622" s="337"/>
      <c r="O622" s="337"/>
    </row>
    <row r="623" spans="2:16">
      <c r="B623" s="109"/>
      <c r="C623" s="337"/>
      <c r="D623" s="337"/>
      <c r="E623" s="337"/>
      <c r="F623" s="337"/>
      <c r="G623" s="337"/>
      <c r="H623" s="337"/>
      <c r="I623" s="337"/>
      <c r="J623" s="337"/>
      <c r="K623" s="337"/>
      <c r="L623" s="337"/>
      <c r="M623" s="337"/>
      <c r="N623" s="337"/>
      <c r="O623" s="337"/>
    </row>
    <row r="624" spans="2:16">
      <c r="B624" s="109"/>
      <c r="C624" s="337"/>
      <c r="D624" s="337"/>
      <c r="E624" s="337"/>
      <c r="F624" s="337"/>
      <c r="G624" s="337"/>
      <c r="H624" s="337"/>
      <c r="I624" s="337"/>
      <c r="J624" s="337"/>
      <c r="K624" s="337"/>
      <c r="L624" s="337"/>
      <c r="M624" s="337"/>
      <c r="N624" s="337"/>
      <c r="O624" s="337"/>
    </row>
    <row r="625" spans="2:15">
      <c r="B625" s="109"/>
      <c r="C625" s="337"/>
      <c r="D625" s="337"/>
      <c r="E625" s="337"/>
      <c r="F625" s="337"/>
      <c r="G625" s="337"/>
      <c r="H625" s="337"/>
      <c r="I625" s="337"/>
      <c r="J625" s="337"/>
      <c r="K625" s="337"/>
      <c r="L625" s="337"/>
      <c r="M625" s="337"/>
      <c r="N625" s="337"/>
      <c r="O625" s="337"/>
    </row>
    <row r="626" spans="2:15">
      <c r="B626" s="109"/>
      <c r="C626" s="337"/>
      <c r="D626" s="337"/>
      <c r="E626" s="337"/>
      <c r="F626" s="337"/>
      <c r="G626" s="337"/>
      <c r="H626" s="337"/>
      <c r="I626" s="337"/>
      <c r="J626" s="337"/>
      <c r="K626" s="337"/>
      <c r="L626" s="337"/>
      <c r="M626" s="337"/>
      <c r="N626" s="337"/>
      <c r="O626" s="337"/>
    </row>
    <row r="627" spans="2:15">
      <c r="B627" s="109"/>
      <c r="C627" s="337"/>
      <c r="D627" s="337"/>
      <c r="E627" s="337"/>
      <c r="F627" s="337"/>
      <c r="G627" s="337"/>
      <c r="H627" s="337"/>
      <c r="I627" s="337"/>
      <c r="J627" s="337"/>
      <c r="K627" s="337"/>
      <c r="L627" s="337"/>
      <c r="M627" s="337"/>
      <c r="N627" s="337"/>
      <c r="O627" s="337"/>
    </row>
    <row r="628" spans="2:15">
      <c r="B628" s="109"/>
      <c r="C628" s="337"/>
      <c r="D628" s="337"/>
      <c r="E628" s="337"/>
      <c r="F628" s="337"/>
      <c r="G628" s="337"/>
      <c r="H628" s="337"/>
      <c r="I628" s="337"/>
      <c r="J628" s="337"/>
      <c r="K628" s="337"/>
      <c r="L628" s="337"/>
      <c r="M628" s="337"/>
      <c r="N628" s="337"/>
      <c r="O628" s="337"/>
    </row>
    <row r="629" spans="2:15">
      <c r="B629" s="109"/>
      <c r="C629" s="337"/>
      <c r="D629" s="337"/>
      <c r="E629" s="337"/>
      <c r="F629" s="337"/>
      <c r="G629" s="337"/>
      <c r="H629" s="337"/>
      <c r="I629" s="337"/>
      <c r="J629" s="337"/>
      <c r="K629" s="337"/>
      <c r="L629" s="337"/>
      <c r="M629" s="337"/>
      <c r="N629" s="337"/>
      <c r="O629" s="337"/>
    </row>
    <row r="630" spans="2:15">
      <c r="B630" s="109"/>
      <c r="C630" s="337"/>
      <c r="D630" s="337"/>
      <c r="E630" s="337"/>
      <c r="F630" s="337"/>
      <c r="G630" s="337"/>
      <c r="H630" s="337"/>
      <c r="I630" s="337"/>
      <c r="J630" s="337"/>
      <c r="K630" s="337"/>
      <c r="L630" s="337"/>
      <c r="M630" s="337"/>
      <c r="N630" s="337"/>
      <c r="O630" s="337"/>
    </row>
    <row r="631" spans="2:15">
      <c r="B631" s="109"/>
      <c r="C631" s="337"/>
      <c r="D631" s="337"/>
      <c r="E631" s="337"/>
      <c r="F631" s="337"/>
      <c r="G631" s="337"/>
      <c r="H631" s="337"/>
      <c r="I631" s="337"/>
      <c r="J631" s="337"/>
      <c r="K631" s="337"/>
      <c r="L631" s="337"/>
      <c r="M631" s="337"/>
      <c r="N631" s="337"/>
      <c r="O631" s="337"/>
    </row>
    <row r="632" spans="2:15">
      <c r="B632" s="109"/>
      <c r="C632" s="337"/>
      <c r="D632" s="337"/>
      <c r="E632" s="337"/>
      <c r="F632" s="337"/>
      <c r="G632" s="337"/>
      <c r="H632" s="337"/>
      <c r="I632" s="337"/>
      <c r="J632" s="337"/>
      <c r="K632" s="337"/>
      <c r="L632" s="337"/>
      <c r="M632" s="337"/>
      <c r="N632" s="337"/>
      <c r="O632" s="337"/>
    </row>
    <row r="633" spans="2:15">
      <c r="B633" s="109"/>
      <c r="C633" s="337"/>
      <c r="D633" s="337"/>
      <c r="E633" s="337"/>
      <c r="F633" s="337"/>
      <c r="G633" s="337"/>
      <c r="H633" s="337"/>
      <c r="I633" s="337"/>
      <c r="J633" s="337"/>
      <c r="K633" s="337"/>
      <c r="L633" s="337"/>
      <c r="M633" s="337"/>
      <c r="N633" s="337"/>
      <c r="O633" s="337"/>
    </row>
    <row r="634" spans="2:15">
      <c r="B634" s="109"/>
      <c r="C634" s="337"/>
      <c r="D634" s="337"/>
      <c r="E634" s="337"/>
      <c r="F634" s="337"/>
      <c r="G634" s="337"/>
      <c r="H634" s="337"/>
      <c r="I634" s="337"/>
      <c r="J634" s="337"/>
      <c r="K634" s="337"/>
      <c r="L634" s="337"/>
      <c r="M634" s="337"/>
      <c r="N634" s="337"/>
      <c r="O634" s="337"/>
    </row>
    <row r="635" spans="2:15">
      <c r="B635" s="109"/>
      <c r="C635" s="337"/>
      <c r="D635" s="337"/>
      <c r="E635" s="337"/>
      <c r="F635" s="337"/>
      <c r="G635" s="337"/>
      <c r="H635" s="337"/>
      <c r="I635" s="337"/>
      <c r="J635" s="337"/>
      <c r="K635" s="337"/>
      <c r="L635" s="337"/>
      <c r="M635" s="337"/>
      <c r="N635" s="337"/>
      <c r="O635" s="337"/>
    </row>
    <row r="636" spans="2:15">
      <c r="B636" s="109"/>
      <c r="C636" s="337"/>
      <c r="D636" s="337"/>
      <c r="E636" s="337"/>
      <c r="F636" s="337"/>
      <c r="G636" s="337"/>
      <c r="H636" s="337"/>
      <c r="I636" s="337"/>
      <c r="J636" s="337"/>
      <c r="K636" s="337"/>
      <c r="L636" s="337"/>
      <c r="M636" s="337"/>
      <c r="N636" s="337"/>
      <c r="O636" s="337"/>
    </row>
    <row r="637" spans="2:15">
      <c r="B637" s="109"/>
      <c r="C637" s="337"/>
      <c r="D637" s="337"/>
      <c r="E637" s="337"/>
      <c r="F637" s="337"/>
      <c r="G637" s="337"/>
      <c r="H637" s="337"/>
      <c r="I637" s="337"/>
      <c r="J637" s="337"/>
      <c r="K637" s="337"/>
      <c r="L637" s="337"/>
      <c r="M637" s="337"/>
      <c r="N637" s="337"/>
      <c r="O637" s="337"/>
    </row>
    <row r="638" spans="2:15">
      <c r="B638" s="109"/>
      <c r="C638" s="337"/>
      <c r="D638" s="337"/>
      <c r="E638" s="337"/>
      <c r="F638" s="337"/>
      <c r="G638" s="337"/>
      <c r="H638" s="337"/>
      <c r="I638" s="337"/>
      <c r="J638" s="337"/>
      <c r="K638" s="337"/>
      <c r="L638" s="337"/>
      <c r="M638" s="337"/>
      <c r="N638" s="337"/>
      <c r="O638" s="337"/>
    </row>
    <row r="639" spans="2:15">
      <c r="B639" s="109"/>
      <c r="C639" s="337"/>
      <c r="D639" s="337"/>
      <c r="E639" s="337"/>
      <c r="F639" s="337"/>
      <c r="G639" s="337"/>
      <c r="H639" s="337"/>
      <c r="I639" s="337"/>
      <c r="J639" s="337"/>
      <c r="K639" s="337"/>
      <c r="L639" s="337"/>
      <c r="M639" s="337"/>
      <c r="N639" s="337"/>
      <c r="O639" s="337"/>
    </row>
    <row r="640" spans="2:15">
      <c r="B640" s="109"/>
      <c r="C640" s="337"/>
      <c r="D640" s="337"/>
      <c r="E640" s="337"/>
      <c r="F640" s="337"/>
      <c r="G640" s="337"/>
      <c r="H640" s="337"/>
      <c r="I640" s="337"/>
      <c r="J640" s="337"/>
      <c r="K640" s="337"/>
      <c r="L640" s="337"/>
      <c r="M640" s="337"/>
      <c r="N640" s="337"/>
      <c r="O640" s="337"/>
    </row>
    <row r="641" spans="2:15">
      <c r="B641" s="109"/>
      <c r="C641" s="337"/>
      <c r="D641" s="337"/>
      <c r="E641" s="337"/>
      <c r="F641" s="337"/>
      <c r="G641" s="337"/>
      <c r="H641" s="337"/>
      <c r="I641" s="337"/>
      <c r="J641" s="337"/>
      <c r="K641" s="337"/>
      <c r="L641" s="337"/>
      <c r="M641" s="337"/>
      <c r="N641" s="337"/>
      <c r="O641" s="337"/>
    </row>
    <row r="642" spans="2:15">
      <c r="B642" s="109"/>
      <c r="C642" s="337"/>
      <c r="D642" s="337"/>
      <c r="E642" s="337"/>
      <c r="F642" s="337"/>
      <c r="G642" s="337"/>
      <c r="H642" s="337"/>
      <c r="I642" s="337"/>
      <c r="J642" s="337"/>
      <c r="K642" s="337"/>
      <c r="L642" s="337"/>
      <c r="M642" s="337"/>
      <c r="N642" s="337"/>
      <c r="O642" s="337"/>
    </row>
    <row r="643" spans="2:15">
      <c r="B643" s="109"/>
      <c r="C643" s="337"/>
      <c r="D643" s="337"/>
      <c r="E643" s="337"/>
      <c r="F643" s="337"/>
      <c r="G643" s="337"/>
      <c r="H643" s="337"/>
      <c r="I643" s="337"/>
      <c r="J643" s="337"/>
      <c r="K643" s="337"/>
      <c r="L643" s="337"/>
      <c r="M643" s="337"/>
      <c r="N643" s="337"/>
      <c r="O643" s="337"/>
    </row>
    <row r="644" spans="2:15">
      <c r="B644" s="109"/>
      <c r="C644" s="337"/>
      <c r="D644" s="337"/>
      <c r="E644" s="337"/>
      <c r="F644" s="337"/>
      <c r="G644" s="337"/>
      <c r="H644" s="337"/>
      <c r="I644" s="337"/>
      <c r="J644" s="337"/>
      <c r="K644" s="337"/>
      <c r="L644" s="337"/>
      <c r="M644" s="337"/>
      <c r="N644" s="337"/>
      <c r="O644" s="337"/>
    </row>
    <row r="645" spans="2:15">
      <c r="B645" s="109"/>
      <c r="C645" s="337"/>
      <c r="D645" s="337"/>
      <c r="E645" s="337"/>
      <c r="F645" s="337"/>
      <c r="G645" s="337"/>
      <c r="H645" s="337"/>
      <c r="I645" s="337"/>
      <c r="J645" s="337"/>
      <c r="K645" s="337"/>
      <c r="L645" s="337"/>
      <c r="M645" s="337"/>
      <c r="N645" s="337"/>
      <c r="O645" s="337"/>
    </row>
    <row r="646" spans="2:15">
      <c r="B646" s="109"/>
      <c r="C646" s="337"/>
      <c r="D646" s="337"/>
      <c r="E646" s="337"/>
      <c r="F646" s="337"/>
      <c r="G646" s="337"/>
      <c r="H646" s="337"/>
      <c r="I646" s="337"/>
      <c r="J646" s="337"/>
      <c r="K646" s="337"/>
      <c r="L646" s="337"/>
      <c r="M646" s="337"/>
      <c r="N646" s="337"/>
      <c r="O646" s="337"/>
    </row>
    <row r="647" spans="2:15">
      <c r="B647" s="109"/>
      <c r="C647" s="337"/>
      <c r="D647" s="337"/>
      <c r="E647" s="337"/>
      <c r="F647" s="337"/>
      <c r="G647" s="337"/>
      <c r="H647" s="337"/>
      <c r="I647" s="337"/>
      <c r="J647" s="337"/>
      <c r="K647" s="337"/>
      <c r="L647" s="337"/>
      <c r="M647" s="337"/>
      <c r="N647" s="337"/>
      <c r="O647" s="109"/>
    </row>
    <row r="648" spans="2:15">
      <c r="B648" s="109"/>
      <c r="C648" s="337"/>
      <c r="D648" s="337"/>
      <c r="E648" s="337"/>
      <c r="F648" s="337"/>
      <c r="G648" s="337"/>
      <c r="H648" s="337"/>
      <c r="I648" s="337"/>
      <c r="J648" s="337"/>
      <c r="K648" s="337"/>
      <c r="L648" s="337"/>
      <c r="M648" s="337"/>
      <c r="N648" s="337"/>
      <c r="O648" s="109"/>
    </row>
    <row r="649" spans="2:15">
      <c r="B649" s="109"/>
      <c r="C649" s="337"/>
      <c r="D649" s="337"/>
      <c r="E649" s="337"/>
      <c r="F649" s="337"/>
      <c r="G649" s="337"/>
      <c r="H649" s="337"/>
      <c r="I649" s="337"/>
      <c r="J649" s="337"/>
      <c r="K649" s="337"/>
      <c r="L649" s="337"/>
      <c r="M649" s="337"/>
      <c r="N649" s="337"/>
      <c r="O649" s="109"/>
    </row>
    <row r="650" spans="2:15">
      <c r="B650" s="109"/>
      <c r="C650" s="337"/>
      <c r="D650" s="337"/>
      <c r="E650" s="337"/>
      <c r="F650" s="337"/>
      <c r="G650" s="337"/>
      <c r="H650" s="337"/>
      <c r="I650" s="337"/>
      <c r="J650" s="337"/>
      <c r="K650" s="337"/>
      <c r="L650" s="337"/>
      <c r="M650" s="337"/>
      <c r="N650" s="337"/>
      <c r="O650" s="109"/>
    </row>
    <row r="651" spans="2:15">
      <c r="B651" s="109"/>
      <c r="C651" s="337"/>
      <c r="D651" s="337"/>
      <c r="E651" s="337"/>
      <c r="F651" s="337"/>
      <c r="G651" s="337"/>
      <c r="H651" s="337"/>
      <c r="I651" s="337"/>
      <c r="J651" s="337"/>
      <c r="K651" s="337"/>
      <c r="L651" s="337"/>
      <c r="M651" s="337"/>
      <c r="N651" s="337"/>
      <c r="O651" s="109"/>
    </row>
    <row r="652" spans="2:15">
      <c r="B652" s="109"/>
      <c r="C652" s="337"/>
      <c r="D652" s="337"/>
      <c r="E652" s="337"/>
      <c r="F652" s="337"/>
      <c r="G652" s="337"/>
      <c r="H652" s="337"/>
      <c r="I652" s="337"/>
      <c r="J652" s="337"/>
      <c r="K652" s="337"/>
      <c r="L652" s="337"/>
      <c r="M652" s="337"/>
      <c r="N652" s="337"/>
      <c r="O652" s="109"/>
    </row>
    <row r="653" spans="2:15">
      <c r="B653" s="109"/>
      <c r="C653" s="337"/>
      <c r="D653" s="337"/>
      <c r="E653" s="337"/>
      <c r="F653" s="337"/>
      <c r="G653" s="337"/>
      <c r="H653" s="337"/>
      <c r="I653" s="337"/>
      <c r="J653" s="337"/>
      <c r="K653" s="337"/>
      <c r="L653" s="337"/>
      <c r="M653" s="337"/>
      <c r="N653" s="337"/>
      <c r="O653" s="109"/>
    </row>
    <row r="654" spans="2:15">
      <c r="B654" s="109"/>
      <c r="C654" s="337"/>
      <c r="D654" s="337"/>
      <c r="E654" s="337"/>
      <c r="F654" s="337"/>
      <c r="G654" s="337"/>
      <c r="H654" s="337"/>
      <c r="I654" s="337"/>
      <c r="J654" s="337"/>
      <c r="K654" s="337"/>
      <c r="L654" s="337"/>
      <c r="M654" s="337"/>
      <c r="N654" s="337"/>
      <c r="O654" s="109"/>
    </row>
    <row r="655" spans="2:15">
      <c r="B655" s="109"/>
      <c r="C655" s="337"/>
      <c r="D655" s="337"/>
      <c r="E655" s="337"/>
      <c r="F655" s="337"/>
      <c r="G655" s="337"/>
      <c r="H655" s="337"/>
      <c r="I655" s="337"/>
      <c r="J655" s="337"/>
      <c r="K655" s="337"/>
      <c r="L655" s="337"/>
      <c r="M655" s="337"/>
      <c r="N655" s="337"/>
      <c r="O655" s="109"/>
    </row>
    <row r="656" spans="2:15">
      <c r="B656" s="109"/>
      <c r="C656" s="337"/>
      <c r="D656" s="337"/>
      <c r="E656" s="337"/>
      <c r="F656" s="337"/>
      <c r="G656" s="337"/>
      <c r="H656" s="337"/>
      <c r="I656" s="337"/>
      <c r="J656" s="337"/>
      <c r="K656" s="337"/>
      <c r="L656" s="337"/>
      <c r="M656" s="337"/>
      <c r="N656" s="337"/>
      <c r="O656" s="109"/>
    </row>
    <row r="657" spans="2:15">
      <c r="B657" s="109"/>
      <c r="C657" s="337"/>
      <c r="D657" s="337"/>
      <c r="E657" s="337"/>
      <c r="F657" s="337"/>
      <c r="G657" s="337"/>
      <c r="H657" s="337"/>
      <c r="I657" s="337"/>
      <c r="J657" s="337"/>
      <c r="K657" s="337"/>
      <c r="L657" s="337"/>
      <c r="M657" s="337"/>
      <c r="N657" s="337"/>
      <c r="O657" s="109"/>
    </row>
    <row r="658" spans="2:15">
      <c r="B658" s="109"/>
      <c r="C658" s="337"/>
      <c r="D658" s="337"/>
      <c r="E658" s="337"/>
      <c r="F658" s="337"/>
      <c r="G658" s="337"/>
      <c r="H658" s="337"/>
      <c r="I658" s="337"/>
      <c r="J658" s="337"/>
      <c r="K658" s="337"/>
      <c r="L658" s="337"/>
      <c r="M658" s="337"/>
      <c r="N658" s="337"/>
      <c r="O658" s="109"/>
    </row>
    <row r="659" spans="2:15">
      <c r="B659" s="109"/>
      <c r="C659" s="337"/>
      <c r="D659" s="337"/>
      <c r="E659" s="337"/>
      <c r="F659" s="337"/>
      <c r="G659" s="337"/>
      <c r="H659" s="337"/>
      <c r="I659" s="337"/>
      <c r="J659" s="337"/>
      <c r="K659" s="337"/>
      <c r="L659" s="337"/>
      <c r="M659" s="337"/>
      <c r="N659" s="337"/>
      <c r="O659" s="109"/>
    </row>
    <row r="660" spans="2:15">
      <c r="B660" s="109"/>
      <c r="C660" s="337"/>
      <c r="D660" s="337"/>
      <c r="E660" s="337"/>
      <c r="F660" s="337"/>
      <c r="G660" s="337"/>
      <c r="H660" s="337"/>
      <c r="I660" s="337"/>
      <c r="J660" s="337"/>
      <c r="K660" s="337"/>
      <c r="L660" s="337"/>
      <c r="M660" s="337"/>
      <c r="N660" s="337"/>
      <c r="O660" s="109"/>
    </row>
    <row r="661" spans="2:15">
      <c r="B661" s="109"/>
      <c r="C661" s="337"/>
      <c r="D661" s="337"/>
      <c r="E661" s="337"/>
      <c r="F661" s="337"/>
      <c r="G661" s="337"/>
      <c r="H661" s="337"/>
      <c r="I661" s="337"/>
      <c r="J661" s="337"/>
      <c r="K661" s="337"/>
      <c r="L661" s="337"/>
      <c r="M661" s="337"/>
      <c r="N661" s="337"/>
      <c r="O661" s="109"/>
    </row>
    <row r="662" spans="2:15">
      <c r="B662" s="109"/>
      <c r="C662" s="337"/>
      <c r="D662" s="337"/>
      <c r="E662" s="337"/>
      <c r="F662" s="337"/>
      <c r="G662" s="337"/>
      <c r="H662" s="337"/>
      <c r="I662" s="337"/>
      <c r="J662" s="337"/>
      <c r="K662" s="337"/>
      <c r="L662" s="337"/>
      <c r="M662" s="337"/>
      <c r="N662" s="337"/>
      <c r="O662" s="109"/>
    </row>
    <row r="663" spans="2:15">
      <c r="B663" s="109"/>
      <c r="C663" s="337"/>
      <c r="D663" s="337"/>
      <c r="E663" s="337"/>
      <c r="F663" s="337"/>
      <c r="G663" s="337"/>
      <c r="H663" s="337"/>
      <c r="I663" s="337"/>
      <c r="J663" s="337"/>
      <c r="K663" s="337"/>
      <c r="L663" s="337"/>
      <c r="M663" s="337"/>
      <c r="N663" s="337"/>
      <c r="O663" s="109"/>
    </row>
    <row r="664" spans="2:15">
      <c r="B664" s="109"/>
      <c r="C664" s="337"/>
      <c r="D664" s="337"/>
      <c r="E664" s="337"/>
      <c r="F664" s="337"/>
      <c r="G664" s="337"/>
      <c r="H664" s="337"/>
      <c r="I664" s="337"/>
      <c r="J664" s="337"/>
      <c r="K664" s="337"/>
      <c r="L664" s="337"/>
      <c r="M664" s="337"/>
      <c r="N664" s="337"/>
      <c r="O664" s="109"/>
    </row>
    <row r="665" spans="2:15">
      <c r="B665" s="109"/>
      <c r="C665" s="337"/>
      <c r="D665" s="337"/>
      <c r="E665" s="337"/>
      <c r="F665" s="337"/>
      <c r="G665" s="337"/>
      <c r="H665" s="337"/>
      <c r="I665" s="337"/>
      <c r="J665" s="337"/>
      <c r="K665" s="337"/>
      <c r="L665" s="337"/>
      <c r="M665" s="337"/>
      <c r="N665" s="337"/>
      <c r="O665" s="109"/>
    </row>
    <row r="666" spans="2:15">
      <c r="B666" s="109"/>
      <c r="C666" s="337"/>
      <c r="D666" s="337"/>
      <c r="E666" s="337"/>
      <c r="F666" s="337"/>
      <c r="G666" s="337"/>
      <c r="H666" s="337"/>
      <c r="I666" s="337"/>
      <c r="J666" s="337"/>
      <c r="K666" s="337"/>
      <c r="L666" s="337"/>
      <c r="M666" s="337"/>
      <c r="N666" s="337"/>
      <c r="O666" s="109"/>
    </row>
    <row r="667" spans="2:15">
      <c r="B667" s="109"/>
      <c r="C667" s="337"/>
      <c r="D667" s="337"/>
      <c r="E667" s="337"/>
      <c r="F667" s="337"/>
      <c r="G667" s="337"/>
      <c r="H667" s="337"/>
      <c r="I667" s="337"/>
      <c r="J667" s="337"/>
      <c r="K667" s="337"/>
      <c r="L667" s="337"/>
      <c r="M667" s="337"/>
      <c r="N667" s="337"/>
      <c r="O667" s="109"/>
    </row>
    <row r="668" spans="2:15">
      <c r="B668" s="109"/>
      <c r="C668" s="337"/>
      <c r="D668" s="337"/>
      <c r="E668" s="337"/>
      <c r="F668" s="337"/>
      <c r="G668" s="337"/>
      <c r="H668" s="337"/>
      <c r="I668" s="337"/>
      <c r="J668" s="337"/>
      <c r="K668" s="337"/>
      <c r="L668" s="337"/>
      <c r="M668" s="337"/>
      <c r="N668" s="337"/>
      <c r="O668" s="109"/>
    </row>
    <row r="669" spans="2:15">
      <c r="B669" s="109"/>
      <c r="C669" s="337"/>
      <c r="D669" s="337"/>
      <c r="E669" s="337"/>
      <c r="F669" s="337"/>
      <c r="G669" s="337"/>
      <c r="H669" s="337"/>
      <c r="I669" s="337"/>
      <c r="J669" s="337"/>
      <c r="K669" s="337"/>
      <c r="L669" s="337"/>
      <c r="M669" s="337"/>
      <c r="N669" s="337"/>
      <c r="O669" s="109"/>
    </row>
    <row r="670" spans="2:15">
      <c r="B670" s="109"/>
      <c r="C670" s="337"/>
      <c r="D670" s="337"/>
      <c r="E670" s="337"/>
      <c r="F670" s="337"/>
      <c r="G670" s="337"/>
      <c r="H670" s="337"/>
      <c r="I670" s="337"/>
      <c r="J670" s="337"/>
      <c r="K670" s="337"/>
      <c r="L670" s="337"/>
      <c r="M670" s="337"/>
      <c r="N670" s="337"/>
      <c r="O670" s="109"/>
    </row>
    <row r="671" spans="2:15">
      <c r="B671" s="109"/>
      <c r="C671" s="337"/>
      <c r="D671" s="337"/>
      <c r="E671" s="337"/>
      <c r="F671" s="337"/>
      <c r="G671" s="337"/>
      <c r="H671" s="337"/>
      <c r="I671" s="337"/>
      <c r="J671" s="337"/>
      <c r="K671" s="337"/>
      <c r="L671" s="337"/>
      <c r="M671" s="337"/>
      <c r="N671" s="337"/>
      <c r="O671" s="109"/>
    </row>
    <row r="672" spans="2:15">
      <c r="B672" s="109"/>
      <c r="C672" s="337"/>
      <c r="D672" s="337"/>
      <c r="E672" s="337"/>
      <c r="F672" s="337"/>
      <c r="G672" s="337"/>
      <c r="H672" s="337"/>
      <c r="I672" s="337"/>
      <c r="J672" s="337"/>
      <c r="K672" s="337"/>
      <c r="L672" s="337"/>
      <c r="M672" s="337"/>
      <c r="N672" s="337"/>
      <c r="O672" s="109"/>
    </row>
    <row r="673" spans="2:15">
      <c r="B673" s="109"/>
      <c r="C673" s="337"/>
      <c r="D673" s="337"/>
      <c r="E673" s="337"/>
      <c r="F673" s="337"/>
      <c r="G673" s="337"/>
      <c r="H673" s="337"/>
      <c r="I673" s="337"/>
      <c r="J673" s="337"/>
      <c r="K673" s="337"/>
      <c r="L673" s="337"/>
      <c r="M673" s="337"/>
      <c r="N673" s="337"/>
      <c r="O673" s="109"/>
    </row>
    <row r="674" spans="2:15">
      <c r="B674" s="109"/>
      <c r="C674" s="337"/>
      <c r="D674" s="337"/>
      <c r="E674" s="337"/>
      <c r="F674" s="337"/>
      <c r="G674" s="337"/>
      <c r="H674" s="337"/>
      <c r="I674" s="337"/>
      <c r="J674" s="337"/>
      <c r="K674" s="337"/>
      <c r="L674" s="337"/>
      <c r="M674" s="337"/>
      <c r="N674" s="337"/>
      <c r="O674" s="109"/>
    </row>
    <row r="675" spans="2:15">
      <c r="B675" s="109"/>
      <c r="C675" s="337"/>
      <c r="D675" s="337"/>
      <c r="E675" s="337"/>
      <c r="F675" s="337"/>
      <c r="G675" s="337"/>
      <c r="H675" s="337"/>
      <c r="I675" s="337"/>
      <c r="J675" s="337"/>
      <c r="K675" s="337"/>
      <c r="L675" s="337"/>
      <c r="M675" s="337"/>
      <c r="N675" s="337"/>
      <c r="O675" s="109"/>
    </row>
    <row r="676" spans="2:15">
      <c r="B676" s="109"/>
      <c r="C676" s="337"/>
      <c r="D676" s="337"/>
      <c r="E676" s="337"/>
      <c r="F676" s="337"/>
      <c r="G676" s="337"/>
      <c r="H676" s="337"/>
      <c r="I676" s="337"/>
      <c r="J676" s="337"/>
      <c r="K676" s="337"/>
      <c r="L676" s="337"/>
      <c r="M676" s="337"/>
      <c r="N676" s="337"/>
      <c r="O676" s="109"/>
    </row>
    <row r="677" spans="2:15">
      <c r="B677" s="109"/>
      <c r="C677" s="337"/>
      <c r="D677" s="337"/>
      <c r="E677" s="337"/>
      <c r="F677" s="337"/>
      <c r="G677" s="337"/>
      <c r="H677" s="337"/>
      <c r="I677" s="337"/>
      <c r="J677" s="337"/>
      <c r="K677" s="337"/>
      <c r="L677" s="337"/>
      <c r="M677" s="337"/>
      <c r="N677" s="337"/>
      <c r="O677" s="109"/>
    </row>
    <row r="678" spans="2:15">
      <c r="B678" s="109"/>
      <c r="C678" s="337"/>
      <c r="D678" s="337"/>
      <c r="E678" s="337"/>
      <c r="F678" s="337"/>
      <c r="G678" s="337"/>
      <c r="H678" s="337"/>
      <c r="I678" s="337"/>
      <c r="J678" s="337"/>
      <c r="K678" s="337"/>
      <c r="L678" s="337"/>
      <c r="M678" s="337"/>
      <c r="N678" s="337"/>
      <c r="O678" s="109"/>
    </row>
    <row r="679" spans="2:15">
      <c r="B679" s="109"/>
      <c r="C679" s="337"/>
      <c r="D679" s="337"/>
      <c r="E679" s="337"/>
      <c r="F679" s="337"/>
      <c r="G679" s="337"/>
      <c r="H679" s="337"/>
      <c r="I679" s="337"/>
      <c r="J679" s="337"/>
      <c r="K679" s="337"/>
      <c r="L679" s="337"/>
      <c r="M679" s="337"/>
      <c r="N679" s="337"/>
      <c r="O679" s="109"/>
    </row>
    <row r="680" spans="2:15">
      <c r="B680" s="109"/>
      <c r="C680" s="337"/>
      <c r="D680" s="337"/>
      <c r="E680" s="337"/>
      <c r="F680" s="337"/>
      <c r="G680" s="337"/>
      <c r="H680" s="337"/>
      <c r="I680" s="337"/>
      <c r="J680" s="337"/>
      <c r="K680" s="337"/>
      <c r="L680" s="337"/>
      <c r="M680" s="337"/>
      <c r="N680" s="337"/>
      <c r="O680" s="109"/>
    </row>
    <row r="681" spans="2:15">
      <c r="B681" s="109"/>
      <c r="C681" s="337"/>
      <c r="D681" s="337"/>
      <c r="E681" s="337"/>
      <c r="F681" s="337"/>
      <c r="G681" s="337"/>
      <c r="H681" s="337"/>
      <c r="I681" s="337"/>
      <c r="J681" s="337"/>
      <c r="K681" s="337"/>
      <c r="L681" s="337"/>
      <c r="M681" s="337"/>
      <c r="N681" s="337"/>
      <c r="O681" s="109"/>
    </row>
    <row r="682" spans="2:15">
      <c r="B682" s="109"/>
      <c r="C682" s="337"/>
      <c r="D682" s="337"/>
      <c r="E682" s="337"/>
      <c r="F682" s="337"/>
      <c r="G682" s="337"/>
      <c r="H682" s="337"/>
      <c r="I682" s="337"/>
      <c r="J682" s="337"/>
      <c r="K682" s="337"/>
      <c r="L682" s="337"/>
      <c r="M682" s="337"/>
      <c r="N682" s="337"/>
      <c r="O682" s="109"/>
    </row>
    <row r="683" spans="2:15">
      <c r="B683" s="109"/>
      <c r="C683" s="337"/>
      <c r="D683" s="337"/>
      <c r="E683" s="337"/>
      <c r="F683" s="337"/>
      <c r="G683" s="337"/>
      <c r="H683" s="337"/>
      <c r="I683" s="337"/>
      <c r="J683" s="337"/>
      <c r="K683" s="337"/>
      <c r="L683" s="337"/>
      <c r="M683" s="337"/>
      <c r="N683" s="337"/>
      <c r="O683" s="109"/>
    </row>
    <row r="684" spans="2:15">
      <c r="B684" s="109"/>
      <c r="C684" s="337"/>
      <c r="D684" s="337"/>
      <c r="E684" s="337"/>
      <c r="F684" s="337"/>
      <c r="G684" s="337"/>
      <c r="H684" s="337"/>
      <c r="I684" s="337"/>
      <c r="J684" s="337"/>
      <c r="K684" s="337"/>
      <c r="L684" s="337"/>
      <c r="M684" s="337"/>
      <c r="N684" s="337"/>
      <c r="O684" s="109"/>
    </row>
    <row r="685" spans="2:15">
      <c r="B685" s="109"/>
      <c r="C685" s="337"/>
      <c r="D685" s="337"/>
      <c r="E685" s="337"/>
      <c r="F685" s="337"/>
      <c r="G685" s="337"/>
      <c r="H685" s="337"/>
      <c r="I685" s="337"/>
      <c r="J685" s="337"/>
      <c r="K685" s="337"/>
      <c r="L685" s="337"/>
      <c r="M685" s="337"/>
      <c r="N685" s="337"/>
      <c r="O685" s="109"/>
    </row>
    <row r="686" spans="2:15">
      <c r="B686" s="109"/>
      <c r="C686" s="337"/>
      <c r="D686" s="337"/>
      <c r="E686" s="337"/>
      <c r="F686" s="337"/>
      <c r="G686" s="337"/>
      <c r="H686" s="337"/>
      <c r="I686" s="337"/>
      <c r="J686" s="337"/>
      <c r="K686" s="337"/>
      <c r="L686" s="337"/>
      <c r="M686" s="337"/>
      <c r="N686" s="337"/>
      <c r="O686" s="109"/>
    </row>
    <row r="687" spans="2:15">
      <c r="B687" s="109"/>
      <c r="C687" s="337"/>
      <c r="D687" s="337"/>
      <c r="E687" s="337"/>
      <c r="F687" s="337"/>
      <c r="G687" s="337"/>
      <c r="H687" s="337"/>
      <c r="I687" s="337"/>
      <c r="J687" s="337"/>
      <c r="K687" s="337"/>
      <c r="L687" s="337"/>
      <c r="M687" s="337"/>
      <c r="N687" s="337"/>
      <c r="O687" s="109"/>
    </row>
    <row r="688" spans="2:15">
      <c r="B688" s="109"/>
      <c r="C688" s="337"/>
      <c r="D688" s="337"/>
      <c r="E688" s="337"/>
      <c r="F688" s="337"/>
      <c r="G688" s="337"/>
      <c r="H688" s="337"/>
      <c r="I688" s="337"/>
      <c r="J688" s="337"/>
      <c r="K688" s="337"/>
      <c r="L688" s="337"/>
      <c r="M688" s="337"/>
      <c r="N688" s="337"/>
      <c r="O688" s="109"/>
    </row>
    <row r="689" spans="3:14">
      <c r="C689" s="27"/>
      <c r="D689" s="27"/>
      <c r="E689" s="27"/>
      <c r="F689" s="27"/>
      <c r="G689" s="27"/>
      <c r="H689" s="27"/>
      <c r="I689" s="27"/>
      <c r="J689" s="27"/>
      <c r="K689" s="27"/>
      <c r="L689" s="27"/>
      <c r="M689" s="27"/>
      <c r="N689" s="27"/>
    </row>
    <row r="690" spans="3:14">
      <c r="C690" s="27"/>
      <c r="D690" s="27"/>
      <c r="E690" s="27"/>
      <c r="F690" s="27"/>
      <c r="G690" s="27"/>
      <c r="H690" s="27"/>
      <c r="I690" s="27"/>
      <c r="J690" s="27"/>
      <c r="K690" s="27"/>
      <c r="L690" s="27"/>
      <c r="M690" s="27"/>
      <c r="N690" s="27"/>
    </row>
    <row r="691" spans="3:14">
      <c r="C691" s="27"/>
      <c r="D691" s="27"/>
      <c r="E691" s="27"/>
      <c r="F691" s="27"/>
      <c r="G691" s="27"/>
      <c r="H691" s="27"/>
      <c r="I691" s="27"/>
      <c r="J691" s="27"/>
      <c r="K691" s="27"/>
      <c r="L691" s="27"/>
      <c r="M691" s="27"/>
      <c r="N691" s="27"/>
    </row>
    <row r="692" spans="3:14">
      <c r="C692" s="27"/>
      <c r="D692" s="27"/>
      <c r="E692" s="27"/>
      <c r="F692" s="27"/>
      <c r="G692" s="27"/>
      <c r="H692" s="27"/>
      <c r="I692" s="27"/>
      <c r="J692" s="27"/>
      <c r="K692" s="27"/>
      <c r="L692" s="27"/>
      <c r="M692" s="27"/>
      <c r="N692" s="27"/>
    </row>
    <row r="693" spans="3:14">
      <c r="C693" s="27"/>
      <c r="D693" s="27"/>
      <c r="E693" s="27"/>
      <c r="F693" s="27"/>
      <c r="G693" s="27"/>
      <c r="H693" s="27"/>
      <c r="I693" s="27"/>
      <c r="J693" s="27"/>
      <c r="K693" s="27"/>
      <c r="L693" s="27"/>
      <c r="M693" s="27"/>
      <c r="N693" s="27"/>
    </row>
    <row r="694" spans="3:14">
      <c r="C694" s="27"/>
      <c r="D694" s="27"/>
      <c r="E694" s="27"/>
      <c r="F694" s="27"/>
      <c r="G694" s="27"/>
      <c r="H694" s="27"/>
      <c r="I694" s="27"/>
      <c r="J694" s="27"/>
      <c r="K694" s="27"/>
      <c r="L694" s="27"/>
      <c r="M694" s="27"/>
      <c r="N694" s="27"/>
    </row>
    <row r="695" spans="3:14">
      <c r="C695" s="27"/>
      <c r="D695" s="27"/>
      <c r="E695" s="27"/>
      <c r="F695" s="27"/>
      <c r="G695" s="27"/>
      <c r="H695" s="27"/>
      <c r="I695" s="27"/>
      <c r="J695" s="27"/>
      <c r="K695" s="27"/>
      <c r="L695" s="27"/>
      <c r="M695" s="27"/>
      <c r="N695" s="27"/>
    </row>
    <row r="696" spans="3:14">
      <c r="C696" s="27"/>
      <c r="D696" s="27"/>
      <c r="E696" s="27"/>
      <c r="F696" s="27"/>
      <c r="G696" s="27"/>
      <c r="H696" s="27"/>
      <c r="I696" s="27"/>
      <c r="J696" s="27"/>
      <c r="K696" s="27"/>
      <c r="L696" s="27"/>
      <c r="M696" s="27"/>
      <c r="N696" s="27"/>
    </row>
    <row r="697" spans="3:14">
      <c r="C697" s="27"/>
      <c r="D697" s="27"/>
      <c r="E697" s="27"/>
      <c r="F697" s="27"/>
      <c r="G697" s="27"/>
      <c r="H697" s="27"/>
      <c r="I697" s="27"/>
      <c r="J697" s="27"/>
      <c r="K697" s="27"/>
      <c r="L697" s="27"/>
      <c r="M697" s="27"/>
      <c r="N697" s="27"/>
    </row>
    <row r="698" spans="3:14">
      <c r="C698" s="27"/>
      <c r="D698" s="27"/>
      <c r="E698" s="27"/>
      <c r="F698" s="27"/>
      <c r="G698" s="27"/>
      <c r="H698" s="27"/>
      <c r="I698" s="27"/>
      <c r="J698" s="27"/>
      <c r="K698" s="27"/>
      <c r="L698" s="27"/>
      <c r="M698" s="27"/>
      <c r="N698" s="27"/>
    </row>
  </sheetData>
  <mergeCells count="29">
    <mergeCell ref="S2:AD2"/>
    <mergeCell ref="Q3:R3"/>
    <mergeCell ref="B2:D3"/>
    <mergeCell ref="E2:N2"/>
    <mergeCell ref="E3:N3"/>
    <mergeCell ref="B7:D7"/>
    <mergeCell ref="E7:H7"/>
    <mergeCell ref="B5:D5"/>
    <mergeCell ref="B6:D6"/>
    <mergeCell ref="E5:G5"/>
    <mergeCell ref="E6:G6"/>
    <mergeCell ref="Q4:R4"/>
    <mergeCell ref="Q7:R7"/>
    <mergeCell ref="Q9:R9"/>
    <mergeCell ref="Q10:R10"/>
    <mergeCell ref="Q11:R11"/>
    <mergeCell ref="Q5:R5"/>
    <mergeCell ref="Q6:R6"/>
    <mergeCell ref="Q8:R8"/>
    <mergeCell ref="Q18:R18"/>
    <mergeCell ref="B13:B14"/>
    <mergeCell ref="C13:N13"/>
    <mergeCell ref="O13:O14"/>
    <mergeCell ref="Q12:R12"/>
    <mergeCell ref="B8:D8"/>
    <mergeCell ref="B9:D9"/>
    <mergeCell ref="S15:AD15"/>
    <mergeCell ref="Q16:R16"/>
    <mergeCell ref="Q17:R17"/>
  </mergeCells>
  <pageMargins left="0.44" right="0.35433070866141736" top="0.78740157480314965" bottom="1" header="0" footer="0"/>
  <pageSetup paperSize="9" scale="92" orientation="landscape"/>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pageSetUpPr fitToPage="1"/>
  </sheetPr>
  <dimension ref="A1:U41"/>
  <sheetViews>
    <sheetView showGridLines="0" zoomScale="75" zoomScaleNormal="75" workbookViewId="0">
      <selection activeCell="D3" sqref="D3:H3"/>
    </sheetView>
  </sheetViews>
  <sheetFormatPr baseColWidth="10" defaultRowHeight="12.5"/>
  <cols>
    <col min="1" max="1" width="3.453125" customWidth="1"/>
    <col min="2" max="2" width="14.1796875" customWidth="1"/>
    <col min="3" max="3" width="17.453125" customWidth="1"/>
    <col min="4" max="4" width="23" customWidth="1"/>
    <col min="5" max="8" width="14.1796875" customWidth="1"/>
    <col min="10" max="10" width="24.1796875" customWidth="1"/>
    <col min="11" max="11" width="21.81640625" customWidth="1"/>
    <col min="12" max="12" width="10.1796875" customWidth="1"/>
  </cols>
  <sheetData>
    <row r="1" spans="1:21">
      <c r="A1" s="84"/>
      <c r="B1" s="84"/>
      <c r="C1" s="84"/>
      <c r="D1" s="83"/>
      <c r="E1" s="83"/>
      <c r="F1" s="83"/>
      <c r="G1" s="83"/>
      <c r="H1" s="83"/>
    </row>
    <row r="2" spans="1:21" ht="18">
      <c r="A2" s="84"/>
      <c r="B2" s="638" t="s">
        <v>229</v>
      </c>
      <c r="C2" s="638"/>
      <c r="D2" s="626" t="str">
        <f>UPPER(REPORTS!$AB$1)</f>
        <v>NATURAL FLOW</v>
      </c>
      <c r="E2" s="626"/>
      <c r="F2" s="626"/>
      <c r="G2" s="626"/>
      <c r="H2" s="626"/>
    </row>
    <row r="3" spans="1:21" ht="18">
      <c r="A3" s="84"/>
      <c r="B3" s="638"/>
      <c r="C3" s="638"/>
      <c r="D3" s="627" t="s">
        <v>230</v>
      </c>
      <c r="E3" s="626"/>
      <c r="F3" s="626"/>
      <c r="G3" s="626"/>
      <c r="H3" s="626"/>
    </row>
    <row r="5" spans="1:21" ht="15.75" customHeight="1">
      <c r="B5" s="593" t="s">
        <v>1</v>
      </c>
      <c r="C5" s="593"/>
      <c r="D5" s="593"/>
      <c r="E5" s="495" t="str">
        <f>REPORTS!E7</f>
        <v>Natural Flow (Nat_F)</v>
      </c>
      <c r="F5" s="293"/>
    </row>
    <row r="6" spans="1:21" ht="15.75" customHeight="1">
      <c r="B6" s="593" t="s">
        <v>2</v>
      </c>
      <c r="C6" s="593"/>
      <c r="D6" s="593"/>
      <c r="E6" s="495" t="str">
        <f>REPORTS!E8</f>
        <v>Altered Flow (Alt_F)</v>
      </c>
      <c r="F6" s="293"/>
      <c r="U6" s="48" t="str">
        <f>CONCATENATE("MEDIANS CONTRIBUTIONS IN ",UPPER(REPORTS!$AB$1)," (hm³)")</f>
        <v>MEDIANS CONTRIBUTIONS IN NATURAL FLOW (hm³)</v>
      </c>
    </row>
    <row r="7" spans="1:21" ht="14">
      <c r="B7" s="593" t="s">
        <v>3</v>
      </c>
      <c r="C7" s="593"/>
      <c r="D7" s="593"/>
      <c r="E7" s="495" t="s">
        <v>4</v>
      </c>
      <c r="F7" s="293"/>
    </row>
    <row r="8" spans="1:21" ht="14">
      <c r="B8" s="478"/>
      <c r="C8" s="478"/>
      <c r="D8" s="478"/>
      <c r="E8" s="477"/>
      <c r="F8" s="293"/>
    </row>
    <row r="9" spans="1:21" ht="14">
      <c r="B9" s="478"/>
      <c r="C9" s="478"/>
      <c r="D9" s="478"/>
      <c r="E9" s="293"/>
      <c r="F9" s="293"/>
    </row>
    <row r="12" spans="1:21" ht="18">
      <c r="B12" s="637" t="s">
        <v>156</v>
      </c>
      <c r="C12" s="637"/>
      <c r="D12" s="637"/>
      <c r="E12" s="637"/>
      <c r="F12" s="637"/>
      <c r="G12" s="637"/>
      <c r="H12" s="637"/>
    </row>
    <row r="13" spans="1:21">
      <c r="B13" s="83"/>
      <c r="C13" s="83"/>
      <c r="D13" s="83"/>
      <c r="E13" s="83"/>
      <c r="F13" s="83"/>
      <c r="G13" s="83"/>
      <c r="H13" s="83"/>
    </row>
    <row r="14" spans="1:21">
      <c r="B14" s="632" t="s">
        <v>231</v>
      </c>
      <c r="C14" s="656" t="s">
        <v>232</v>
      </c>
      <c r="D14" s="657"/>
      <c r="E14" s="658"/>
      <c r="F14" s="659" t="s">
        <v>233</v>
      </c>
      <c r="G14" s="660"/>
      <c r="H14" s="661"/>
      <c r="J14" s="648" t="s">
        <v>234</v>
      </c>
      <c r="K14" s="649"/>
      <c r="L14" s="645" t="s">
        <v>235</v>
      </c>
    </row>
    <row r="15" spans="1:21">
      <c r="B15" s="633"/>
      <c r="C15" s="654" t="s">
        <v>162</v>
      </c>
      <c r="D15" s="630" t="s">
        <v>163</v>
      </c>
      <c r="E15" s="635" t="s">
        <v>164</v>
      </c>
      <c r="F15" s="628" t="s">
        <v>162</v>
      </c>
      <c r="G15" s="630" t="s">
        <v>163</v>
      </c>
      <c r="H15" s="635" t="s">
        <v>164</v>
      </c>
      <c r="J15" s="650" t="s">
        <v>236</v>
      </c>
      <c r="K15" s="652" t="s">
        <v>237</v>
      </c>
      <c r="L15" s="646"/>
    </row>
    <row r="16" spans="1:21">
      <c r="B16" s="634"/>
      <c r="C16" s="655"/>
      <c r="D16" s="631"/>
      <c r="E16" s="636"/>
      <c r="F16" s="629"/>
      <c r="G16" s="631"/>
      <c r="H16" s="636"/>
      <c r="J16" s="651"/>
      <c r="K16" s="653"/>
      <c r="L16" s="647"/>
    </row>
    <row r="17" spans="2:12">
      <c r="B17" s="82" t="str">
        <f>'Informe nº 2'!C14</f>
        <v>Jan</v>
      </c>
      <c r="C17" s="81">
        <v>18.099506378173828</v>
      </c>
      <c r="D17" s="80">
        <v>14.37298583984375</v>
      </c>
      <c r="E17" s="79">
        <v>11.507701873779297</v>
      </c>
      <c r="F17" s="100" t="str">
        <f t="shared" ref="F17:F28" si="0">IF($B17="OCT",C17*0.373, IF($B17="NOV",C17*0.386,IF($B17="DIC",C17*0.373,IF($B17="ENE",C17*0.373,IF($B17="FEB",C17*0.413,IF($B17="MAR",C17*0.373,IF($B17="ABR",C17*0.386,IF($B17="MAY",C17*0.373,IF($B17="JUN",C17*0.386,IF($B17="JUL",C17*0.373,IF($B17="AGO",C17*0.373,IF($B17="SEP",C17*0.386,""))))))))))))</f>
        <v/>
      </c>
      <c r="G17" s="98" t="str">
        <f t="shared" ref="G17:G28" si="1">IF($D17="#","#",IF($B17="OCT",D17*0.373, IF($B17="NOV",D17*0.386,IF($B17="DIC",D17*0.373,IF($B17="ENE",D17*0.373,IF($B17="FEB",D17*0.413,IF($B17="MAR",D17*0.373,IF($B17="ABR",D17*0.386,IF($B17="MAY",D17*0.373,IF($B17="JUN",D17*0.386,IF($B17="JUL",D17*0.373,IF($B17="AGO",D17*0.373,IF($B17="SEP",D17*0.386,"")))))))))))))</f>
        <v/>
      </c>
      <c r="H17" s="99" t="str">
        <f>IF($B17="OCT",E17*0.373, IF($B17="NOV",E17*0.386,IF($B17="DIC",E17*0.373,IF($B17="ENE",E17*0.373,IF($B17="FEB",E17*0.413,IF($B17="MAR",E17*0.373,IF($B17="ABR",E17*0.386,IF($B17="MAY",E17*0.373,IF($B17="JUN",E17*0.386,IF($B17="JUL",E17*0.373,IF($B17="AGO",E17*0.373,IF($B17="SEP",E17*0.386,""))))))))))))</f>
        <v/>
      </c>
      <c r="J17" s="346"/>
      <c r="K17" s="356" t="str">
        <f>IF($B17="OCT",J17*0.373, IF($B17="NOV",J17*0.386,IF($B17="DIC",J17*0.373,IF($B17="ENE",J17*0.373,IF($B17="FEB",J17*0.413,IF($B17="MAR",J17*0.373,IF($B17="ABR",J17*0.386,IF($B17="MAY",J17*0.373,IF($B17="JUN",J17*0.386,IF($B17="JUL",J17*0.373,IF($B17="AGO",J17*0.373,IF($B17="SEP",J17*0.386,""))))))))))))</f>
        <v/>
      </c>
      <c r="L17" s="391"/>
    </row>
    <row r="18" spans="2:12">
      <c r="B18" s="78" t="str">
        <f>'Informe nº 2'!D14</f>
        <v>Feb</v>
      </c>
      <c r="C18" s="77">
        <v>13.573872566223145</v>
      </c>
      <c r="D18" s="76">
        <v>12.314159393310547</v>
      </c>
      <c r="E18" s="96">
        <v>9.3760404586791992</v>
      </c>
      <c r="F18" s="100">
        <f t="shared" si="0"/>
        <v>5.6060093698501587</v>
      </c>
      <c r="G18" s="101">
        <f t="shared" si="1"/>
        <v>5.0857478294372553</v>
      </c>
      <c r="H18" s="102">
        <f t="shared" ref="H18:H28" si="2">IF($B18="OCT",E18*0.373, IF($B18="NOV",E18*0.386,IF($B18="DIC",E18*0.373,IF($B18="ENE",E18*0.373,IF($B18="FEB",E18*0.413,IF($B18="MAR",E18*0.373,IF($B18="ABR",E18*0.386,IF($B18="MAY",E18*0.373,IF($B18="JUN",E18*0.386,IF($B18="JUL",E18*0.373,IF($B18="AGO",E18*0.373,IF($B18="SEP",E18*0.386,""))))))))))))</f>
        <v>3.8723047094345091</v>
      </c>
      <c r="J18" s="347"/>
      <c r="K18" s="357">
        <f t="shared" ref="K18:K28" si="3">IF($B18="OCT",J18*0.373, IF($B18="NOV",J18*0.386,IF($B18="DIC",J18*0.373,IF($B18="ENE",J18*0.373,IF($B18="FEB",J18*0.413,IF($B18="MAR",J18*0.373,IF($B18="ABR",J18*0.386,IF($B18="MAY",J18*0.373,IF($B18="JUN",J18*0.386,IF($B18="JUL",J18*0.373,IF($B18="AGO",J18*0.373,IF($B18="SEP",J18*0.386,""))))))))))))</f>
        <v>0</v>
      </c>
      <c r="L18" s="392"/>
    </row>
    <row r="19" spans="2:12">
      <c r="B19" s="78" t="str">
        <f>'Informe nº 2'!E14</f>
        <v>Mar</v>
      </c>
      <c r="C19" s="77">
        <v>15.863386154174805</v>
      </c>
      <c r="D19" s="76">
        <v>11.537077903747559</v>
      </c>
      <c r="E19" s="96">
        <v>9.1410341262817383</v>
      </c>
      <c r="F19" s="100">
        <f t="shared" si="0"/>
        <v>5.9170430355072021</v>
      </c>
      <c r="G19" s="101">
        <f t="shared" si="1"/>
        <v>4.3033300580978393</v>
      </c>
      <c r="H19" s="102">
        <f t="shared" si="2"/>
        <v>3.4096057291030886</v>
      </c>
      <c r="J19" s="347"/>
      <c r="K19" s="357">
        <f t="shared" si="3"/>
        <v>0</v>
      </c>
      <c r="L19" s="392"/>
    </row>
    <row r="20" spans="2:12">
      <c r="B20" s="78" t="str">
        <f>'Informe nº 2'!F14</f>
        <v>Apr</v>
      </c>
      <c r="C20" s="77">
        <v>15.218755722045898</v>
      </c>
      <c r="D20" s="76">
        <v>13.178936004638672</v>
      </c>
      <c r="E20" s="96">
        <v>10.590134620666504</v>
      </c>
      <c r="F20" s="100" t="str">
        <f t="shared" si="0"/>
        <v/>
      </c>
      <c r="G20" s="101" t="str">
        <f t="shared" si="1"/>
        <v/>
      </c>
      <c r="H20" s="102" t="str">
        <f t="shared" si="2"/>
        <v/>
      </c>
      <c r="J20" s="347"/>
      <c r="K20" s="357" t="str">
        <f t="shared" si="3"/>
        <v/>
      </c>
      <c r="L20" s="392"/>
    </row>
    <row r="21" spans="2:12">
      <c r="B21" s="78" t="str">
        <f>'Informe nº 2'!G14</f>
        <v>May</v>
      </c>
      <c r="C21" s="77">
        <v>17.46221923828125</v>
      </c>
      <c r="D21" s="76">
        <v>13.49222469329834</v>
      </c>
      <c r="E21" s="96">
        <v>10.689840316772461</v>
      </c>
      <c r="F21" s="100">
        <f t="shared" si="0"/>
        <v>6.513407775878906</v>
      </c>
      <c r="G21" s="101">
        <f t="shared" si="1"/>
        <v>5.0325998106002805</v>
      </c>
      <c r="H21" s="102">
        <f t="shared" si="2"/>
        <v>3.9873104381561277</v>
      </c>
      <c r="J21" s="347"/>
      <c r="K21" s="357">
        <f t="shared" si="3"/>
        <v>0</v>
      </c>
      <c r="L21" s="392"/>
    </row>
    <row r="22" spans="2:12" ht="12.75" customHeight="1">
      <c r="B22" s="78" t="str">
        <f>'Informe nº 2'!H14</f>
        <v>Jun</v>
      </c>
      <c r="C22" s="77">
        <v>6.6775097846984863</v>
      </c>
      <c r="D22" s="76">
        <v>4.8620734214782715</v>
      </c>
      <c r="E22" s="96">
        <v>3.933758020401001</v>
      </c>
      <c r="F22" s="100">
        <f t="shared" si="0"/>
        <v>2.5775187768936156</v>
      </c>
      <c r="G22" s="101">
        <f t="shared" si="1"/>
        <v>1.8767603406906128</v>
      </c>
      <c r="H22" s="102">
        <f t="shared" si="2"/>
        <v>1.5184305958747863</v>
      </c>
      <c r="J22" s="347"/>
      <c r="K22" s="357">
        <f t="shared" si="3"/>
        <v>0</v>
      </c>
      <c r="L22" s="392"/>
    </row>
    <row r="23" spans="2:12">
      <c r="B23" s="78" t="str">
        <f>'Informe nº 2'!I14</f>
        <v>Jul</v>
      </c>
      <c r="C23" s="77">
        <v>1.5369611978530884</v>
      </c>
      <c r="D23" s="76">
        <v>1.1413267850875854</v>
      </c>
      <c r="E23" s="96">
        <v>0.92626851797103882</v>
      </c>
      <c r="F23" s="100">
        <f t="shared" si="0"/>
        <v>0.573286526799202</v>
      </c>
      <c r="G23" s="101">
        <f t="shared" si="1"/>
        <v>0.42571489083766939</v>
      </c>
      <c r="H23" s="102">
        <f t="shared" si="2"/>
        <v>0.34549815720319749</v>
      </c>
      <c r="J23" s="347"/>
      <c r="K23" s="357">
        <f t="shared" si="3"/>
        <v>0</v>
      </c>
      <c r="L23" s="392"/>
    </row>
    <row r="24" spans="2:12">
      <c r="B24" s="78" t="str">
        <f>'Informe nº 2'!J14</f>
        <v>Aug</v>
      </c>
      <c r="C24" s="77">
        <v>0.61138373613357544</v>
      </c>
      <c r="D24" s="76">
        <v>0.4883846640586853</v>
      </c>
      <c r="E24" s="96">
        <v>0.4232650101184845</v>
      </c>
      <c r="F24" s="100" t="str">
        <f t="shared" si="0"/>
        <v/>
      </c>
      <c r="G24" s="101" t="str">
        <f t="shared" si="1"/>
        <v/>
      </c>
      <c r="H24" s="102" t="str">
        <f t="shared" si="2"/>
        <v/>
      </c>
      <c r="J24" s="347"/>
      <c r="K24" s="357" t="str">
        <f t="shared" si="3"/>
        <v/>
      </c>
      <c r="L24" s="392"/>
    </row>
    <row r="25" spans="2:12">
      <c r="B25" s="78" t="str">
        <f>'Informe nº 2'!K14</f>
        <v>Sep</v>
      </c>
      <c r="C25" s="77">
        <v>0.8791201114654541</v>
      </c>
      <c r="D25" s="76">
        <v>0.55524098873138428</v>
      </c>
      <c r="E25" s="96">
        <v>0.37693983316421509</v>
      </c>
      <c r="F25" s="100">
        <f t="shared" si="0"/>
        <v>0.33934036302566528</v>
      </c>
      <c r="G25" s="101">
        <f t="shared" si="1"/>
        <v>0.21432302165031433</v>
      </c>
      <c r="H25" s="102">
        <f t="shared" si="2"/>
        <v>0.14549877560138702</v>
      </c>
      <c r="J25" s="347"/>
      <c r="K25" s="357">
        <f t="shared" si="3"/>
        <v>0</v>
      </c>
      <c r="L25" s="392"/>
    </row>
    <row r="26" spans="2:12">
      <c r="B26" s="78" t="str">
        <f>'Informe nº 2'!L14</f>
        <v>Oct</v>
      </c>
      <c r="C26" s="77">
        <v>4.2686614990234375</v>
      </c>
      <c r="D26" s="76">
        <v>2.9164323806762695</v>
      </c>
      <c r="E26" s="96">
        <v>2.1859288215637207</v>
      </c>
      <c r="F26" s="100">
        <f t="shared" si="0"/>
        <v>1.5922107391357421</v>
      </c>
      <c r="G26" s="101">
        <f t="shared" si="1"/>
        <v>1.0878292779922485</v>
      </c>
      <c r="H26" s="102">
        <f t="shared" si="2"/>
        <v>0.81535145044326784</v>
      </c>
      <c r="J26" s="347"/>
      <c r="K26" s="357">
        <f t="shared" si="3"/>
        <v>0</v>
      </c>
      <c r="L26" s="392"/>
    </row>
    <row r="27" spans="2:12">
      <c r="B27" s="78" t="str">
        <f>'Informe nº 2'!M14</f>
        <v>Nov</v>
      </c>
      <c r="C27" s="77">
        <v>10.988697052001953</v>
      </c>
      <c r="D27" s="76">
        <v>7.0796847343444824</v>
      </c>
      <c r="E27" s="96">
        <v>3.999110221862793</v>
      </c>
      <c r="F27" s="100">
        <f t="shared" si="0"/>
        <v>4.2416370620727539</v>
      </c>
      <c r="G27" s="101">
        <f t="shared" si="1"/>
        <v>2.7327583074569701</v>
      </c>
      <c r="H27" s="102">
        <f t="shared" si="2"/>
        <v>1.5436565456390381</v>
      </c>
      <c r="J27" s="347"/>
      <c r="K27" s="357">
        <f t="shared" si="3"/>
        <v>0</v>
      </c>
      <c r="L27" s="392"/>
    </row>
    <row r="28" spans="2:12">
      <c r="B28" s="71" t="str">
        <f>'Informe nº 2'!N14</f>
        <v>Dec</v>
      </c>
      <c r="C28" s="70">
        <v>18.874856948852539</v>
      </c>
      <c r="D28" s="69">
        <v>14.289956092834473</v>
      </c>
      <c r="E28" s="97">
        <v>11.012543678283691</v>
      </c>
      <c r="F28" s="103" t="str">
        <f t="shared" si="0"/>
        <v/>
      </c>
      <c r="G28" s="104" t="str">
        <f t="shared" si="1"/>
        <v/>
      </c>
      <c r="H28" s="105" t="str">
        <f t="shared" si="2"/>
        <v/>
      </c>
      <c r="J28" s="348"/>
      <c r="K28" s="358" t="str">
        <f t="shared" si="3"/>
        <v/>
      </c>
      <c r="L28" s="393"/>
    </row>
    <row r="29" spans="2:12">
      <c r="C29" s="639" t="s">
        <v>238</v>
      </c>
      <c r="D29" s="640"/>
      <c r="E29" s="640"/>
    </row>
    <row r="30" spans="2:12" ht="12.75" customHeight="1">
      <c r="B30" s="643" t="s">
        <v>239</v>
      </c>
      <c r="C30" s="643"/>
      <c r="D30" s="643"/>
      <c r="E30" s="643"/>
      <c r="F30" s="643"/>
      <c r="G30" s="643"/>
      <c r="H30" s="643"/>
      <c r="J30" s="644" t="s">
        <v>240</v>
      </c>
      <c r="K30" s="644"/>
      <c r="L30" s="644"/>
    </row>
    <row r="31" spans="2:12">
      <c r="B31" s="643"/>
      <c r="C31" s="643"/>
      <c r="D31" s="643"/>
      <c r="E31" s="643"/>
      <c r="F31" s="643"/>
      <c r="G31" s="643"/>
      <c r="H31" s="643"/>
      <c r="J31" s="644"/>
      <c r="K31" s="644"/>
      <c r="L31" s="644"/>
    </row>
    <row r="32" spans="2:12">
      <c r="B32" s="643"/>
      <c r="C32" s="643"/>
      <c r="D32" s="643"/>
      <c r="E32" s="643"/>
      <c r="F32" s="643"/>
      <c r="G32" s="643"/>
      <c r="H32" s="643"/>
      <c r="J32" s="644"/>
      <c r="K32" s="644"/>
      <c r="L32" s="644"/>
    </row>
    <row r="33" spans="2:12">
      <c r="B33" s="643"/>
      <c r="C33" s="643"/>
      <c r="D33" s="643"/>
      <c r="E33" s="643"/>
      <c r="F33" s="643"/>
      <c r="G33" s="643"/>
      <c r="H33" s="643"/>
      <c r="J33" s="644"/>
      <c r="K33" s="644"/>
      <c r="L33" s="644"/>
    </row>
    <row r="34" spans="2:12">
      <c r="B34" s="643"/>
      <c r="C34" s="643"/>
      <c r="D34" s="643"/>
      <c r="E34" s="643"/>
      <c r="F34" s="643"/>
      <c r="G34" s="643"/>
      <c r="H34" s="643"/>
      <c r="J34" s="644"/>
      <c r="K34" s="644"/>
      <c r="L34" s="644"/>
    </row>
    <row r="35" spans="2:12">
      <c r="B35" s="643"/>
      <c r="C35" s="643"/>
      <c r="D35" s="643"/>
      <c r="E35" s="643"/>
      <c r="F35" s="643"/>
      <c r="G35" s="643"/>
      <c r="H35" s="643"/>
      <c r="J35" s="644"/>
      <c r="K35" s="644"/>
      <c r="L35" s="644"/>
    </row>
    <row r="36" spans="2:12">
      <c r="B36" s="415" t="s">
        <v>241</v>
      </c>
      <c r="C36" s="415"/>
      <c r="D36" s="415"/>
      <c r="E36" s="415"/>
      <c r="F36" s="415"/>
      <c r="G36" s="415"/>
      <c r="H36" s="415"/>
      <c r="J36" s="644"/>
      <c r="K36" s="644"/>
      <c r="L36" s="644"/>
    </row>
    <row r="37" spans="2:12">
      <c r="B37" s="415"/>
      <c r="C37" s="415"/>
      <c r="D37" s="415"/>
      <c r="E37" s="415"/>
      <c r="F37" s="415"/>
      <c r="G37" s="415"/>
      <c r="H37" s="415"/>
      <c r="J37" s="644"/>
      <c r="K37" s="644"/>
      <c r="L37" s="644"/>
    </row>
    <row r="38" spans="2:12">
      <c r="B38" s="225"/>
    </row>
    <row r="39" spans="2:12">
      <c r="B39" s="641"/>
      <c r="C39" s="642"/>
      <c r="D39" s="642"/>
      <c r="E39" s="642"/>
      <c r="F39" s="642"/>
      <c r="G39" s="642"/>
      <c r="H39" s="642"/>
    </row>
    <row r="40" spans="2:12">
      <c r="B40" s="642"/>
      <c r="C40" s="642"/>
      <c r="D40" s="642"/>
      <c r="E40" s="642"/>
      <c r="F40" s="642"/>
      <c r="G40" s="642"/>
      <c r="H40" s="642"/>
    </row>
    <row r="41" spans="2:12" ht="21" customHeight="1">
      <c r="B41" s="642"/>
      <c r="C41" s="642"/>
      <c r="D41" s="642"/>
      <c r="E41" s="642"/>
      <c r="F41" s="642"/>
      <c r="G41" s="642"/>
      <c r="H41" s="642"/>
    </row>
  </sheetData>
  <mergeCells count="24">
    <mergeCell ref="C29:E29"/>
    <mergeCell ref="D15:D16"/>
    <mergeCell ref="B39:H41"/>
    <mergeCell ref="B30:H35"/>
    <mergeCell ref="J30:L37"/>
    <mergeCell ref="L14:L16"/>
    <mergeCell ref="J14:K14"/>
    <mergeCell ref="J15:J16"/>
    <mergeCell ref="K15:K16"/>
    <mergeCell ref="C15:C16"/>
    <mergeCell ref="C14:E14"/>
    <mergeCell ref="F14:H14"/>
    <mergeCell ref="D2:H2"/>
    <mergeCell ref="D3:H3"/>
    <mergeCell ref="F15:F16"/>
    <mergeCell ref="G15:G16"/>
    <mergeCell ref="B14:B16"/>
    <mergeCell ref="E15:E16"/>
    <mergeCell ref="B5:D5"/>
    <mergeCell ref="B6:D6"/>
    <mergeCell ref="H15:H16"/>
    <mergeCell ref="B7:D7"/>
    <mergeCell ref="B12:H12"/>
    <mergeCell ref="B2:C3"/>
  </mergeCells>
  <pageMargins left="0.43307086614173229" right="0.35433070866141736" top="0.78740157480314965" bottom="0.98425196850393704" header="0" footer="0"/>
  <pageSetup paperSize="9" scale="89" orientation="portrait"/>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dimension ref="A1:AG612"/>
  <sheetViews>
    <sheetView showGridLines="0" zoomScale="75" zoomScaleNormal="75" workbookViewId="0">
      <selection activeCell="E3" sqref="E3:N3"/>
    </sheetView>
  </sheetViews>
  <sheetFormatPr baseColWidth="10" defaultRowHeight="12.5"/>
  <cols>
    <col min="1" max="1" width="3.453125" customWidth="1"/>
    <col min="2" max="2" width="16.1796875" customWidth="1"/>
    <col min="3" max="14" width="8.81640625" customWidth="1"/>
    <col min="15" max="15" width="13.81640625" customWidth="1"/>
    <col min="16" max="16" width="11.453125" style="48" customWidth="1"/>
    <col min="19" max="19" width="26.54296875" customWidth="1"/>
    <col min="20" max="31" width="8.81640625" customWidth="1"/>
  </cols>
  <sheetData>
    <row r="1" spans="1:31">
      <c r="A1" s="84"/>
      <c r="B1" s="84"/>
      <c r="C1" s="84"/>
      <c r="D1" s="83"/>
      <c r="E1" s="83"/>
      <c r="F1" s="83"/>
      <c r="G1" s="83"/>
      <c r="H1" s="83"/>
    </row>
    <row r="2" spans="1:31" ht="18">
      <c r="A2" s="84"/>
      <c r="B2" s="638" t="s">
        <v>242</v>
      </c>
      <c r="C2" s="638"/>
      <c r="D2" s="638"/>
      <c r="E2" s="626" t="str">
        <f>UPPER(REPORTS!$AB$2)</f>
        <v>ALTERED FLOW</v>
      </c>
      <c r="F2" s="626"/>
      <c r="G2" s="626"/>
      <c r="H2" s="626"/>
      <c r="I2" s="626"/>
      <c r="J2" s="626"/>
      <c r="K2" s="626"/>
      <c r="L2" s="626"/>
      <c r="M2" s="626"/>
      <c r="N2" s="626"/>
      <c r="T2" s="621" t="s">
        <v>188</v>
      </c>
      <c r="U2" s="622"/>
      <c r="V2" s="622"/>
      <c r="W2" s="622"/>
      <c r="X2" s="622"/>
      <c r="Y2" s="622"/>
      <c r="Z2" s="622"/>
      <c r="AA2" s="622"/>
      <c r="AB2" s="622"/>
      <c r="AC2" s="622"/>
      <c r="AD2" s="622"/>
      <c r="AE2" s="622"/>
    </row>
    <row r="3" spans="1:31" ht="18.5" customHeight="1">
      <c r="A3" s="84"/>
      <c r="B3" s="638"/>
      <c r="C3" s="638"/>
      <c r="D3" s="638"/>
      <c r="E3" s="625" t="s">
        <v>189</v>
      </c>
      <c r="F3" s="625"/>
      <c r="G3" s="625"/>
      <c r="H3" s="625"/>
      <c r="I3" s="625"/>
      <c r="J3" s="625"/>
      <c r="K3" s="625"/>
      <c r="L3" s="625"/>
      <c r="M3" s="625"/>
      <c r="N3" s="625"/>
      <c r="R3" s="609" t="s">
        <v>190</v>
      </c>
      <c r="S3" s="610"/>
      <c r="T3" s="52" t="str">
        <f t="shared" ref="T3:AE3" si="0">C14</f>
        <v>Jan</v>
      </c>
      <c r="U3" s="52" t="str">
        <f t="shared" si="0"/>
        <v>Feb</v>
      </c>
      <c r="V3" s="52" t="str">
        <f t="shared" si="0"/>
        <v>Mar</v>
      </c>
      <c r="W3" s="52" t="str">
        <f t="shared" si="0"/>
        <v>Apr</v>
      </c>
      <c r="X3" s="52" t="str">
        <f t="shared" si="0"/>
        <v>May</v>
      </c>
      <c r="Y3" s="52" t="str">
        <f t="shared" si="0"/>
        <v>Jun</v>
      </c>
      <c r="Z3" s="52" t="str">
        <f t="shared" si="0"/>
        <v>Jul</v>
      </c>
      <c r="AA3" s="52" t="str">
        <f t="shared" si="0"/>
        <v>Aug</v>
      </c>
      <c r="AB3" s="52" t="str">
        <f t="shared" si="0"/>
        <v>Sep</v>
      </c>
      <c r="AC3" s="52" t="str">
        <f t="shared" si="0"/>
        <v>Oct</v>
      </c>
      <c r="AD3" s="52" t="str">
        <f t="shared" si="0"/>
        <v>Nov</v>
      </c>
      <c r="AE3" s="52" t="str">
        <f t="shared" si="0"/>
        <v>Dec</v>
      </c>
    </row>
    <row r="4" spans="1:31" ht="18.75" customHeight="1">
      <c r="R4" s="575" t="s">
        <v>167</v>
      </c>
      <c r="S4" s="575"/>
      <c r="T4" s="394">
        <f t="shared" ref="T4:AE4" si="1">MIN(C12:C612)</f>
        <v>5.8532462120056152</v>
      </c>
      <c r="U4" s="395">
        <f t="shared" si="1"/>
        <v>5.7766170501708984</v>
      </c>
      <c r="V4" s="395">
        <f t="shared" si="1"/>
        <v>4.3456778526306152</v>
      </c>
      <c r="W4" s="395">
        <f t="shared" si="1"/>
        <v>3.1278958320617676</v>
      </c>
      <c r="X4" s="395">
        <f t="shared" si="1"/>
        <v>1.3168398141860962</v>
      </c>
      <c r="Y4" s="395">
        <f t="shared" si="1"/>
        <v>0.37014538049697876</v>
      </c>
      <c r="Z4" s="395">
        <f t="shared" si="1"/>
        <v>0.19043853878974915</v>
      </c>
      <c r="AA4" s="395">
        <f t="shared" si="1"/>
        <v>0.13376533985137939</v>
      </c>
      <c r="AB4" s="395">
        <f t="shared" si="1"/>
        <v>0.12839645147323608</v>
      </c>
      <c r="AC4" s="395">
        <f t="shared" si="1"/>
        <v>0.32118943333625793</v>
      </c>
      <c r="AD4" s="395">
        <f t="shared" si="1"/>
        <v>2.1514289379119873</v>
      </c>
      <c r="AE4" s="396">
        <f t="shared" si="1"/>
        <v>4.4008960723876953</v>
      </c>
    </row>
    <row r="5" spans="1:31" ht="15.75" customHeight="1">
      <c r="B5" s="664" t="s">
        <v>1</v>
      </c>
      <c r="C5" s="664"/>
      <c r="D5" s="664"/>
      <c r="E5" s="589" t="str">
        <f>REPORTS!E7</f>
        <v>Natural Flow (Nat_F)</v>
      </c>
      <c r="F5" s="589"/>
      <c r="G5" s="589"/>
      <c r="H5" s="495"/>
      <c r="R5" s="570" t="s">
        <v>169</v>
      </c>
      <c r="S5" s="570"/>
      <c r="T5" s="397">
        <f t="shared" ref="T5:AE5" si="2">_xlfn.PERCENTILE.EXC(C12:C612,0.25)</f>
        <v>9.0476346015930176</v>
      </c>
      <c r="U5" s="398">
        <f t="shared" si="2"/>
        <v>9.2640666961669922</v>
      </c>
      <c r="V5" s="398">
        <f t="shared" si="2"/>
        <v>7.3309967517852783</v>
      </c>
      <c r="W5" s="398">
        <f t="shared" si="2"/>
        <v>4.2609021663665771</v>
      </c>
      <c r="X5" s="398">
        <f t="shared" si="2"/>
        <v>1.746960461139679</v>
      </c>
      <c r="Y5" s="398">
        <f t="shared" si="2"/>
        <v>0.48427197337150574</v>
      </c>
      <c r="Z5" s="398">
        <f t="shared" si="2"/>
        <v>0.25078335404396057</v>
      </c>
      <c r="AA5" s="398">
        <f t="shared" si="2"/>
        <v>0.16096147894859314</v>
      </c>
      <c r="AB5" s="398">
        <f t="shared" si="2"/>
        <v>0.15115766972303391</v>
      </c>
      <c r="AC5" s="398">
        <f t="shared" si="2"/>
        <v>0.52719983458518982</v>
      </c>
      <c r="AD5" s="398">
        <f t="shared" si="2"/>
        <v>2.9634463787078857</v>
      </c>
      <c r="AE5" s="399">
        <f t="shared" si="2"/>
        <v>5.357374906539917</v>
      </c>
    </row>
    <row r="6" spans="1:31" ht="15.75" customHeight="1">
      <c r="B6" s="664" t="s">
        <v>2</v>
      </c>
      <c r="C6" s="664"/>
      <c r="D6" s="664"/>
      <c r="E6" s="589" t="str">
        <f>REPORTS!E8</f>
        <v>Altered Flow (Alt_F)</v>
      </c>
      <c r="F6" s="589"/>
      <c r="G6" s="589"/>
      <c r="H6" s="495"/>
      <c r="R6" s="571" t="s">
        <v>170</v>
      </c>
      <c r="S6" s="571"/>
      <c r="T6" s="400">
        <f t="shared" ref="T6:AE6" si="3">_xlfn.PERCENTILE.EXC(C12:C612,0.5)</f>
        <v>11.134283065795898</v>
      </c>
      <c r="U6" s="401">
        <f t="shared" si="3"/>
        <v>10.854950904846191</v>
      </c>
      <c r="V6" s="401">
        <f t="shared" si="3"/>
        <v>9.3216094970703125</v>
      </c>
      <c r="W6" s="401">
        <f t="shared" si="3"/>
        <v>6.4912319183349609</v>
      </c>
      <c r="X6" s="401">
        <f t="shared" si="3"/>
        <v>3.027153491973877</v>
      </c>
      <c r="Y6" s="401">
        <f t="shared" si="3"/>
        <v>0.640647292137146</v>
      </c>
      <c r="Z6" s="401">
        <f t="shared" si="3"/>
        <v>0.32523810863494873</v>
      </c>
      <c r="AA6" s="401">
        <f t="shared" si="3"/>
        <v>0.19344787299633026</v>
      </c>
      <c r="AB6" s="401">
        <f t="shared" si="3"/>
        <v>0.1700049489736557</v>
      </c>
      <c r="AC6" s="401">
        <f t="shared" si="3"/>
        <v>0.7970806360244751</v>
      </c>
      <c r="AD6" s="401">
        <f t="shared" si="3"/>
        <v>3.5252237319946289</v>
      </c>
      <c r="AE6" s="402">
        <f t="shared" si="3"/>
        <v>6.6811389923095703</v>
      </c>
    </row>
    <row r="7" spans="1:31" ht="13">
      <c r="B7" s="664" t="s">
        <v>3</v>
      </c>
      <c r="C7" s="664"/>
      <c r="D7" s="664"/>
      <c r="E7" s="589" t="s">
        <v>4</v>
      </c>
      <c r="F7" s="589"/>
      <c r="G7" s="589"/>
      <c r="H7" s="589"/>
      <c r="R7" s="571" t="s">
        <v>172</v>
      </c>
      <c r="S7" s="571"/>
      <c r="T7" s="400">
        <f t="shared" ref="T7:AE7" si="4">AVERAGE(C12:C612)</f>
        <v>11.05514787492298</v>
      </c>
      <c r="U7" s="401">
        <f t="shared" si="4"/>
        <v>11.588572592962356</v>
      </c>
      <c r="V7" s="401">
        <f t="shared" si="4"/>
        <v>9.3487191654386983</v>
      </c>
      <c r="W7" s="401">
        <f t="shared" si="4"/>
        <v>6.2882483686719626</v>
      </c>
      <c r="X7" s="401">
        <f t="shared" si="4"/>
        <v>3.1499466385160173</v>
      </c>
      <c r="Y7" s="401">
        <f t="shared" si="4"/>
        <v>0.7025487110728309</v>
      </c>
      <c r="Z7" s="401">
        <f t="shared" si="4"/>
        <v>0.31675358542374205</v>
      </c>
      <c r="AA7" s="401">
        <f t="shared" si="4"/>
        <v>0.19891571643806638</v>
      </c>
      <c r="AB7" s="401">
        <f t="shared" si="4"/>
        <v>0.18405478766986302</v>
      </c>
      <c r="AC7" s="401">
        <f t="shared" si="4"/>
        <v>1.0753136234624046</v>
      </c>
      <c r="AD7" s="401">
        <f t="shared" si="4"/>
        <v>3.6734423069726851</v>
      </c>
      <c r="AE7" s="402">
        <f t="shared" si="4"/>
        <v>6.9098148118881948</v>
      </c>
    </row>
    <row r="8" spans="1:31" ht="15" customHeight="1">
      <c r="B8" s="607"/>
      <c r="C8" s="607"/>
      <c r="D8" s="607"/>
      <c r="E8" s="477"/>
      <c r="R8" s="571" t="s">
        <v>173</v>
      </c>
      <c r="S8" s="571"/>
      <c r="T8" s="397">
        <f t="shared" ref="T8:AE8" si="5">_xlfn.PERCENTILE.EXC(C12:C612,0.75)</f>
        <v>13.097288131713867</v>
      </c>
      <c r="U8" s="398">
        <f t="shared" si="5"/>
        <v>14.133959770202637</v>
      </c>
      <c r="V8" s="398">
        <f t="shared" si="5"/>
        <v>10.797235012054443</v>
      </c>
      <c r="W8" s="398">
        <f t="shared" si="5"/>
        <v>7.8829631805419922</v>
      </c>
      <c r="X8" s="398">
        <f t="shared" si="5"/>
        <v>3.8976856470108032</v>
      </c>
      <c r="Y8" s="398">
        <f t="shared" si="5"/>
        <v>0.81301099061965942</v>
      </c>
      <c r="Z8" s="398">
        <f t="shared" si="5"/>
        <v>0.36814823746681213</v>
      </c>
      <c r="AA8" s="398">
        <f t="shared" si="5"/>
        <v>0.22766569256782532</v>
      </c>
      <c r="AB8" s="398">
        <f t="shared" si="5"/>
        <v>0.1996198371052742</v>
      </c>
      <c r="AC8" s="398">
        <f t="shared" si="5"/>
        <v>1.5125589966773987</v>
      </c>
      <c r="AD8" s="398">
        <f t="shared" si="5"/>
        <v>4.6070291996002197</v>
      </c>
      <c r="AE8" s="399">
        <f t="shared" si="5"/>
        <v>8.1166329383850098</v>
      </c>
    </row>
    <row r="9" spans="1:31" ht="13">
      <c r="B9" s="607"/>
      <c r="C9" s="607"/>
      <c r="D9" s="607"/>
      <c r="R9" s="571" t="s">
        <v>174</v>
      </c>
      <c r="S9" s="571"/>
      <c r="T9" s="400">
        <f t="shared" ref="T9:AE9" si="6">MAX(C12:C612)</f>
        <v>19.188316345214844</v>
      </c>
      <c r="U9" s="401">
        <f t="shared" si="6"/>
        <v>17.723316192626953</v>
      </c>
      <c r="V9" s="401">
        <f t="shared" si="6"/>
        <v>15.186528205871582</v>
      </c>
      <c r="W9" s="401">
        <f t="shared" si="6"/>
        <v>10.988005638122559</v>
      </c>
      <c r="X9" s="401">
        <f t="shared" si="6"/>
        <v>8.112788200378418</v>
      </c>
      <c r="Y9" s="401">
        <f t="shared" si="6"/>
        <v>1.6174857616424561</v>
      </c>
      <c r="Z9" s="401">
        <f t="shared" si="6"/>
        <v>0.56505590677261353</v>
      </c>
      <c r="AA9" s="401">
        <f t="shared" si="6"/>
        <v>0.31778791546821594</v>
      </c>
      <c r="AB9" s="401">
        <f t="shared" si="6"/>
        <v>0.39530849456787109</v>
      </c>
      <c r="AC9" s="401">
        <f t="shared" si="6"/>
        <v>2.2172644138336182</v>
      </c>
      <c r="AD9" s="401">
        <f t="shared" si="6"/>
        <v>5.012505054473877</v>
      </c>
      <c r="AE9" s="402">
        <f t="shared" si="6"/>
        <v>10.494664192199707</v>
      </c>
    </row>
    <row r="10" spans="1:31" ht="13">
      <c r="R10" s="576" t="s">
        <v>175</v>
      </c>
      <c r="S10" s="576"/>
      <c r="T10" s="403">
        <f>T8-T5</f>
        <v>4.0496535301208496</v>
      </c>
      <c r="U10" s="404">
        <f t="shared" ref="U10:AE10" si="7">U8-U5</f>
        <v>4.8698930740356445</v>
      </c>
      <c r="V10" s="404">
        <f t="shared" si="7"/>
        <v>3.466238260269165</v>
      </c>
      <c r="W10" s="404">
        <f t="shared" si="7"/>
        <v>3.622061014175415</v>
      </c>
      <c r="X10" s="404">
        <f t="shared" si="7"/>
        <v>2.1507251858711243</v>
      </c>
      <c r="Y10" s="404">
        <f t="shared" si="7"/>
        <v>0.32873901724815369</v>
      </c>
      <c r="Z10" s="404">
        <f t="shared" si="7"/>
        <v>0.11736488342285156</v>
      </c>
      <c r="AA10" s="404">
        <f t="shared" si="7"/>
        <v>6.6704213619232178E-2</v>
      </c>
      <c r="AB10" s="404">
        <f t="shared" si="7"/>
        <v>4.8462167382240295E-2</v>
      </c>
      <c r="AC10" s="404">
        <f t="shared" si="7"/>
        <v>0.98535916209220886</v>
      </c>
      <c r="AD10" s="404">
        <f t="shared" si="7"/>
        <v>1.643582820892334</v>
      </c>
      <c r="AE10" s="405">
        <f t="shared" si="7"/>
        <v>2.7592580318450928</v>
      </c>
    </row>
    <row r="11" spans="1:31" ht="14.5">
      <c r="R11" s="577" t="s">
        <v>176</v>
      </c>
      <c r="S11" s="577"/>
      <c r="T11" s="406">
        <f>_xlfn.STDEV.S(C12:C612)</f>
        <v>3.3690733109341471</v>
      </c>
      <c r="U11" s="407">
        <f t="shared" ref="U11:AE11" si="8">_xlfn.STDEV.S(D12:D612)</f>
        <v>3.3024536473456494</v>
      </c>
      <c r="V11" s="407">
        <f t="shared" si="8"/>
        <v>2.5945899239257457</v>
      </c>
      <c r="W11" s="407">
        <f t="shared" si="8"/>
        <v>2.1523625014982017</v>
      </c>
      <c r="X11" s="407">
        <f t="shared" si="8"/>
        <v>1.6932626812700733</v>
      </c>
      <c r="Y11" s="407">
        <f t="shared" si="8"/>
        <v>0.3007445726600072</v>
      </c>
      <c r="Z11" s="407">
        <f t="shared" si="8"/>
        <v>8.6853966980304051E-2</v>
      </c>
      <c r="AA11" s="407">
        <f t="shared" si="8"/>
        <v>4.3416460803478406E-2</v>
      </c>
      <c r="AB11" s="407">
        <f t="shared" si="8"/>
        <v>5.7700419712633143E-2</v>
      </c>
      <c r="AC11" s="407">
        <f t="shared" si="8"/>
        <v>0.62735076318820115</v>
      </c>
      <c r="AD11" s="407">
        <f t="shared" si="8"/>
        <v>0.90169418898148346</v>
      </c>
      <c r="AE11" s="408">
        <f t="shared" si="8"/>
        <v>1.8551474498594338</v>
      </c>
    </row>
    <row r="12" spans="1:31" ht="14.5">
      <c r="B12" s="338"/>
      <c r="C12" s="337"/>
      <c r="D12" s="337"/>
      <c r="E12" s="337"/>
      <c r="F12" s="337"/>
      <c r="G12" s="337"/>
      <c r="H12" s="337"/>
      <c r="I12" s="337"/>
      <c r="J12" s="337"/>
      <c r="K12" s="337"/>
      <c r="L12" s="337"/>
      <c r="M12" s="337"/>
      <c r="N12" s="337"/>
      <c r="O12" s="337"/>
      <c r="R12" s="569" t="s">
        <v>177</v>
      </c>
      <c r="S12" s="569"/>
      <c r="T12" s="409">
        <f>SKEW(C12:C612)</f>
        <v>0.50662860500002238</v>
      </c>
      <c r="U12" s="410">
        <f t="shared" ref="U12:AE12" si="9">SKEW(D12:D612)</f>
        <v>0.28169621839482251</v>
      </c>
      <c r="V12" s="410">
        <f t="shared" si="9"/>
        <v>0.18561889176061122</v>
      </c>
      <c r="W12" s="410">
        <f t="shared" si="9"/>
        <v>0.23120959713143863</v>
      </c>
      <c r="X12" s="410">
        <f t="shared" si="9"/>
        <v>1.4554945875256744</v>
      </c>
      <c r="Y12" s="410">
        <f t="shared" si="9"/>
        <v>1.6663518015653882</v>
      </c>
      <c r="Z12" s="410">
        <f t="shared" si="9"/>
        <v>0.95645547833947575</v>
      </c>
      <c r="AA12" s="410">
        <f t="shared" si="9"/>
        <v>0.75947702293746822</v>
      </c>
      <c r="AB12" s="410">
        <f t="shared" si="9"/>
        <v>2.6748030049994784</v>
      </c>
      <c r="AC12" s="410">
        <f t="shared" si="9"/>
        <v>0.60558387193722618</v>
      </c>
      <c r="AD12" s="410">
        <f t="shared" si="9"/>
        <v>0.11387143210620437</v>
      </c>
      <c r="AE12" s="411">
        <f t="shared" si="9"/>
        <v>0.45293687496674812</v>
      </c>
    </row>
    <row r="13" spans="1:31" ht="16.25" customHeight="1">
      <c r="B13" s="662" t="s">
        <v>32</v>
      </c>
      <c r="C13" s="617" t="s">
        <v>191</v>
      </c>
      <c r="D13" s="617"/>
      <c r="E13" s="617"/>
      <c r="F13" s="617"/>
      <c r="G13" s="617"/>
      <c r="H13" s="617"/>
      <c r="I13" s="617"/>
      <c r="J13" s="617"/>
      <c r="K13" s="617"/>
      <c r="L13" s="617"/>
      <c r="M13" s="617"/>
      <c r="N13" s="618"/>
      <c r="O13" s="619" t="s">
        <v>192</v>
      </c>
    </row>
    <row r="14" spans="1:31" ht="14.5">
      <c r="B14" s="663"/>
      <c r="C14" s="51" t="s">
        <v>193</v>
      </c>
      <c r="D14" s="51" t="s">
        <v>194</v>
      </c>
      <c r="E14" s="51" t="s">
        <v>195</v>
      </c>
      <c r="F14" s="51" t="s">
        <v>196</v>
      </c>
      <c r="G14" s="51" t="s">
        <v>197</v>
      </c>
      <c r="H14" s="51" t="s">
        <v>198</v>
      </c>
      <c r="I14" s="51" t="s">
        <v>199</v>
      </c>
      <c r="J14" s="51" t="s">
        <v>200</v>
      </c>
      <c r="K14" s="51" t="s">
        <v>201</v>
      </c>
      <c r="L14" s="51" t="s">
        <v>202</v>
      </c>
      <c r="M14" s="51" t="s">
        <v>203</v>
      </c>
      <c r="N14" s="51" t="s">
        <v>204</v>
      </c>
      <c r="O14" s="620"/>
    </row>
    <row r="15" spans="1:31" ht="13">
      <c r="B15" s="545" t="s">
        <v>243</v>
      </c>
      <c r="C15" s="533">
        <v>5.8532462120056152</v>
      </c>
      <c r="D15" s="533">
        <v>11.145254135131836</v>
      </c>
      <c r="E15" s="533">
        <v>15.186528205871582</v>
      </c>
      <c r="F15" s="533">
        <v>10.988005638122559</v>
      </c>
      <c r="G15" s="533">
        <v>5.9963335990905762</v>
      </c>
      <c r="H15" s="533">
        <v>1.2633839845657349</v>
      </c>
      <c r="I15" s="533">
        <v>0.42952033877372742</v>
      </c>
      <c r="J15" s="533">
        <v>0.24439270794391632</v>
      </c>
      <c r="K15" s="533">
        <v>0.19109344482421875</v>
      </c>
      <c r="L15" s="533">
        <v>0.46813070774078369</v>
      </c>
      <c r="M15" s="533">
        <v>5.012505054473877</v>
      </c>
      <c r="N15" s="535">
        <v>6.2942404747009277</v>
      </c>
      <c r="O15" s="541">
        <f t="shared" ref="O15:O35" si="10">MAX(C15:N15) - MIN(C15:N15)</f>
        <v>14.995434761047363</v>
      </c>
      <c r="T15" s="608" t="s">
        <v>206</v>
      </c>
      <c r="U15" s="608"/>
      <c r="V15" s="608"/>
      <c r="W15" s="608"/>
      <c r="X15" s="608"/>
      <c r="Y15" s="608"/>
      <c r="Z15" s="608"/>
      <c r="AA15" s="608"/>
      <c r="AB15" s="608"/>
      <c r="AC15" s="608"/>
      <c r="AD15" s="608"/>
      <c r="AE15" s="608"/>
    </row>
    <row r="16" spans="1:31" ht="13">
      <c r="B16" s="546" t="s">
        <v>244</v>
      </c>
      <c r="C16" s="532">
        <v>9.8762121200561523</v>
      </c>
      <c r="D16" s="532">
        <v>9.1097564697265625</v>
      </c>
      <c r="E16" s="532">
        <v>6.0758213996887207</v>
      </c>
      <c r="F16" s="532">
        <v>4.3477687835693359</v>
      </c>
      <c r="G16" s="532">
        <v>2.2519643306732178</v>
      </c>
      <c r="H16" s="532">
        <v>0.49244540929794312</v>
      </c>
      <c r="I16" s="532">
        <v>0.22985509037971497</v>
      </c>
      <c r="J16" s="532">
        <v>0.15357428789138794</v>
      </c>
      <c r="K16" s="532">
        <v>0.15724971890449524</v>
      </c>
      <c r="L16" s="532">
        <v>2.1457951068878174</v>
      </c>
      <c r="M16" s="532">
        <v>4.8785758018493652</v>
      </c>
      <c r="N16" s="536">
        <v>9.3898658752441406</v>
      </c>
      <c r="O16" s="542">
        <f t="shared" si="10"/>
        <v>9.7226378321647644</v>
      </c>
      <c r="R16" s="609"/>
      <c r="S16" s="610"/>
      <c r="T16" s="56" t="str">
        <f t="shared" ref="T16:AE16" si="11">C14</f>
        <v>Jan</v>
      </c>
      <c r="U16" s="56" t="str">
        <f t="shared" si="11"/>
        <v>Feb</v>
      </c>
      <c r="V16" s="56" t="str">
        <f t="shared" si="11"/>
        <v>Mar</v>
      </c>
      <c r="W16" s="56" t="str">
        <f t="shared" si="11"/>
        <v>Apr</v>
      </c>
      <c r="X16" s="56" t="str">
        <f t="shared" si="11"/>
        <v>May</v>
      </c>
      <c r="Y16" s="56" t="str">
        <f t="shared" si="11"/>
        <v>Jun</v>
      </c>
      <c r="Z16" s="56" t="str">
        <f t="shared" si="11"/>
        <v>Jul</v>
      </c>
      <c r="AA16" s="56" t="str">
        <f t="shared" si="11"/>
        <v>Aug</v>
      </c>
      <c r="AB16" s="56" t="str">
        <f t="shared" si="11"/>
        <v>Sep</v>
      </c>
      <c r="AC16" s="56" t="str">
        <f t="shared" si="11"/>
        <v>Oct</v>
      </c>
      <c r="AD16" s="56" t="str">
        <f t="shared" si="11"/>
        <v>Nov</v>
      </c>
      <c r="AE16" s="56" t="str">
        <f t="shared" si="11"/>
        <v>Dec</v>
      </c>
    </row>
    <row r="17" spans="2:33" ht="12.75" customHeight="1">
      <c r="B17" s="546" t="s">
        <v>245</v>
      </c>
      <c r="C17" s="532">
        <v>9.4327192306518555</v>
      </c>
      <c r="D17" s="532">
        <v>10.738139152526855</v>
      </c>
      <c r="E17" s="532">
        <v>9.5357084274291992</v>
      </c>
      <c r="F17" s="532">
        <v>8.0631942749023438</v>
      </c>
      <c r="G17" s="532">
        <v>3.898766040802002</v>
      </c>
      <c r="H17" s="532">
        <v>0.84741115570068359</v>
      </c>
      <c r="I17" s="532">
        <v>0.36743760108947754</v>
      </c>
      <c r="J17" s="532">
        <v>0.22871200740337372</v>
      </c>
      <c r="K17" s="532">
        <v>0.18377883732318878</v>
      </c>
      <c r="L17" s="532">
        <v>0.5863993763923645</v>
      </c>
      <c r="M17" s="532">
        <v>2.7863051891326904</v>
      </c>
      <c r="N17" s="536">
        <v>7.1623868942260742</v>
      </c>
      <c r="O17" s="542">
        <f t="shared" si="10"/>
        <v>10.554360315203667</v>
      </c>
      <c r="R17" s="611" t="s">
        <v>209</v>
      </c>
      <c r="S17" s="612"/>
      <c r="T17" s="85">
        <v>0.4761904776096344</v>
      </c>
      <c r="U17" s="86">
        <v>0.380952388048172</v>
      </c>
      <c r="V17" s="86">
        <v>0.1428571492433548</v>
      </c>
      <c r="W17" s="86">
        <v>0</v>
      </c>
      <c r="X17" s="86">
        <v>0</v>
      </c>
      <c r="Y17" s="86">
        <v>0</v>
      </c>
      <c r="Z17" s="86">
        <v>0</v>
      </c>
      <c r="AA17" s="86">
        <v>0</v>
      </c>
      <c r="AB17" s="86">
        <v>0</v>
      </c>
      <c r="AC17" s="86">
        <v>0</v>
      </c>
      <c r="AD17" s="86">
        <v>0</v>
      </c>
      <c r="AE17" s="87">
        <v>0</v>
      </c>
    </row>
    <row r="18" spans="2:33" ht="13.5" customHeight="1">
      <c r="B18" s="546" t="s">
        <v>246</v>
      </c>
      <c r="C18" s="532">
        <v>11.134283065795898</v>
      </c>
      <c r="D18" s="532">
        <v>15.322004318237305</v>
      </c>
      <c r="E18" s="532">
        <v>9.285578727722168</v>
      </c>
      <c r="F18" s="532">
        <v>7.9134621620178223</v>
      </c>
      <c r="G18" s="532">
        <v>8.112788200378418</v>
      </c>
      <c r="H18" s="532">
        <v>1.6174857616424561</v>
      </c>
      <c r="I18" s="532">
        <v>0.56505590677261353</v>
      </c>
      <c r="J18" s="532">
        <v>0.31778791546821594</v>
      </c>
      <c r="K18" s="532">
        <v>0.39530849456787109</v>
      </c>
      <c r="L18" s="532">
        <v>1.4682791233062744</v>
      </c>
      <c r="M18" s="532">
        <v>4.8367586135864258</v>
      </c>
      <c r="N18" s="536">
        <v>9.1820735931396484</v>
      </c>
      <c r="O18" s="542">
        <f t="shared" si="10"/>
        <v>15.004216402769089</v>
      </c>
      <c r="R18" s="613" t="s">
        <v>211</v>
      </c>
      <c r="S18" s="614"/>
      <c r="T18" s="88">
        <v>0</v>
      </c>
      <c r="U18" s="89">
        <v>0</v>
      </c>
      <c r="V18" s="89">
        <v>0</v>
      </c>
      <c r="W18" s="89">
        <v>0</v>
      </c>
      <c r="X18" s="89">
        <v>0</v>
      </c>
      <c r="Y18" s="89">
        <v>0</v>
      </c>
      <c r="Z18" s="89">
        <v>0</v>
      </c>
      <c r="AA18" s="89">
        <v>0.28571429848670959</v>
      </c>
      <c r="AB18" s="89">
        <v>0.71428573131561279</v>
      </c>
      <c r="AC18" s="89">
        <v>0</v>
      </c>
      <c r="AD18" s="89">
        <v>0</v>
      </c>
      <c r="AE18" s="90">
        <v>0</v>
      </c>
    </row>
    <row r="19" spans="2:33">
      <c r="B19" s="546" t="s">
        <v>247</v>
      </c>
      <c r="C19" s="532">
        <v>16.027027130126953</v>
      </c>
      <c r="D19" s="532">
        <v>14.67814826965332</v>
      </c>
      <c r="E19" s="532">
        <v>12.10792350769043</v>
      </c>
      <c r="F19" s="532">
        <v>6.2122464179992676</v>
      </c>
      <c r="G19" s="532">
        <v>2.7656295299530029</v>
      </c>
      <c r="H19" s="532">
        <v>0.68388199806213379</v>
      </c>
      <c r="I19" s="532">
        <v>0.3450513482093811</v>
      </c>
      <c r="J19" s="532">
        <v>0.23291109502315521</v>
      </c>
      <c r="K19" s="532">
        <v>0.2156284898519516</v>
      </c>
      <c r="L19" s="532">
        <v>2.0616016387939453</v>
      </c>
      <c r="M19" s="532">
        <v>4.9747219085693359</v>
      </c>
      <c r="N19" s="536">
        <v>10.494664192199707</v>
      </c>
      <c r="O19" s="542">
        <f t="shared" si="10"/>
        <v>15.811398640275002</v>
      </c>
    </row>
    <row r="20" spans="2:33">
      <c r="B20" s="546" t="s">
        <v>248</v>
      </c>
      <c r="C20" s="532">
        <v>13.651628494262695</v>
      </c>
      <c r="D20" s="532">
        <v>13.450234413146973</v>
      </c>
      <c r="E20" s="532">
        <v>5.9740414619445801</v>
      </c>
      <c r="F20" s="532">
        <v>4.6446738243103027</v>
      </c>
      <c r="G20" s="532">
        <v>3.027153491973877</v>
      </c>
      <c r="H20" s="532">
        <v>0.60496413707733154</v>
      </c>
      <c r="I20" s="532">
        <v>0.29103150963783264</v>
      </c>
      <c r="J20" s="532">
        <v>0.19005320966243744</v>
      </c>
      <c r="K20" s="532">
        <v>0.14693702757358551</v>
      </c>
      <c r="L20" s="532">
        <v>0.77913355827331543</v>
      </c>
      <c r="M20" s="532">
        <v>2.1514289379119873</v>
      </c>
      <c r="N20" s="536">
        <v>5.6621642112731934</v>
      </c>
      <c r="O20" s="542">
        <f t="shared" si="10"/>
        <v>13.50469146668911</v>
      </c>
    </row>
    <row r="21" spans="2:33">
      <c r="B21" s="546" t="s">
        <v>249</v>
      </c>
      <c r="C21" s="532">
        <v>8.8171195983886719</v>
      </c>
      <c r="D21" s="532">
        <v>12.618202209472656</v>
      </c>
      <c r="E21" s="532">
        <v>12.376887321472168</v>
      </c>
      <c r="F21" s="532">
        <v>7.1308517456054688</v>
      </c>
      <c r="G21" s="532">
        <v>1.7184877395629883</v>
      </c>
      <c r="H21" s="532">
        <v>0.53262144327163696</v>
      </c>
      <c r="I21" s="532">
        <v>0.28113698959350586</v>
      </c>
      <c r="J21" s="532">
        <v>0.18266862630844116</v>
      </c>
      <c r="K21" s="532">
        <v>0.1553783118724823</v>
      </c>
      <c r="L21" s="532">
        <v>1.2495659589767456</v>
      </c>
      <c r="M21" s="532">
        <v>3.7372753620147705</v>
      </c>
      <c r="N21" s="536">
        <v>10.240265846252441</v>
      </c>
      <c r="O21" s="542">
        <f t="shared" si="10"/>
        <v>12.462823897600174</v>
      </c>
      <c r="S21" s="91"/>
      <c r="T21" s="91" t="str">
        <f>T3</f>
        <v>Jan</v>
      </c>
      <c r="U21" s="91" t="str">
        <f t="shared" ref="U21:AE21" si="12">U3</f>
        <v>Feb</v>
      </c>
      <c r="V21" s="91" t="str">
        <f t="shared" si="12"/>
        <v>Mar</v>
      </c>
      <c r="W21" s="91" t="str">
        <f t="shared" si="12"/>
        <v>Apr</v>
      </c>
      <c r="X21" s="91" t="str">
        <f t="shared" si="12"/>
        <v>May</v>
      </c>
      <c r="Y21" s="91" t="str">
        <f t="shared" si="12"/>
        <v>Jun</v>
      </c>
      <c r="Z21" s="91" t="str">
        <f t="shared" si="12"/>
        <v>Jul</v>
      </c>
      <c r="AA21" s="91" t="str">
        <f t="shared" si="12"/>
        <v>Aug</v>
      </c>
      <c r="AB21" s="91" t="str">
        <f t="shared" si="12"/>
        <v>Sep</v>
      </c>
      <c r="AC21" s="91" t="str">
        <f t="shared" si="12"/>
        <v>Oct</v>
      </c>
      <c r="AD21" s="91" t="str">
        <f t="shared" si="12"/>
        <v>Nov</v>
      </c>
      <c r="AE21" s="91" t="str">
        <f t="shared" si="12"/>
        <v>Dec</v>
      </c>
      <c r="AG21" s="48" t="str">
        <f>CONCATENATE("MONTHLY CONTRIBUTIONS IN ",UPPER(REPORTS!$AB$2)," (hm³)")</f>
        <v>MONTHLY CONTRIBUTIONS IN ALTERED FLOW (hm³)</v>
      </c>
    </row>
    <row r="22" spans="2:33">
      <c r="B22" s="546" t="s">
        <v>250</v>
      </c>
      <c r="C22" s="532">
        <v>19.188316345214844</v>
      </c>
      <c r="D22" s="532">
        <v>17.560453414916992</v>
      </c>
      <c r="E22" s="532">
        <v>10.894952774047852</v>
      </c>
      <c r="F22" s="532">
        <v>6.0397911071777344</v>
      </c>
      <c r="G22" s="532">
        <v>2.3536911010742188</v>
      </c>
      <c r="H22" s="532">
        <v>0.61531484127044678</v>
      </c>
      <c r="I22" s="532">
        <v>0.33407598733901978</v>
      </c>
      <c r="J22" s="532">
        <v>0.22383910417556763</v>
      </c>
      <c r="K22" s="532">
        <v>0.25941428542137146</v>
      </c>
      <c r="L22" s="532">
        <v>0.76281088590621948</v>
      </c>
      <c r="M22" s="532">
        <v>3.3895668983459473</v>
      </c>
      <c r="N22" s="536">
        <v>4.7807450294494629</v>
      </c>
      <c r="O22" s="542">
        <f t="shared" si="10"/>
        <v>18.964477241039276</v>
      </c>
      <c r="S22" s="91" t="s">
        <v>251</v>
      </c>
      <c r="T22" s="92">
        <f>T5</f>
        <v>9.0476346015930176</v>
      </c>
      <c r="U22" s="92">
        <f t="shared" ref="U22:AE25" si="13">U5</f>
        <v>9.2640666961669922</v>
      </c>
      <c r="V22" s="92">
        <f t="shared" si="13"/>
        <v>7.3309967517852783</v>
      </c>
      <c r="W22" s="92">
        <f t="shared" si="13"/>
        <v>4.2609021663665771</v>
      </c>
      <c r="X22" s="92">
        <f t="shared" si="13"/>
        <v>1.746960461139679</v>
      </c>
      <c r="Y22" s="92">
        <f t="shared" si="13"/>
        <v>0.48427197337150574</v>
      </c>
      <c r="Z22" s="92">
        <f t="shared" si="13"/>
        <v>0.25078335404396057</v>
      </c>
      <c r="AA22" s="92">
        <f t="shared" si="13"/>
        <v>0.16096147894859314</v>
      </c>
      <c r="AB22" s="92">
        <f t="shared" si="13"/>
        <v>0.15115766972303391</v>
      </c>
      <c r="AC22" s="92">
        <f t="shared" si="13"/>
        <v>0.52719983458518982</v>
      </c>
      <c r="AD22" s="92">
        <f t="shared" si="13"/>
        <v>2.9634463787078857</v>
      </c>
      <c r="AE22" s="92">
        <f t="shared" si="13"/>
        <v>5.357374906539917</v>
      </c>
    </row>
    <row r="23" spans="2:33">
      <c r="B23" s="546" t="s">
        <v>252</v>
      </c>
      <c r="C23" s="532">
        <v>11.140933990478516</v>
      </c>
      <c r="D23" s="532">
        <v>11.61207389831543</v>
      </c>
      <c r="E23" s="532">
        <v>6.8573079109191895</v>
      </c>
      <c r="F23" s="532">
        <v>6.9682469367980957</v>
      </c>
      <c r="G23" s="532">
        <v>4.0537238121032715</v>
      </c>
      <c r="H23" s="532">
        <v>0.76716285943984985</v>
      </c>
      <c r="I23" s="532">
        <v>0.34026739001274109</v>
      </c>
      <c r="J23" s="532">
        <v>0.20315662026405334</v>
      </c>
      <c r="K23" s="532">
        <v>0.20368194580078125</v>
      </c>
      <c r="L23" s="532">
        <v>1.3441611528396606</v>
      </c>
      <c r="M23" s="532">
        <v>2.9386279582977295</v>
      </c>
      <c r="N23" s="536">
        <v>7.1851105690002441</v>
      </c>
      <c r="O23" s="542">
        <f t="shared" si="10"/>
        <v>11.408917278051376</v>
      </c>
      <c r="S23" s="91" t="s">
        <v>253</v>
      </c>
      <c r="T23" s="92">
        <f>T6</f>
        <v>11.134283065795898</v>
      </c>
      <c r="U23" s="92">
        <f t="shared" si="13"/>
        <v>10.854950904846191</v>
      </c>
      <c r="V23" s="92">
        <f t="shared" si="13"/>
        <v>9.3216094970703125</v>
      </c>
      <c r="W23" s="92">
        <f t="shared" si="13"/>
        <v>6.4912319183349609</v>
      </c>
      <c r="X23" s="92">
        <f t="shared" si="13"/>
        <v>3.027153491973877</v>
      </c>
      <c r="Y23" s="92">
        <f t="shared" si="13"/>
        <v>0.640647292137146</v>
      </c>
      <c r="Z23" s="92">
        <f t="shared" si="13"/>
        <v>0.32523810863494873</v>
      </c>
      <c r="AA23" s="92">
        <f t="shared" si="13"/>
        <v>0.19344787299633026</v>
      </c>
      <c r="AB23" s="92">
        <f t="shared" si="13"/>
        <v>0.1700049489736557</v>
      </c>
      <c r="AC23" s="92">
        <f t="shared" si="13"/>
        <v>0.7970806360244751</v>
      </c>
      <c r="AD23" s="92">
        <f t="shared" si="13"/>
        <v>3.5252237319946289</v>
      </c>
      <c r="AE23" s="92">
        <f t="shared" si="13"/>
        <v>6.6811389923095703</v>
      </c>
    </row>
    <row r="24" spans="2:33">
      <c r="B24" s="546" t="s">
        <v>254</v>
      </c>
      <c r="C24" s="532">
        <v>12.542947769165039</v>
      </c>
      <c r="D24" s="532">
        <v>6.3230972290039063</v>
      </c>
      <c r="E24" s="532">
        <v>4.3456778526306152</v>
      </c>
      <c r="F24" s="532">
        <v>3.1278958320617676</v>
      </c>
      <c r="G24" s="532">
        <v>1.7655668258666992</v>
      </c>
      <c r="H24" s="532">
        <v>0.37948435544967651</v>
      </c>
      <c r="I24" s="532">
        <v>0.19043853878974915</v>
      </c>
      <c r="J24" s="532">
        <v>0.13675825297832489</v>
      </c>
      <c r="K24" s="532">
        <v>0.12839645147323608</v>
      </c>
      <c r="L24" s="532">
        <v>1.5568388700485229</v>
      </c>
      <c r="M24" s="532">
        <v>3.415910005569458</v>
      </c>
      <c r="N24" s="536">
        <v>7.3445186614990234</v>
      </c>
      <c r="O24" s="542">
        <f t="shared" si="10"/>
        <v>12.414551317691803</v>
      </c>
      <c r="S24" s="91" t="s">
        <v>163</v>
      </c>
      <c r="T24" s="92">
        <f>T7</f>
        <v>11.05514787492298</v>
      </c>
      <c r="U24" s="92">
        <f t="shared" si="13"/>
        <v>11.588572592962356</v>
      </c>
      <c r="V24" s="92">
        <f t="shared" si="13"/>
        <v>9.3487191654386983</v>
      </c>
      <c r="W24" s="92">
        <f t="shared" si="13"/>
        <v>6.2882483686719626</v>
      </c>
      <c r="X24" s="92">
        <f t="shared" si="13"/>
        <v>3.1499466385160173</v>
      </c>
      <c r="Y24" s="92">
        <f t="shared" si="13"/>
        <v>0.7025487110728309</v>
      </c>
      <c r="Z24" s="92">
        <f t="shared" si="13"/>
        <v>0.31675358542374205</v>
      </c>
      <c r="AA24" s="92">
        <f t="shared" si="13"/>
        <v>0.19891571643806638</v>
      </c>
      <c r="AB24" s="92">
        <f t="shared" si="13"/>
        <v>0.18405478766986302</v>
      </c>
      <c r="AC24" s="92">
        <f t="shared" si="13"/>
        <v>1.0753136234624046</v>
      </c>
      <c r="AD24" s="92">
        <f t="shared" si="13"/>
        <v>3.6734423069726851</v>
      </c>
      <c r="AE24" s="92">
        <f t="shared" si="13"/>
        <v>6.9098148118881948</v>
      </c>
    </row>
    <row r="25" spans="2:33">
      <c r="B25" s="546" t="s">
        <v>255</v>
      </c>
      <c r="C25" s="532">
        <v>14.50379753112793</v>
      </c>
      <c r="D25" s="532">
        <v>13.589771270751953</v>
      </c>
      <c r="E25" s="532">
        <v>12.822017669677734</v>
      </c>
      <c r="F25" s="532">
        <v>8.3007078170776367</v>
      </c>
      <c r="G25" s="532">
        <v>3.2676997184753418</v>
      </c>
      <c r="H25" s="532">
        <v>0.84565722942352295</v>
      </c>
      <c r="I25" s="532">
        <v>0.3779049813747406</v>
      </c>
      <c r="J25" s="532">
        <v>0.23978069424629211</v>
      </c>
      <c r="K25" s="532">
        <v>0.20310996472835541</v>
      </c>
      <c r="L25" s="532">
        <v>0.52870059013366699</v>
      </c>
      <c r="M25" s="532">
        <v>2.988264799118042</v>
      </c>
      <c r="N25" s="536">
        <v>4.429288387298584</v>
      </c>
      <c r="O25" s="542">
        <f t="shared" si="10"/>
        <v>14.300687566399574</v>
      </c>
      <c r="S25" s="91" t="s">
        <v>256</v>
      </c>
      <c r="T25" s="92">
        <f>T8</f>
        <v>13.097288131713867</v>
      </c>
      <c r="U25" s="92">
        <f t="shared" si="13"/>
        <v>14.133959770202637</v>
      </c>
      <c r="V25" s="92">
        <f t="shared" si="13"/>
        <v>10.797235012054443</v>
      </c>
      <c r="W25" s="92">
        <f t="shared" si="13"/>
        <v>7.8829631805419922</v>
      </c>
      <c r="X25" s="92">
        <f t="shared" si="13"/>
        <v>3.8976856470108032</v>
      </c>
      <c r="Y25" s="92">
        <f t="shared" si="13"/>
        <v>0.81301099061965942</v>
      </c>
      <c r="Z25" s="92">
        <f t="shared" si="13"/>
        <v>0.36814823746681213</v>
      </c>
      <c r="AA25" s="92">
        <f t="shared" si="13"/>
        <v>0.22766569256782532</v>
      </c>
      <c r="AB25" s="92">
        <f t="shared" si="13"/>
        <v>0.1996198371052742</v>
      </c>
      <c r="AC25" s="92">
        <f t="shared" si="13"/>
        <v>1.5125589966773987</v>
      </c>
      <c r="AD25" s="92">
        <f t="shared" si="13"/>
        <v>4.6070291996002197</v>
      </c>
      <c r="AE25" s="92">
        <f t="shared" si="13"/>
        <v>8.1166329383850098</v>
      </c>
    </row>
    <row r="26" spans="2:33">
      <c r="B26" s="546" t="s">
        <v>257</v>
      </c>
      <c r="C26" s="532">
        <v>6.6452136039733887</v>
      </c>
      <c r="D26" s="532">
        <v>9.1847524642944336</v>
      </c>
      <c r="E26" s="532">
        <v>10.699517250061035</v>
      </c>
      <c r="F26" s="532">
        <v>6.0626883506774902</v>
      </c>
      <c r="G26" s="532">
        <v>1.7283540964126587</v>
      </c>
      <c r="H26" s="532">
        <v>0.47609853744506836</v>
      </c>
      <c r="I26" s="532">
        <v>0.25168752670288086</v>
      </c>
      <c r="J26" s="532">
        <v>0.15716420114040375</v>
      </c>
      <c r="K26" s="532">
        <v>0.1700049489736557</v>
      </c>
      <c r="L26" s="532">
        <v>2.2172644138336182</v>
      </c>
      <c r="M26" s="532">
        <v>2.9930078983306885</v>
      </c>
      <c r="N26" s="536">
        <v>5.9306693077087402</v>
      </c>
      <c r="O26" s="542">
        <f t="shared" si="10"/>
        <v>10.542353048920631</v>
      </c>
    </row>
    <row r="27" spans="2:33">
      <c r="B27" s="546" t="s">
        <v>258</v>
      </c>
      <c r="C27" s="532">
        <v>12.206851959228516</v>
      </c>
      <c r="D27" s="532">
        <v>9.6683311462402344</v>
      </c>
      <c r="E27" s="532">
        <v>9.3216094970703125</v>
      </c>
      <c r="F27" s="532">
        <v>3.5284464359283447</v>
      </c>
      <c r="G27" s="532">
        <v>3.1540234088897705</v>
      </c>
      <c r="H27" s="532">
        <v>0.640647292137146</v>
      </c>
      <c r="I27" s="532">
        <v>0.2883668839931488</v>
      </c>
      <c r="J27" s="532">
        <v>0.17424029111862183</v>
      </c>
      <c r="K27" s="532">
        <v>0.15915830433368683</v>
      </c>
      <c r="L27" s="532">
        <v>0.52569907903671265</v>
      </c>
      <c r="M27" s="532">
        <v>2.2467799186706543</v>
      </c>
      <c r="N27" s="536">
        <v>4.4008960723876953</v>
      </c>
      <c r="O27" s="542">
        <f t="shared" si="10"/>
        <v>12.047693654894829</v>
      </c>
    </row>
    <row r="28" spans="2:33">
      <c r="B28" s="546" t="s">
        <v>259</v>
      </c>
      <c r="C28" s="532">
        <v>7.4326472282409668</v>
      </c>
      <c r="D28" s="532">
        <v>8.7422113418579102</v>
      </c>
      <c r="E28" s="532">
        <v>10.66780948638916</v>
      </c>
      <c r="F28" s="532">
        <v>7.0927491188049316</v>
      </c>
      <c r="G28" s="532">
        <v>3.7936515808105469</v>
      </c>
      <c r="H28" s="532">
        <v>0.76686042547225952</v>
      </c>
      <c r="I28" s="532">
        <v>0.32523810863494873</v>
      </c>
      <c r="J28" s="532">
        <v>0.19344787299633026</v>
      </c>
      <c r="K28" s="532">
        <v>0.16095975041389465</v>
      </c>
      <c r="L28" s="532">
        <v>1.4268900156021118</v>
      </c>
      <c r="M28" s="532">
        <v>3.9320967197418213</v>
      </c>
      <c r="N28" s="536">
        <v>8.3531532287597656</v>
      </c>
      <c r="O28" s="542">
        <f t="shared" si="10"/>
        <v>10.506849735975266</v>
      </c>
    </row>
    <row r="29" spans="2:33">
      <c r="B29" s="546" t="s">
        <v>260</v>
      </c>
      <c r="C29" s="532">
        <v>10.636099815368652</v>
      </c>
      <c r="D29" s="532">
        <v>10.736409187316895</v>
      </c>
      <c r="E29" s="532">
        <v>8.3719015121459961</v>
      </c>
      <c r="F29" s="532">
        <v>7.8524641990661621</v>
      </c>
      <c r="G29" s="532">
        <v>1.8949680328369141</v>
      </c>
      <c r="H29" s="532">
        <v>0.5441213846206665</v>
      </c>
      <c r="I29" s="532">
        <v>0.27853548526763916</v>
      </c>
      <c r="J29" s="532">
        <v>0.19241277873516083</v>
      </c>
      <c r="K29" s="532">
        <v>0.16309209167957306</v>
      </c>
      <c r="L29" s="532">
        <v>0.7970806360244751</v>
      </c>
      <c r="M29" s="532">
        <v>3.3591024875640869</v>
      </c>
      <c r="N29" s="536">
        <v>5.967501163482666</v>
      </c>
      <c r="O29" s="542">
        <f t="shared" si="10"/>
        <v>10.573317095637321</v>
      </c>
    </row>
    <row r="30" spans="2:33" ht="12.75" customHeight="1">
      <c r="B30" s="547" t="s">
        <v>261</v>
      </c>
      <c r="C30" s="544">
        <v>14.778029441833496</v>
      </c>
      <c r="D30" s="544">
        <v>9.5618019104003906</v>
      </c>
      <c r="E30" s="532">
        <v>6.5956807136535645</v>
      </c>
      <c r="F30" s="532">
        <v>3.2873382568359375</v>
      </c>
      <c r="G30" s="532">
        <v>1.6329257488250732</v>
      </c>
      <c r="H30" s="532">
        <v>0.4144693911075592</v>
      </c>
      <c r="I30" s="532">
        <v>0.21630929410457611</v>
      </c>
      <c r="J30" s="532">
        <v>0.15540766716003418</v>
      </c>
      <c r="K30" s="532">
        <v>0.14149037003517151</v>
      </c>
      <c r="L30" s="532">
        <v>0.49989917874336243</v>
      </c>
      <c r="M30" s="532">
        <v>3.5252237319946289</v>
      </c>
      <c r="N30" s="536">
        <v>5.0525856018066406</v>
      </c>
      <c r="O30" s="542">
        <f t="shared" si="10"/>
        <v>14.636539071798325</v>
      </c>
    </row>
    <row r="31" spans="2:33">
      <c r="B31" s="547" t="s">
        <v>262</v>
      </c>
      <c r="C31" s="544">
        <v>9.6050882339477539</v>
      </c>
      <c r="D31" s="544">
        <v>17.723316192626953</v>
      </c>
      <c r="E31" s="532">
        <v>8.7810049057006836</v>
      </c>
      <c r="F31" s="532">
        <v>4.1740355491638184</v>
      </c>
      <c r="G31" s="532">
        <v>1.3168398141860962</v>
      </c>
      <c r="H31" s="532">
        <v>0.43738272786140442</v>
      </c>
      <c r="I31" s="532">
        <v>0.24987918138504028</v>
      </c>
      <c r="J31" s="532">
        <v>0.16475875675678253</v>
      </c>
      <c r="K31" s="532">
        <v>0.1305728405714035</v>
      </c>
      <c r="L31" s="532">
        <v>1.9329949617385864</v>
      </c>
      <c r="M31" s="532">
        <v>2.8017532825469971</v>
      </c>
      <c r="N31" s="536">
        <v>7.7091269493103027</v>
      </c>
      <c r="O31" s="542">
        <f t="shared" si="10"/>
        <v>17.59274335205555</v>
      </c>
    </row>
    <row r="32" spans="2:33">
      <c r="B32" s="548" t="s">
        <v>263</v>
      </c>
      <c r="C32" s="532">
        <v>11.882504463195801</v>
      </c>
      <c r="D32" s="532">
        <v>10.854950904846191</v>
      </c>
      <c r="E32" s="532">
        <v>10.185697555541992</v>
      </c>
      <c r="F32" s="532">
        <v>9.6011991500854492</v>
      </c>
      <c r="G32" s="532">
        <v>3.0302984714508057</v>
      </c>
      <c r="H32" s="532">
        <v>0.72161281108856201</v>
      </c>
      <c r="I32" s="532">
        <v>0.35046947002410889</v>
      </c>
      <c r="J32" s="532">
        <v>0.21285678446292877</v>
      </c>
      <c r="K32" s="532">
        <v>0.19612970948219299</v>
      </c>
      <c r="L32" s="532">
        <v>0.74345821142196655</v>
      </c>
      <c r="M32" s="532">
        <v>3.8452928066253662</v>
      </c>
      <c r="N32" s="536">
        <v>7.8801126480102539</v>
      </c>
      <c r="O32" s="542">
        <f t="shared" si="10"/>
        <v>11.686374753713608</v>
      </c>
    </row>
    <row r="33" spans="2:19">
      <c r="B33" s="549" t="s">
        <v>264</v>
      </c>
      <c r="C33" s="532">
        <v>11.483338356018066</v>
      </c>
      <c r="D33" s="532">
        <v>15.621118545532227</v>
      </c>
      <c r="E33" s="532">
        <v>9.6651363372802734</v>
      </c>
      <c r="F33" s="532">
        <v>6.4912319183349609</v>
      </c>
      <c r="G33" s="532">
        <v>3.8966052532196045</v>
      </c>
      <c r="H33" s="532">
        <v>0.7803647518157959</v>
      </c>
      <c r="I33" s="532">
        <v>0.36885887384414673</v>
      </c>
      <c r="J33" s="532">
        <v>0.22661937773227692</v>
      </c>
      <c r="K33" s="532">
        <v>0.18952271342277527</v>
      </c>
      <c r="L33" s="532">
        <v>0.32118943333625793</v>
      </c>
      <c r="M33" s="532">
        <v>4.9483094215393066</v>
      </c>
      <c r="N33" s="536">
        <v>6.2718625068664551</v>
      </c>
      <c r="O33" s="542">
        <f t="shared" si="10"/>
        <v>15.431595832109451</v>
      </c>
    </row>
    <row r="34" spans="2:19">
      <c r="B34" s="549" t="s">
        <v>265</v>
      </c>
      <c r="C34" s="532">
        <v>6.0419511795043945</v>
      </c>
      <c r="D34" s="532">
        <v>9.3433809280395508</v>
      </c>
      <c r="E34" s="532">
        <v>8.7676143646240234</v>
      </c>
      <c r="F34" s="532">
        <v>6.6964325904846191</v>
      </c>
      <c r="G34" s="532">
        <v>5.1668405532836914</v>
      </c>
      <c r="H34" s="532">
        <v>0.95200705528259277</v>
      </c>
      <c r="I34" s="532">
        <v>0.37520146369934082</v>
      </c>
      <c r="J34" s="532">
        <v>0.21292245388031006</v>
      </c>
      <c r="K34" s="532">
        <v>0.17090006172657013</v>
      </c>
      <c r="L34" s="532">
        <v>0.84181934595108032</v>
      </c>
      <c r="M34" s="532">
        <v>4.3772997856140137</v>
      </c>
      <c r="N34" s="536">
        <v>6.6811389923095703</v>
      </c>
      <c r="O34" s="542">
        <f t="shared" si="10"/>
        <v>9.1724808663129807</v>
      </c>
    </row>
    <row r="35" spans="2:19">
      <c r="B35" s="550" t="s">
        <v>266</v>
      </c>
      <c r="C35" s="534">
        <v>9.2781496047973633</v>
      </c>
      <c r="D35" s="534">
        <v>5.7766170501708984</v>
      </c>
      <c r="E35" s="534">
        <v>7.8046855926513672</v>
      </c>
      <c r="F35" s="534">
        <v>3.5297856330871582</v>
      </c>
      <c r="G35" s="534">
        <v>1.3225680589675903</v>
      </c>
      <c r="H35" s="534">
        <v>0.37014538049697876</v>
      </c>
      <c r="I35" s="534">
        <v>0.19550332427024841</v>
      </c>
      <c r="J35" s="534">
        <v>0.13376533985137939</v>
      </c>
      <c r="K35" s="534">
        <v>0.14334277808666229</v>
      </c>
      <c r="L35" s="534">
        <v>0.3238738477230072</v>
      </c>
      <c r="M35" s="534">
        <v>4.0034818649291992</v>
      </c>
      <c r="N35" s="537">
        <v>4.6937408447265625</v>
      </c>
      <c r="O35" s="543">
        <f t="shared" si="10"/>
        <v>9.1443842649459839</v>
      </c>
    </row>
    <row r="36" spans="2:19">
      <c r="B36" s="339"/>
      <c r="C36" s="337"/>
      <c r="D36" s="337"/>
      <c r="E36" s="337"/>
      <c r="F36" s="337"/>
      <c r="G36" s="337"/>
      <c r="H36" s="337"/>
      <c r="I36" s="337"/>
      <c r="J36" s="337"/>
      <c r="K36" s="337"/>
      <c r="L36" s="337"/>
      <c r="M36" s="337"/>
      <c r="N36" s="337"/>
      <c r="O36" s="46"/>
    </row>
    <row r="37" spans="2:19">
      <c r="B37" s="339"/>
      <c r="C37" s="337"/>
      <c r="D37" s="337"/>
      <c r="E37" s="337"/>
      <c r="F37" s="337"/>
      <c r="G37" s="337"/>
      <c r="H37" s="337"/>
      <c r="I37" s="337"/>
      <c r="J37" s="337"/>
      <c r="K37" s="337"/>
      <c r="L37" s="337"/>
      <c r="M37" s="337"/>
      <c r="N37" s="337"/>
      <c r="O37" s="46"/>
    </row>
    <row r="38" spans="2:19">
      <c r="B38" s="339"/>
      <c r="C38" s="337"/>
      <c r="D38" s="337"/>
      <c r="E38" s="337"/>
      <c r="F38" s="337"/>
      <c r="G38" s="337"/>
      <c r="H38" s="337"/>
      <c r="I38" s="337"/>
      <c r="J38" s="337"/>
      <c r="K38" s="337"/>
      <c r="L38" s="337"/>
      <c r="M38" s="337"/>
      <c r="N38" s="337"/>
      <c r="O38" s="46"/>
    </row>
    <row r="39" spans="2:19">
      <c r="B39" s="339"/>
      <c r="C39" s="337"/>
      <c r="D39" s="337"/>
      <c r="E39" s="337"/>
      <c r="F39" s="337"/>
      <c r="G39" s="337"/>
      <c r="H39" s="337"/>
      <c r="I39" s="337"/>
      <c r="J39" s="337"/>
      <c r="K39" s="337"/>
      <c r="L39" s="337"/>
      <c r="M39" s="337"/>
      <c r="N39" s="337"/>
      <c r="O39" s="46"/>
    </row>
    <row r="40" spans="2:19">
      <c r="B40" s="339"/>
      <c r="C40" s="337"/>
      <c r="D40" s="337"/>
      <c r="E40" s="337"/>
      <c r="F40" s="337"/>
      <c r="G40" s="337"/>
      <c r="H40" s="337"/>
      <c r="I40" s="337"/>
      <c r="J40" s="337"/>
      <c r="K40" s="337"/>
      <c r="L40" s="337"/>
      <c r="M40" s="337"/>
      <c r="N40" s="337"/>
      <c r="O40" s="46"/>
    </row>
    <row r="41" spans="2:19">
      <c r="B41" s="339"/>
      <c r="C41" s="337"/>
      <c r="D41" s="337"/>
      <c r="E41" s="337"/>
      <c r="F41" s="337"/>
      <c r="G41" s="337"/>
      <c r="H41" s="337"/>
      <c r="I41" s="337"/>
      <c r="J41" s="337"/>
      <c r="K41" s="337"/>
      <c r="L41" s="337"/>
      <c r="M41" s="337"/>
      <c r="N41" s="337"/>
      <c r="O41" s="46"/>
    </row>
    <row r="42" spans="2:19">
      <c r="B42" s="339"/>
      <c r="C42" s="337"/>
      <c r="D42" s="337"/>
      <c r="E42" s="337"/>
      <c r="F42" s="337"/>
      <c r="G42" s="337"/>
      <c r="H42" s="337"/>
      <c r="I42" s="337"/>
      <c r="J42" s="337"/>
      <c r="K42" s="337"/>
      <c r="L42" s="337"/>
      <c r="M42" s="337"/>
      <c r="N42" s="337"/>
      <c r="O42" s="46"/>
    </row>
    <row r="43" spans="2:19">
      <c r="B43" s="339"/>
      <c r="C43" s="337"/>
      <c r="D43" s="337"/>
      <c r="E43" s="337"/>
      <c r="F43" s="337"/>
      <c r="G43" s="337"/>
      <c r="H43" s="337"/>
      <c r="I43" s="337"/>
      <c r="J43" s="337"/>
      <c r="K43" s="337"/>
      <c r="L43" s="337"/>
      <c r="M43" s="337"/>
      <c r="N43" s="337"/>
      <c r="O43" s="46"/>
    </row>
    <row r="44" spans="2:19">
      <c r="B44" s="339"/>
      <c r="C44" s="337"/>
      <c r="D44" s="337"/>
      <c r="E44" s="337"/>
      <c r="F44" s="337"/>
      <c r="G44" s="337"/>
      <c r="H44" s="337"/>
      <c r="I44" s="337"/>
      <c r="J44" s="337"/>
      <c r="K44" s="337"/>
      <c r="L44" s="337"/>
      <c r="M44" s="337"/>
      <c r="N44" s="337"/>
      <c r="O44" s="46"/>
    </row>
    <row r="45" spans="2:19">
      <c r="B45" s="339"/>
      <c r="C45" s="337"/>
      <c r="D45" s="337"/>
      <c r="E45" s="337"/>
      <c r="F45" s="337"/>
      <c r="G45" s="337"/>
      <c r="H45" s="337"/>
      <c r="I45" s="337"/>
      <c r="J45" s="337"/>
      <c r="K45" s="337"/>
      <c r="L45" s="337"/>
      <c r="M45" s="337"/>
      <c r="N45" s="337"/>
      <c r="O45" s="46"/>
    </row>
    <row r="46" spans="2:19">
      <c r="B46" s="339"/>
      <c r="C46" s="337"/>
      <c r="D46" s="337"/>
      <c r="E46" s="337"/>
      <c r="F46" s="337"/>
      <c r="G46" s="337"/>
      <c r="H46" s="337"/>
      <c r="I46" s="337"/>
      <c r="J46" s="337"/>
      <c r="K46" s="337"/>
      <c r="L46" s="337"/>
      <c r="M46" s="337"/>
      <c r="N46" s="337"/>
      <c r="O46" s="46"/>
      <c r="S46" t="str">
        <f>UPPER(REPORTS!$AA$2)</f>
        <v>ALT_F</v>
      </c>
    </row>
    <row r="47" spans="2:19">
      <c r="B47" s="339"/>
      <c r="C47" s="337"/>
      <c r="D47" s="337"/>
      <c r="E47" s="337"/>
      <c r="F47" s="337"/>
      <c r="G47" s="337"/>
      <c r="H47" s="337"/>
      <c r="I47" s="337"/>
      <c r="J47" s="337"/>
      <c r="K47" s="337"/>
      <c r="L47" s="337"/>
      <c r="M47" s="337"/>
      <c r="N47" s="337"/>
      <c r="O47" s="46"/>
      <c r="S47" s="43"/>
    </row>
    <row r="48" spans="2:19">
      <c r="B48" s="338"/>
      <c r="C48" s="337"/>
      <c r="D48" s="337"/>
      <c r="E48" s="337"/>
      <c r="F48" s="337"/>
      <c r="G48" s="337"/>
      <c r="H48" s="337"/>
      <c r="I48" s="337"/>
      <c r="J48" s="337"/>
      <c r="K48" s="337"/>
      <c r="L48" s="337"/>
      <c r="M48" s="337"/>
      <c r="N48" s="337"/>
      <c r="O48" s="46"/>
      <c r="S48" s="43"/>
    </row>
    <row r="49" spans="2:19">
      <c r="B49" s="338"/>
      <c r="C49" s="337"/>
      <c r="D49" s="337"/>
      <c r="E49" s="337"/>
      <c r="F49" s="337"/>
      <c r="G49" s="337"/>
      <c r="H49" s="337"/>
      <c r="I49" s="337"/>
      <c r="J49" s="337"/>
      <c r="K49" s="337"/>
      <c r="L49" s="337"/>
      <c r="M49" s="337"/>
      <c r="N49" s="337"/>
      <c r="O49" s="46"/>
      <c r="S49" s="43"/>
    </row>
    <row r="50" spans="2:19">
      <c r="B50" s="338"/>
      <c r="C50" s="337"/>
      <c r="D50" s="337"/>
      <c r="E50" s="337"/>
      <c r="F50" s="337"/>
      <c r="G50" s="337"/>
      <c r="H50" s="337"/>
      <c r="I50" s="337"/>
      <c r="J50" s="337"/>
      <c r="K50" s="337"/>
      <c r="L50" s="337"/>
      <c r="M50" s="337"/>
      <c r="N50" s="337"/>
      <c r="O50" s="46"/>
      <c r="S50" s="43"/>
    </row>
    <row r="51" spans="2:19">
      <c r="B51" s="338"/>
      <c r="C51" s="337"/>
      <c r="D51" s="337"/>
      <c r="E51" s="337"/>
      <c r="F51" s="337"/>
      <c r="G51" s="337"/>
      <c r="H51" s="337"/>
      <c r="I51" s="337"/>
      <c r="J51" s="337"/>
      <c r="K51" s="337"/>
      <c r="L51" s="337"/>
      <c r="M51" s="337"/>
      <c r="N51" s="337"/>
      <c r="O51" s="46"/>
      <c r="S51" s="43"/>
    </row>
    <row r="52" spans="2:19">
      <c r="B52" s="338"/>
      <c r="C52" s="337"/>
      <c r="D52" s="337"/>
      <c r="E52" s="337"/>
      <c r="F52" s="337"/>
      <c r="G52" s="337"/>
      <c r="H52" s="337"/>
      <c r="I52" s="337"/>
      <c r="J52" s="337"/>
      <c r="K52" s="337"/>
      <c r="L52" s="337"/>
      <c r="M52" s="337"/>
      <c r="N52" s="337"/>
      <c r="O52" s="46"/>
      <c r="S52" s="43"/>
    </row>
    <row r="53" spans="2:19">
      <c r="B53" s="338"/>
      <c r="C53" s="337"/>
      <c r="D53" s="337"/>
      <c r="E53" s="337"/>
      <c r="F53" s="337"/>
      <c r="G53" s="337"/>
      <c r="H53" s="337"/>
      <c r="I53" s="337"/>
      <c r="J53" s="337"/>
      <c r="K53" s="337"/>
      <c r="L53" s="337"/>
      <c r="M53" s="337"/>
      <c r="N53" s="337"/>
      <c r="O53" s="46"/>
      <c r="S53" s="43"/>
    </row>
    <row r="54" spans="2:19">
      <c r="B54" s="338"/>
      <c r="C54" s="337"/>
      <c r="D54" s="337"/>
      <c r="E54" s="337"/>
      <c r="F54" s="337"/>
      <c r="G54" s="337"/>
      <c r="H54" s="337"/>
      <c r="I54" s="337"/>
      <c r="J54" s="337"/>
      <c r="K54" s="337"/>
      <c r="L54" s="337"/>
      <c r="M54" s="337"/>
      <c r="N54" s="337"/>
      <c r="O54" s="46"/>
      <c r="S54" s="43"/>
    </row>
    <row r="55" spans="2:19">
      <c r="B55" s="338"/>
      <c r="C55" s="337"/>
      <c r="D55" s="337"/>
      <c r="E55" s="337"/>
      <c r="F55" s="337"/>
      <c r="G55" s="337"/>
      <c r="H55" s="337"/>
      <c r="I55" s="337"/>
      <c r="J55" s="337"/>
      <c r="K55" s="337"/>
      <c r="L55" s="337"/>
      <c r="M55" s="337"/>
      <c r="N55" s="337"/>
      <c r="O55" s="46"/>
      <c r="S55" s="43"/>
    </row>
    <row r="56" spans="2:19">
      <c r="B56" s="338"/>
      <c r="C56" s="337"/>
      <c r="D56" s="337"/>
      <c r="E56" s="337"/>
      <c r="F56" s="337"/>
      <c r="G56" s="337"/>
      <c r="H56" s="337"/>
      <c r="I56" s="337"/>
      <c r="J56" s="337"/>
      <c r="K56" s="337"/>
      <c r="L56" s="337"/>
      <c r="M56" s="337"/>
      <c r="N56" s="337"/>
      <c r="O56" s="46"/>
      <c r="S56" s="43"/>
    </row>
    <row r="57" spans="2:19">
      <c r="B57" s="338"/>
      <c r="C57" s="337"/>
      <c r="D57" s="337"/>
      <c r="E57" s="337"/>
      <c r="F57" s="337"/>
      <c r="G57" s="337"/>
      <c r="H57" s="337"/>
      <c r="I57" s="337"/>
      <c r="J57" s="337"/>
      <c r="K57" s="337"/>
      <c r="L57" s="337"/>
      <c r="M57" s="337"/>
      <c r="N57" s="337"/>
      <c r="O57" s="46"/>
      <c r="S57" s="43"/>
    </row>
    <row r="58" spans="2:19">
      <c r="B58" s="338"/>
      <c r="C58" s="337"/>
      <c r="D58" s="337"/>
      <c r="E58" s="337"/>
      <c r="F58" s="337"/>
      <c r="G58" s="337"/>
      <c r="H58" s="337"/>
      <c r="I58" s="337"/>
      <c r="J58" s="337"/>
      <c r="K58" s="337"/>
      <c r="L58" s="337"/>
      <c r="M58" s="337"/>
      <c r="N58" s="337"/>
      <c r="O58" s="46"/>
      <c r="S58" s="43"/>
    </row>
    <row r="59" spans="2:19">
      <c r="B59" s="338"/>
      <c r="C59" s="337"/>
      <c r="D59" s="337"/>
      <c r="E59" s="337"/>
      <c r="F59" s="337"/>
      <c r="G59" s="337"/>
      <c r="H59" s="337"/>
      <c r="I59" s="337"/>
      <c r="J59" s="337"/>
      <c r="K59" s="337"/>
      <c r="L59" s="337"/>
      <c r="M59" s="337"/>
      <c r="N59" s="337"/>
      <c r="O59" s="46"/>
      <c r="S59" s="43"/>
    </row>
    <row r="60" spans="2:19">
      <c r="B60" s="338"/>
      <c r="C60" s="337"/>
      <c r="D60" s="337"/>
      <c r="E60" s="337"/>
      <c r="F60" s="337"/>
      <c r="G60" s="337"/>
      <c r="H60" s="337"/>
      <c r="I60" s="337"/>
      <c r="J60" s="337"/>
      <c r="K60" s="337"/>
      <c r="L60" s="337"/>
      <c r="M60" s="337"/>
      <c r="N60" s="337"/>
      <c r="O60" s="46"/>
      <c r="S60" s="43"/>
    </row>
    <row r="61" spans="2:19">
      <c r="B61" s="338"/>
      <c r="C61" s="337"/>
      <c r="D61" s="337"/>
      <c r="E61" s="337"/>
      <c r="F61" s="337"/>
      <c r="G61" s="337"/>
      <c r="H61" s="337"/>
      <c r="I61" s="337"/>
      <c r="J61" s="337"/>
      <c r="K61" s="337"/>
      <c r="L61" s="337"/>
      <c r="M61" s="337"/>
      <c r="N61" s="337"/>
      <c r="O61" s="46"/>
      <c r="S61" s="43"/>
    </row>
    <row r="62" spans="2:19">
      <c r="B62" s="338"/>
      <c r="C62" s="337"/>
      <c r="D62" s="337"/>
      <c r="E62" s="337"/>
      <c r="F62" s="337"/>
      <c r="G62" s="337"/>
      <c r="H62" s="337"/>
      <c r="I62" s="337"/>
      <c r="J62" s="337"/>
      <c r="K62" s="337"/>
      <c r="L62" s="337"/>
      <c r="M62" s="337"/>
      <c r="N62" s="337"/>
      <c r="O62" s="46"/>
      <c r="S62" s="43"/>
    </row>
    <row r="63" spans="2:19">
      <c r="B63" s="338"/>
      <c r="C63" s="337"/>
      <c r="D63" s="337"/>
      <c r="E63" s="337"/>
      <c r="F63" s="337"/>
      <c r="G63" s="337"/>
      <c r="H63" s="337"/>
      <c r="I63" s="337"/>
      <c r="J63" s="337"/>
      <c r="K63" s="337"/>
      <c r="L63" s="337"/>
      <c r="M63" s="337"/>
      <c r="N63" s="337"/>
      <c r="O63" s="46"/>
      <c r="S63" s="43"/>
    </row>
    <row r="64" spans="2:19">
      <c r="B64" s="338"/>
      <c r="C64" s="337"/>
      <c r="D64" s="337"/>
      <c r="E64" s="337"/>
      <c r="F64" s="337"/>
      <c r="G64" s="337"/>
      <c r="H64" s="337"/>
      <c r="I64" s="337"/>
      <c r="J64" s="337"/>
      <c r="K64" s="337"/>
      <c r="L64" s="337"/>
      <c r="M64" s="337"/>
      <c r="N64" s="337"/>
      <c r="O64" s="46"/>
      <c r="S64" s="43"/>
    </row>
    <row r="65" spans="2:19">
      <c r="B65" s="338"/>
      <c r="C65" s="337"/>
      <c r="D65" s="337"/>
      <c r="E65" s="337"/>
      <c r="F65" s="337"/>
      <c r="G65" s="337"/>
      <c r="H65" s="337"/>
      <c r="I65" s="337"/>
      <c r="J65" s="337"/>
      <c r="K65" s="337"/>
      <c r="L65" s="337"/>
      <c r="M65" s="337"/>
      <c r="N65" s="337"/>
      <c r="O65" s="46"/>
      <c r="S65" s="43"/>
    </row>
    <row r="66" spans="2:19">
      <c r="B66" s="338"/>
      <c r="C66" s="337"/>
      <c r="D66" s="337"/>
      <c r="E66" s="337"/>
      <c r="F66" s="337"/>
      <c r="G66" s="337"/>
      <c r="H66" s="337"/>
      <c r="I66" s="337"/>
      <c r="J66" s="337"/>
      <c r="K66" s="337"/>
      <c r="L66" s="337"/>
      <c r="M66" s="337"/>
      <c r="N66" s="337"/>
      <c r="O66" s="46"/>
      <c r="S66" s="43"/>
    </row>
    <row r="67" spans="2:19">
      <c r="B67" s="338"/>
      <c r="C67" s="337"/>
      <c r="D67" s="337"/>
      <c r="E67" s="337"/>
      <c r="F67" s="337"/>
      <c r="G67" s="337"/>
      <c r="H67" s="337"/>
      <c r="I67" s="337"/>
      <c r="J67" s="337"/>
      <c r="K67" s="337"/>
      <c r="L67" s="337"/>
      <c r="M67" s="337"/>
      <c r="N67" s="337"/>
      <c r="O67" s="46"/>
      <c r="S67" s="43"/>
    </row>
    <row r="68" spans="2:19">
      <c r="B68" s="338"/>
      <c r="C68" s="337"/>
      <c r="D68" s="337"/>
      <c r="E68" s="337"/>
      <c r="F68" s="337"/>
      <c r="G68" s="337"/>
      <c r="H68" s="337"/>
      <c r="I68" s="337"/>
      <c r="J68" s="337"/>
      <c r="K68" s="337"/>
      <c r="L68" s="337"/>
      <c r="M68" s="337"/>
      <c r="N68" s="337"/>
      <c r="O68" s="46"/>
      <c r="S68" s="43"/>
    </row>
    <row r="69" spans="2:19">
      <c r="B69" s="338"/>
      <c r="C69" s="337"/>
      <c r="D69" s="337"/>
      <c r="E69" s="337"/>
      <c r="F69" s="337"/>
      <c r="G69" s="337"/>
      <c r="H69" s="337"/>
      <c r="I69" s="337"/>
      <c r="J69" s="337"/>
      <c r="K69" s="337"/>
      <c r="L69" s="337"/>
      <c r="M69" s="337"/>
      <c r="N69" s="337"/>
      <c r="O69" s="46"/>
      <c r="S69" s="43"/>
    </row>
    <row r="70" spans="2:19">
      <c r="B70" s="338"/>
      <c r="C70" s="337"/>
      <c r="D70" s="337"/>
      <c r="E70" s="337"/>
      <c r="F70" s="337"/>
      <c r="G70" s="337"/>
      <c r="H70" s="337"/>
      <c r="I70" s="337"/>
      <c r="J70" s="337"/>
      <c r="K70" s="337"/>
      <c r="L70" s="337"/>
      <c r="M70" s="337"/>
      <c r="N70" s="337"/>
      <c r="O70" s="46"/>
      <c r="S70" s="43"/>
    </row>
    <row r="71" spans="2:19">
      <c r="B71" s="338"/>
      <c r="C71" s="337"/>
      <c r="D71" s="337"/>
      <c r="E71" s="337"/>
      <c r="F71" s="337"/>
      <c r="G71" s="337"/>
      <c r="H71" s="337"/>
      <c r="I71" s="337"/>
      <c r="J71" s="337"/>
      <c r="K71" s="337"/>
      <c r="L71" s="337"/>
      <c r="M71" s="337"/>
      <c r="N71" s="337"/>
      <c r="O71" s="46"/>
      <c r="S71" s="43"/>
    </row>
    <row r="72" spans="2:19">
      <c r="B72" s="338"/>
      <c r="C72" s="337"/>
      <c r="D72" s="337"/>
      <c r="E72" s="337"/>
      <c r="F72" s="337"/>
      <c r="G72" s="337"/>
      <c r="H72" s="337"/>
      <c r="I72" s="337"/>
      <c r="J72" s="337"/>
      <c r="K72" s="337"/>
      <c r="L72" s="337"/>
      <c r="M72" s="337"/>
      <c r="N72" s="337"/>
      <c r="O72" s="46"/>
      <c r="S72" s="43"/>
    </row>
    <row r="73" spans="2:19">
      <c r="B73" s="338"/>
      <c r="C73" s="337"/>
      <c r="D73" s="337"/>
      <c r="E73" s="337"/>
      <c r="F73" s="337"/>
      <c r="G73" s="337"/>
      <c r="H73" s="337"/>
      <c r="I73" s="337"/>
      <c r="J73" s="337"/>
      <c r="K73" s="337"/>
      <c r="L73" s="337"/>
      <c r="M73" s="337"/>
      <c r="N73" s="337"/>
      <c r="O73" s="46"/>
      <c r="S73" s="43"/>
    </row>
    <row r="74" spans="2:19">
      <c r="B74" s="338"/>
      <c r="C74" s="337"/>
      <c r="D74" s="337"/>
      <c r="E74" s="337"/>
      <c r="F74" s="337"/>
      <c r="G74" s="337"/>
      <c r="H74" s="337"/>
      <c r="I74" s="337"/>
      <c r="J74" s="337"/>
      <c r="K74" s="337"/>
      <c r="L74" s="337"/>
      <c r="M74" s="337"/>
      <c r="N74" s="337"/>
      <c r="O74" s="46"/>
      <c r="S74" s="43"/>
    </row>
    <row r="75" spans="2:19">
      <c r="B75" s="338"/>
      <c r="C75" s="337"/>
      <c r="D75" s="337"/>
      <c r="E75" s="337"/>
      <c r="F75" s="337"/>
      <c r="G75" s="337"/>
      <c r="H75" s="337"/>
      <c r="I75" s="337"/>
      <c r="J75" s="337"/>
      <c r="K75" s="337"/>
      <c r="L75" s="337"/>
      <c r="M75" s="337"/>
      <c r="N75" s="337"/>
      <c r="O75" s="46"/>
      <c r="S75" s="43"/>
    </row>
    <row r="76" spans="2:19">
      <c r="B76" s="338"/>
      <c r="C76" s="337"/>
      <c r="D76" s="337"/>
      <c r="E76" s="337"/>
      <c r="F76" s="337"/>
      <c r="G76" s="337"/>
      <c r="H76" s="337"/>
      <c r="I76" s="337"/>
      <c r="J76" s="337"/>
      <c r="K76" s="337"/>
      <c r="L76" s="337"/>
      <c r="M76" s="337"/>
      <c r="N76" s="337"/>
      <c r="O76" s="46"/>
      <c r="S76" s="43"/>
    </row>
    <row r="77" spans="2:19">
      <c r="B77" s="338"/>
      <c r="C77" s="337"/>
      <c r="D77" s="337"/>
      <c r="E77" s="337"/>
      <c r="F77" s="337"/>
      <c r="G77" s="337"/>
      <c r="H77" s="337"/>
      <c r="I77" s="337"/>
      <c r="J77" s="337"/>
      <c r="K77" s="337"/>
      <c r="L77" s="337"/>
      <c r="M77" s="337"/>
      <c r="N77" s="337"/>
      <c r="O77" s="46"/>
      <c r="S77" s="43"/>
    </row>
    <row r="78" spans="2:19">
      <c r="B78" s="338"/>
      <c r="C78" s="337"/>
      <c r="D78" s="337"/>
      <c r="E78" s="337"/>
      <c r="F78" s="337"/>
      <c r="G78" s="337"/>
      <c r="H78" s="337"/>
      <c r="I78" s="337"/>
      <c r="J78" s="337"/>
      <c r="K78" s="337"/>
      <c r="L78" s="337"/>
      <c r="M78" s="337"/>
      <c r="N78" s="337"/>
      <c r="O78" s="46"/>
      <c r="S78" s="43"/>
    </row>
    <row r="79" spans="2:19">
      <c r="B79" s="338"/>
      <c r="C79" s="337"/>
      <c r="D79" s="337"/>
      <c r="E79" s="337"/>
      <c r="F79" s="337"/>
      <c r="G79" s="337"/>
      <c r="H79" s="337"/>
      <c r="I79" s="337"/>
      <c r="J79" s="337"/>
      <c r="K79" s="337"/>
      <c r="L79" s="337"/>
      <c r="M79" s="337"/>
      <c r="N79" s="337"/>
      <c r="O79" s="46"/>
      <c r="S79" s="43"/>
    </row>
    <row r="80" spans="2:19">
      <c r="B80" s="338"/>
      <c r="C80" s="337"/>
      <c r="D80" s="337"/>
      <c r="E80" s="337"/>
      <c r="F80" s="337"/>
      <c r="G80" s="337"/>
      <c r="H80" s="337"/>
      <c r="I80" s="337"/>
      <c r="J80" s="337"/>
      <c r="K80" s="337"/>
      <c r="L80" s="337"/>
      <c r="M80" s="337"/>
      <c r="N80" s="337"/>
      <c r="O80" s="46"/>
      <c r="S80" s="43"/>
    </row>
    <row r="81" spans="2:19">
      <c r="B81" s="338"/>
      <c r="C81" s="337"/>
      <c r="D81" s="337"/>
      <c r="E81" s="337"/>
      <c r="F81" s="337"/>
      <c r="G81" s="337"/>
      <c r="H81" s="337"/>
      <c r="I81" s="337"/>
      <c r="J81" s="337"/>
      <c r="K81" s="337"/>
      <c r="L81" s="337"/>
      <c r="M81" s="337"/>
      <c r="N81" s="337"/>
      <c r="O81" s="46"/>
      <c r="S81" s="43"/>
    </row>
    <row r="82" spans="2:19">
      <c r="B82" s="338"/>
      <c r="C82" s="337"/>
      <c r="D82" s="337"/>
      <c r="E82" s="337"/>
      <c r="F82" s="337"/>
      <c r="G82" s="337"/>
      <c r="H82" s="337"/>
      <c r="I82" s="337"/>
      <c r="J82" s="337"/>
      <c r="K82" s="337"/>
      <c r="L82" s="337"/>
      <c r="M82" s="337"/>
      <c r="N82" s="337"/>
      <c r="O82" s="46"/>
      <c r="S82" s="43"/>
    </row>
    <row r="83" spans="2:19">
      <c r="B83" s="338"/>
      <c r="C83" s="337"/>
      <c r="D83" s="337"/>
      <c r="E83" s="337"/>
      <c r="F83" s="337"/>
      <c r="G83" s="337"/>
      <c r="H83" s="337"/>
      <c r="I83" s="337"/>
      <c r="J83" s="337"/>
      <c r="K83" s="337"/>
      <c r="L83" s="337"/>
      <c r="M83" s="337"/>
      <c r="N83" s="337"/>
      <c r="O83" s="46"/>
      <c r="S83" s="43"/>
    </row>
    <row r="84" spans="2:19">
      <c r="B84" s="338"/>
      <c r="C84" s="337"/>
      <c r="D84" s="337"/>
      <c r="E84" s="337"/>
      <c r="F84" s="337"/>
      <c r="G84" s="337"/>
      <c r="H84" s="337"/>
      <c r="I84" s="337"/>
      <c r="J84" s="337"/>
      <c r="K84" s="337"/>
      <c r="L84" s="337"/>
      <c r="M84" s="337"/>
      <c r="N84" s="337"/>
      <c r="O84" s="46"/>
      <c r="S84" s="43"/>
    </row>
    <row r="85" spans="2:19">
      <c r="B85" s="338"/>
      <c r="C85" s="337"/>
      <c r="D85" s="337"/>
      <c r="E85" s="337"/>
      <c r="F85" s="337"/>
      <c r="G85" s="337"/>
      <c r="H85" s="337"/>
      <c r="I85" s="337"/>
      <c r="J85" s="337"/>
      <c r="K85" s="337"/>
      <c r="L85" s="337"/>
      <c r="M85" s="337"/>
      <c r="N85" s="337"/>
      <c r="O85" s="46"/>
      <c r="S85" s="43"/>
    </row>
    <row r="86" spans="2:19">
      <c r="B86" s="338"/>
      <c r="C86" s="337"/>
      <c r="D86" s="337"/>
      <c r="E86" s="337"/>
      <c r="F86" s="337"/>
      <c r="G86" s="337"/>
      <c r="H86" s="337"/>
      <c r="I86" s="337"/>
      <c r="J86" s="337"/>
      <c r="K86" s="337"/>
      <c r="L86" s="337"/>
      <c r="M86" s="337"/>
      <c r="N86" s="337"/>
      <c r="O86" s="46"/>
      <c r="S86" s="43"/>
    </row>
    <row r="87" spans="2:19">
      <c r="B87" s="338"/>
      <c r="C87" s="337"/>
      <c r="D87" s="337"/>
      <c r="E87" s="337"/>
      <c r="F87" s="337"/>
      <c r="G87" s="337"/>
      <c r="H87" s="337"/>
      <c r="I87" s="337"/>
      <c r="J87" s="337"/>
      <c r="K87" s="337"/>
      <c r="L87" s="337"/>
      <c r="M87" s="337"/>
      <c r="N87" s="337"/>
      <c r="O87" s="46"/>
      <c r="S87" s="43"/>
    </row>
    <row r="88" spans="2:19">
      <c r="B88" s="338"/>
      <c r="C88" s="337"/>
      <c r="D88" s="337"/>
      <c r="E88" s="337"/>
      <c r="F88" s="337"/>
      <c r="G88" s="337"/>
      <c r="H88" s="337"/>
      <c r="I88" s="337"/>
      <c r="J88" s="337"/>
      <c r="K88" s="337"/>
      <c r="L88" s="337"/>
      <c r="M88" s="337"/>
      <c r="N88" s="337"/>
      <c r="O88" s="46"/>
      <c r="S88" s="43"/>
    </row>
    <row r="89" spans="2:19">
      <c r="B89" s="338"/>
      <c r="C89" s="337"/>
      <c r="D89" s="337"/>
      <c r="E89" s="337"/>
      <c r="F89" s="337"/>
      <c r="G89" s="337"/>
      <c r="H89" s="337"/>
      <c r="I89" s="337"/>
      <c r="J89" s="337"/>
      <c r="K89" s="337"/>
      <c r="L89" s="337"/>
      <c r="M89" s="337"/>
      <c r="N89" s="337"/>
      <c r="O89" s="46"/>
      <c r="S89" s="43"/>
    </row>
    <row r="90" spans="2:19">
      <c r="B90" s="338"/>
      <c r="C90" s="337"/>
      <c r="D90" s="337"/>
      <c r="E90" s="337"/>
      <c r="F90" s="337"/>
      <c r="G90" s="337"/>
      <c r="H90" s="337"/>
      <c r="I90" s="337"/>
      <c r="J90" s="337"/>
      <c r="K90" s="337"/>
      <c r="L90" s="337"/>
      <c r="M90" s="337"/>
      <c r="N90" s="337"/>
      <c r="O90" s="46"/>
      <c r="S90" s="43"/>
    </row>
    <row r="91" spans="2:19">
      <c r="B91" s="338"/>
      <c r="C91" s="337"/>
      <c r="D91" s="337"/>
      <c r="E91" s="337"/>
      <c r="F91" s="337"/>
      <c r="G91" s="337"/>
      <c r="H91" s="337"/>
      <c r="I91" s="337"/>
      <c r="J91" s="337"/>
      <c r="K91" s="337"/>
      <c r="L91" s="337"/>
      <c r="M91" s="337"/>
      <c r="N91" s="337"/>
      <c r="O91" s="46"/>
      <c r="S91" s="43"/>
    </row>
    <row r="92" spans="2:19">
      <c r="B92" s="338"/>
      <c r="C92" s="337"/>
      <c r="D92" s="337"/>
      <c r="E92" s="337"/>
      <c r="F92" s="337"/>
      <c r="G92" s="337"/>
      <c r="H92" s="337"/>
      <c r="I92" s="337"/>
      <c r="J92" s="337"/>
      <c r="K92" s="337"/>
      <c r="L92" s="337"/>
      <c r="M92" s="337"/>
      <c r="N92" s="337"/>
      <c r="O92" s="46"/>
      <c r="S92" s="43"/>
    </row>
    <row r="93" spans="2:19">
      <c r="B93" s="338"/>
      <c r="C93" s="337"/>
      <c r="D93" s="337"/>
      <c r="E93" s="337"/>
      <c r="F93" s="337"/>
      <c r="G93" s="337"/>
      <c r="H93" s="337"/>
      <c r="I93" s="337"/>
      <c r="J93" s="337"/>
      <c r="K93" s="337"/>
      <c r="L93" s="337"/>
      <c r="M93" s="337"/>
      <c r="N93" s="337"/>
      <c r="O93" s="46"/>
      <c r="S93" s="43"/>
    </row>
    <row r="94" spans="2:19">
      <c r="B94" s="338"/>
      <c r="C94" s="337"/>
      <c r="D94" s="337"/>
      <c r="E94" s="337"/>
      <c r="F94" s="337"/>
      <c r="G94" s="337"/>
      <c r="H94" s="337"/>
      <c r="I94" s="337"/>
      <c r="J94" s="337"/>
      <c r="K94" s="337"/>
      <c r="L94" s="337"/>
      <c r="M94" s="337"/>
      <c r="N94" s="337"/>
      <c r="O94" s="46"/>
      <c r="S94" s="43"/>
    </row>
    <row r="95" spans="2:19">
      <c r="B95" s="338"/>
      <c r="C95" s="337"/>
      <c r="D95" s="337"/>
      <c r="E95" s="337"/>
      <c r="F95" s="337"/>
      <c r="G95" s="337"/>
      <c r="H95" s="337"/>
      <c r="I95" s="337"/>
      <c r="J95" s="337"/>
      <c r="K95" s="337"/>
      <c r="L95" s="337"/>
      <c r="M95" s="337"/>
      <c r="N95" s="337"/>
      <c r="O95" s="46"/>
      <c r="S95" s="43"/>
    </row>
    <row r="96" spans="2:19">
      <c r="B96" s="338"/>
      <c r="C96" s="337"/>
      <c r="D96" s="337"/>
      <c r="E96" s="337"/>
      <c r="F96" s="337"/>
      <c r="G96" s="337"/>
      <c r="H96" s="337"/>
      <c r="I96" s="337"/>
      <c r="J96" s="337"/>
      <c r="K96" s="337"/>
      <c r="L96" s="337"/>
      <c r="M96" s="337"/>
      <c r="N96" s="337"/>
      <c r="O96" s="46"/>
      <c r="S96" s="43"/>
    </row>
    <row r="97" spans="2:19">
      <c r="B97" s="338"/>
      <c r="C97" s="337"/>
      <c r="D97" s="337"/>
      <c r="E97" s="337"/>
      <c r="F97" s="337"/>
      <c r="G97" s="337"/>
      <c r="H97" s="337"/>
      <c r="I97" s="337"/>
      <c r="J97" s="337"/>
      <c r="K97" s="337"/>
      <c r="L97" s="337"/>
      <c r="M97" s="337"/>
      <c r="N97" s="337"/>
      <c r="O97" s="46"/>
      <c r="S97" s="43"/>
    </row>
    <row r="98" spans="2:19">
      <c r="B98" s="338"/>
      <c r="C98" s="337"/>
      <c r="D98" s="337"/>
      <c r="E98" s="337"/>
      <c r="F98" s="337"/>
      <c r="G98" s="337"/>
      <c r="H98" s="337"/>
      <c r="I98" s="337"/>
      <c r="J98" s="337"/>
      <c r="K98" s="337"/>
      <c r="L98" s="337"/>
      <c r="M98" s="337"/>
      <c r="N98" s="337"/>
      <c r="O98" s="46"/>
      <c r="S98" s="43"/>
    </row>
    <row r="99" spans="2:19">
      <c r="B99" s="338"/>
      <c r="C99" s="337"/>
      <c r="D99" s="337"/>
      <c r="E99" s="337"/>
      <c r="F99" s="337"/>
      <c r="G99" s="337"/>
      <c r="H99" s="337"/>
      <c r="I99" s="337"/>
      <c r="J99" s="337"/>
      <c r="K99" s="337"/>
      <c r="L99" s="337"/>
      <c r="M99" s="337"/>
      <c r="N99" s="337"/>
      <c r="O99" s="46"/>
      <c r="S99" s="43"/>
    </row>
    <row r="100" spans="2:19">
      <c r="B100" s="338"/>
      <c r="C100" s="337"/>
      <c r="D100" s="337"/>
      <c r="E100" s="337"/>
      <c r="F100" s="337"/>
      <c r="G100" s="337"/>
      <c r="H100" s="337"/>
      <c r="I100" s="337"/>
      <c r="J100" s="337"/>
      <c r="K100" s="337"/>
      <c r="L100" s="337"/>
      <c r="M100" s="337"/>
      <c r="N100" s="337"/>
      <c r="O100" s="46"/>
      <c r="S100" s="43"/>
    </row>
    <row r="101" spans="2:19">
      <c r="B101" s="338"/>
      <c r="C101" s="337"/>
      <c r="D101" s="337"/>
      <c r="E101" s="337"/>
      <c r="F101" s="337"/>
      <c r="G101" s="337"/>
      <c r="H101" s="337"/>
      <c r="I101" s="337"/>
      <c r="J101" s="337"/>
      <c r="K101" s="337"/>
      <c r="L101" s="337"/>
      <c r="M101" s="337"/>
      <c r="N101" s="337"/>
      <c r="O101" s="46"/>
      <c r="S101" s="43"/>
    </row>
    <row r="102" spans="2:19">
      <c r="B102" s="338"/>
      <c r="C102" s="337"/>
      <c r="D102" s="337"/>
      <c r="E102" s="337"/>
      <c r="F102" s="337"/>
      <c r="G102" s="337"/>
      <c r="H102" s="337"/>
      <c r="I102" s="337"/>
      <c r="J102" s="337"/>
      <c r="K102" s="337"/>
      <c r="L102" s="337"/>
      <c r="M102" s="337"/>
      <c r="N102" s="337"/>
      <c r="O102" s="46"/>
      <c r="S102" s="43"/>
    </row>
    <row r="103" spans="2:19">
      <c r="B103" s="338"/>
      <c r="C103" s="337"/>
      <c r="D103" s="337"/>
      <c r="E103" s="337"/>
      <c r="F103" s="337"/>
      <c r="G103" s="337"/>
      <c r="H103" s="337"/>
      <c r="I103" s="337"/>
      <c r="J103" s="337"/>
      <c r="K103" s="337"/>
      <c r="L103" s="337"/>
      <c r="M103" s="337"/>
      <c r="N103" s="337"/>
      <c r="O103" s="46"/>
      <c r="S103" s="43"/>
    </row>
    <row r="104" spans="2:19">
      <c r="B104" s="338"/>
      <c r="C104" s="337"/>
      <c r="D104" s="337"/>
      <c r="E104" s="337"/>
      <c r="F104" s="337"/>
      <c r="G104" s="337"/>
      <c r="H104" s="337"/>
      <c r="I104" s="337"/>
      <c r="J104" s="337"/>
      <c r="K104" s="337"/>
      <c r="L104" s="337"/>
      <c r="M104" s="337"/>
      <c r="N104" s="337"/>
      <c r="O104" s="46"/>
      <c r="S104" s="43"/>
    </row>
    <row r="105" spans="2:19">
      <c r="B105" s="338"/>
      <c r="C105" s="337"/>
      <c r="D105" s="337"/>
      <c r="E105" s="337"/>
      <c r="F105" s="337"/>
      <c r="G105" s="337"/>
      <c r="H105" s="337"/>
      <c r="I105" s="337"/>
      <c r="J105" s="337"/>
      <c r="K105" s="337"/>
      <c r="L105" s="337"/>
      <c r="M105" s="337"/>
      <c r="N105" s="337"/>
      <c r="O105" s="46"/>
      <c r="S105" s="43"/>
    </row>
    <row r="106" spans="2:19">
      <c r="B106" s="338"/>
      <c r="C106" s="337"/>
      <c r="D106" s="337"/>
      <c r="E106" s="337"/>
      <c r="F106" s="337"/>
      <c r="G106" s="337"/>
      <c r="H106" s="337"/>
      <c r="I106" s="337"/>
      <c r="J106" s="337"/>
      <c r="K106" s="337"/>
      <c r="L106" s="337"/>
      <c r="M106" s="337"/>
      <c r="N106" s="337"/>
      <c r="O106" s="46"/>
      <c r="S106" s="43"/>
    </row>
    <row r="107" spans="2:19">
      <c r="B107" s="338"/>
      <c r="C107" s="337"/>
      <c r="D107" s="337"/>
      <c r="E107" s="337"/>
      <c r="F107" s="337"/>
      <c r="G107" s="337"/>
      <c r="H107" s="337"/>
      <c r="I107" s="337"/>
      <c r="J107" s="337"/>
      <c r="K107" s="337"/>
      <c r="L107" s="337"/>
      <c r="M107" s="337"/>
      <c r="N107" s="337"/>
      <c r="O107" s="46"/>
      <c r="S107" s="43"/>
    </row>
    <row r="108" spans="2:19">
      <c r="B108" s="338"/>
      <c r="C108" s="337"/>
      <c r="D108" s="337"/>
      <c r="E108" s="337"/>
      <c r="F108" s="337"/>
      <c r="G108" s="337"/>
      <c r="H108" s="337"/>
      <c r="I108" s="337"/>
      <c r="J108" s="337"/>
      <c r="K108" s="337"/>
      <c r="L108" s="337"/>
      <c r="M108" s="337"/>
      <c r="N108" s="337"/>
      <c r="O108" s="46"/>
      <c r="S108" s="43"/>
    </row>
    <row r="109" spans="2:19">
      <c r="B109" s="338"/>
      <c r="C109" s="337"/>
      <c r="D109" s="337"/>
      <c r="E109" s="337"/>
      <c r="F109" s="337"/>
      <c r="G109" s="337"/>
      <c r="H109" s="337"/>
      <c r="I109" s="337"/>
      <c r="J109" s="337"/>
      <c r="K109" s="337"/>
      <c r="L109" s="337"/>
      <c r="M109" s="337"/>
      <c r="N109" s="337"/>
      <c r="O109" s="46"/>
      <c r="S109" s="43"/>
    </row>
    <row r="110" spans="2:19">
      <c r="B110" s="338"/>
      <c r="C110" s="337"/>
      <c r="D110" s="337"/>
      <c r="E110" s="337"/>
      <c r="F110" s="337"/>
      <c r="G110" s="337"/>
      <c r="H110" s="337"/>
      <c r="I110" s="337"/>
      <c r="J110" s="337"/>
      <c r="K110" s="337"/>
      <c r="L110" s="337"/>
      <c r="M110" s="337"/>
      <c r="N110" s="337"/>
      <c r="O110" s="46"/>
      <c r="S110" s="43"/>
    </row>
    <row r="111" spans="2:19">
      <c r="B111" s="338"/>
      <c r="C111" s="337"/>
      <c r="D111" s="337"/>
      <c r="E111" s="337"/>
      <c r="F111" s="337"/>
      <c r="G111" s="337"/>
      <c r="H111" s="337"/>
      <c r="I111" s="337"/>
      <c r="J111" s="337"/>
      <c r="K111" s="337"/>
      <c r="L111" s="337"/>
      <c r="M111" s="337"/>
      <c r="N111" s="337"/>
      <c r="O111" s="46"/>
      <c r="S111" s="43"/>
    </row>
    <row r="112" spans="2:19">
      <c r="B112" s="338"/>
      <c r="C112" s="337"/>
      <c r="D112" s="337"/>
      <c r="E112" s="337"/>
      <c r="F112" s="337"/>
      <c r="G112" s="337"/>
      <c r="H112" s="337"/>
      <c r="I112" s="337"/>
      <c r="J112" s="337"/>
      <c r="K112" s="337"/>
      <c r="L112" s="337"/>
      <c r="M112" s="337"/>
      <c r="N112" s="337"/>
      <c r="O112" s="46"/>
      <c r="S112" s="43"/>
    </row>
    <row r="113" spans="2:19">
      <c r="B113" s="338"/>
      <c r="C113" s="337"/>
      <c r="D113" s="337"/>
      <c r="E113" s="337"/>
      <c r="F113" s="337"/>
      <c r="G113" s="337"/>
      <c r="H113" s="337"/>
      <c r="I113" s="337"/>
      <c r="J113" s="337"/>
      <c r="K113" s="337"/>
      <c r="L113" s="337"/>
      <c r="M113" s="337"/>
      <c r="N113" s="337"/>
      <c r="O113" s="46"/>
      <c r="S113" s="43"/>
    </row>
    <row r="114" spans="2:19">
      <c r="B114" s="338"/>
      <c r="C114" s="337"/>
      <c r="D114" s="337"/>
      <c r="E114" s="337"/>
      <c r="F114" s="337"/>
      <c r="G114" s="337"/>
      <c r="H114" s="337"/>
      <c r="I114" s="337"/>
      <c r="J114" s="337"/>
      <c r="K114" s="337"/>
      <c r="L114" s="337"/>
      <c r="M114" s="337"/>
      <c r="N114" s="337"/>
      <c r="O114" s="46"/>
      <c r="S114" s="43"/>
    </row>
    <row r="115" spans="2:19">
      <c r="B115" s="338"/>
      <c r="C115" s="337"/>
      <c r="D115" s="337"/>
      <c r="E115" s="337"/>
      <c r="F115" s="337"/>
      <c r="G115" s="337"/>
      <c r="H115" s="337"/>
      <c r="I115" s="337"/>
      <c r="J115" s="337"/>
      <c r="K115" s="337"/>
      <c r="L115" s="337"/>
      <c r="M115" s="337"/>
      <c r="N115" s="337"/>
      <c r="O115" s="46"/>
      <c r="S115" s="43"/>
    </row>
    <row r="116" spans="2:19">
      <c r="B116" s="338"/>
      <c r="C116" s="337"/>
      <c r="D116" s="337"/>
      <c r="E116" s="337"/>
      <c r="F116" s="337"/>
      <c r="G116" s="337"/>
      <c r="H116" s="337"/>
      <c r="I116" s="337"/>
      <c r="J116" s="337"/>
      <c r="K116" s="337"/>
      <c r="L116" s="337"/>
      <c r="M116" s="337"/>
      <c r="N116" s="337"/>
      <c r="O116" s="46"/>
      <c r="S116" s="43"/>
    </row>
    <row r="117" spans="2:19">
      <c r="B117" s="338"/>
      <c r="C117" s="337"/>
      <c r="D117" s="337"/>
      <c r="E117" s="337"/>
      <c r="F117" s="337"/>
      <c r="G117" s="337"/>
      <c r="H117" s="337"/>
      <c r="I117" s="337"/>
      <c r="J117" s="337"/>
      <c r="K117" s="337"/>
      <c r="L117" s="337"/>
      <c r="M117" s="337"/>
      <c r="N117" s="337"/>
      <c r="O117" s="46"/>
      <c r="S117" s="43"/>
    </row>
    <row r="118" spans="2:19">
      <c r="B118" s="338"/>
      <c r="C118" s="337"/>
      <c r="D118" s="337"/>
      <c r="E118" s="337"/>
      <c r="F118" s="337"/>
      <c r="G118" s="337"/>
      <c r="H118" s="337"/>
      <c r="I118" s="337"/>
      <c r="J118" s="337"/>
      <c r="K118" s="337"/>
      <c r="L118" s="337"/>
      <c r="M118" s="337"/>
      <c r="N118" s="337"/>
      <c r="O118" s="46"/>
      <c r="S118" s="43"/>
    </row>
    <row r="119" spans="2:19">
      <c r="B119" s="338"/>
      <c r="C119" s="337"/>
      <c r="D119" s="337"/>
      <c r="E119" s="337"/>
      <c r="F119" s="337"/>
      <c r="G119" s="337"/>
      <c r="H119" s="337"/>
      <c r="I119" s="337"/>
      <c r="J119" s="337"/>
      <c r="K119" s="337"/>
      <c r="L119" s="337"/>
      <c r="M119" s="337"/>
      <c r="N119" s="337"/>
      <c r="O119" s="46"/>
      <c r="S119" s="43"/>
    </row>
    <row r="120" spans="2:19">
      <c r="B120" s="338"/>
      <c r="C120" s="337"/>
      <c r="D120" s="337"/>
      <c r="E120" s="337"/>
      <c r="F120" s="337"/>
      <c r="G120" s="337"/>
      <c r="H120" s="337"/>
      <c r="I120" s="337"/>
      <c r="J120" s="337"/>
      <c r="K120" s="337"/>
      <c r="L120" s="337"/>
      <c r="M120" s="337"/>
      <c r="N120" s="337"/>
      <c r="O120" s="46"/>
      <c r="S120" s="43"/>
    </row>
    <row r="121" spans="2:19">
      <c r="B121" s="338"/>
      <c r="C121" s="337"/>
      <c r="D121" s="337"/>
      <c r="E121" s="337"/>
      <c r="F121" s="337"/>
      <c r="G121" s="337"/>
      <c r="H121" s="337"/>
      <c r="I121" s="337"/>
      <c r="J121" s="337"/>
      <c r="K121" s="337"/>
      <c r="L121" s="337"/>
      <c r="M121" s="337"/>
      <c r="N121" s="337"/>
      <c r="O121" s="46"/>
      <c r="S121" s="43"/>
    </row>
    <row r="122" spans="2:19">
      <c r="B122" s="338"/>
      <c r="C122" s="337"/>
      <c r="D122" s="337"/>
      <c r="E122" s="337"/>
      <c r="F122" s="337"/>
      <c r="G122" s="337"/>
      <c r="H122" s="337"/>
      <c r="I122" s="337"/>
      <c r="J122" s="337"/>
      <c r="K122" s="337"/>
      <c r="L122" s="337"/>
      <c r="M122" s="337"/>
      <c r="N122" s="337"/>
      <c r="O122" s="46"/>
      <c r="S122" s="43"/>
    </row>
    <row r="123" spans="2:19">
      <c r="B123" s="338"/>
      <c r="C123" s="337"/>
      <c r="D123" s="337"/>
      <c r="E123" s="337"/>
      <c r="F123" s="337"/>
      <c r="G123" s="337"/>
      <c r="H123" s="337"/>
      <c r="I123" s="337"/>
      <c r="J123" s="337"/>
      <c r="K123" s="337"/>
      <c r="L123" s="337"/>
      <c r="M123" s="337"/>
      <c r="N123" s="337"/>
      <c r="O123" s="46"/>
      <c r="S123" s="43"/>
    </row>
    <row r="124" spans="2:19">
      <c r="B124" s="338"/>
      <c r="C124" s="337"/>
      <c r="D124" s="337"/>
      <c r="E124" s="337"/>
      <c r="F124" s="337"/>
      <c r="G124" s="337"/>
      <c r="H124" s="337"/>
      <c r="I124" s="337"/>
      <c r="J124" s="337"/>
      <c r="K124" s="337"/>
      <c r="L124" s="337"/>
      <c r="M124" s="337"/>
      <c r="N124" s="337"/>
      <c r="O124" s="46"/>
      <c r="S124" s="43"/>
    </row>
    <row r="125" spans="2:19">
      <c r="B125" s="338"/>
      <c r="C125" s="337"/>
      <c r="D125" s="337"/>
      <c r="E125" s="337"/>
      <c r="F125" s="337"/>
      <c r="G125" s="337"/>
      <c r="H125" s="337"/>
      <c r="I125" s="337"/>
      <c r="J125" s="337"/>
      <c r="K125" s="337"/>
      <c r="L125" s="337"/>
      <c r="M125" s="337"/>
      <c r="N125" s="337"/>
      <c r="O125" s="46"/>
      <c r="S125" s="43"/>
    </row>
    <row r="126" spans="2:19">
      <c r="B126" s="338"/>
      <c r="C126" s="337"/>
      <c r="D126" s="337"/>
      <c r="E126" s="337"/>
      <c r="F126" s="337"/>
      <c r="G126" s="337"/>
      <c r="H126" s="337"/>
      <c r="I126" s="337"/>
      <c r="J126" s="337"/>
      <c r="K126" s="337"/>
      <c r="L126" s="337"/>
      <c r="M126" s="337"/>
      <c r="N126" s="337"/>
      <c r="O126" s="46"/>
      <c r="S126" s="43"/>
    </row>
    <row r="127" spans="2:19">
      <c r="B127" s="338"/>
      <c r="C127" s="337"/>
      <c r="D127" s="337"/>
      <c r="E127" s="337"/>
      <c r="F127" s="337"/>
      <c r="G127" s="337"/>
      <c r="H127" s="337"/>
      <c r="I127" s="337"/>
      <c r="J127" s="337"/>
      <c r="K127" s="337"/>
      <c r="L127" s="337"/>
      <c r="M127" s="337"/>
      <c r="N127" s="337"/>
      <c r="O127" s="46"/>
      <c r="S127" s="43"/>
    </row>
    <row r="128" spans="2:19">
      <c r="B128" s="338"/>
      <c r="C128" s="337"/>
      <c r="D128" s="337"/>
      <c r="E128" s="337"/>
      <c r="F128" s="337"/>
      <c r="G128" s="337"/>
      <c r="H128" s="337"/>
      <c r="I128" s="337"/>
      <c r="J128" s="337"/>
      <c r="K128" s="337"/>
      <c r="L128" s="337"/>
      <c r="M128" s="337"/>
      <c r="N128" s="337"/>
      <c r="O128" s="46"/>
      <c r="S128" s="43"/>
    </row>
    <row r="129" spans="2:19">
      <c r="B129" s="338"/>
      <c r="C129" s="337"/>
      <c r="D129" s="337"/>
      <c r="E129" s="337"/>
      <c r="F129" s="337"/>
      <c r="G129" s="337"/>
      <c r="H129" s="337"/>
      <c r="I129" s="337"/>
      <c r="J129" s="337"/>
      <c r="K129" s="337"/>
      <c r="L129" s="337"/>
      <c r="M129" s="337"/>
      <c r="N129" s="337"/>
      <c r="O129" s="46"/>
      <c r="S129" s="43"/>
    </row>
    <row r="130" spans="2:19">
      <c r="B130" s="338"/>
      <c r="C130" s="337"/>
      <c r="D130" s="337"/>
      <c r="E130" s="337"/>
      <c r="F130" s="337"/>
      <c r="G130" s="337"/>
      <c r="H130" s="337"/>
      <c r="I130" s="337"/>
      <c r="J130" s="337"/>
      <c r="K130" s="337"/>
      <c r="L130" s="337"/>
      <c r="M130" s="337"/>
      <c r="N130" s="337"/>
      <c r="O130" s="46"/>
      <c r="S130" s="43"/>
    </row>
    <row r="131" spans="2:19">
      <c r="B131" s="338"/>
      <c r="C131" s="337"/>
      <c r="D131" s="337"/>
      <c r="E131" s="337"/>
      <c r="F131" s="337"/>
      <c r="G131" s="337"/>
      <c r="H131" s="337"/>
      <c r="I131" s="337"/>
      <c r="J131" s="337"/>
      <c r="K131" s="337"/>
      <c r="L131" s="337"/>
      <c r="M131" s="337"/>
      <c r="N131" s="337"/>
      <c r="O131" s="46"/>
      <c r="S131" s="43"/>
    </row>
    <row r="132" spans="2:19">
      <c r="B132" s="338"/>
      <c r="C132" s="337"/>
      <c r="D132" s="337"/>
      <c r="E132" s="337"/>
      <c r="F132" s="337"/>
      <c r="G132" s="337"/>
      <c r="H132" s="337"/>
      <c r="I132" s="337"/>
      <c r="J132" s="337"/>
      <c r="K132" s="337"/>
      <c r="L132" s="337"/>
      <c r="M132" s="337"/>
      <c r="N132" s="337"/>
      <c r="O132" s="46"/>
      <c r="S132" s="43"/>
    </row>
    <row r="133" spans="2:19">
      <c r="B133" s="338"/>
      <c r="C133" s="337"/>
      <c r="D133" s="337"/>
      <c r="E133" s="337"/>
      <c r="F133" s="337"/>
      <c r="G133" s="337"/>
      <c r="H133" s="337"/>
      <c r="I133" s="337"/>
      <c r="J133" s="337"/>
      <c r="K133" s="337"/>
      <c r="L133" s="337"/>
      <c r="M133" s="337"/>
      <c r="N133" s="337"/>
      <c r="O133" s="46"/>
      <c r="S133" s="43"/>
    </row>
    <row r="134" spans="2:19">
      <c r="B134" s="338"/>
      <c r="C134" s="337"/>
      <c r="D134" s="337"/>
      <c r="E134" s="337"/>
      <c r="F134" s="337"/>
      <c r="G134" s="337"/>
      <c r="H134" s="337"/>
      <c r="I134" s="337"/>
      <c r="J134" s="337"/>
      <c r="K134" s="337"/>
      <c r="L134" s="337"/>
      <c r="M134" s="337"/>
      <c r="N134" s="337"/>
      <c r="O134" s="46"/>
      <c r="S134" s="43"/>
    </row>
    <row r="135" spans="2:19">
      <c r="B135" s="338"/>
      <c r="C135" s="337"/>
      <c r="D135" s="337"/>
      <c r="E135" s="337"/>
      <c r="F135" s="337"/>
      <c r="G135" s="337"/>
      <c r="H135" s="337"/>
      <c r="I135" s="337"/>
      <c r="J135" s="337"/>
      <c r="K135" s="337"/>
      <c r="L135" s="337"/>
      <c r="M135" s="337"/>
      <c r="N135" s="337"/>
      <c r="O135" s="46"/>
      <c r="S135" s="43"/>
    </row>
    <row r="136" spans="2:19">
      <c r="B136" s="338"/>
      <c r="C136" s="337"/>
      <c r="D136" s="337"/>
      <c r="E136" s="337"/>
      <c r="F136" s="337"/>
      <c r="G136" s="337"/>
      <c r="H136" s="337"/>
      <c r="I136" s="337"/>
      <c r="J136" s="337"/>
      <c r="K136" s="337"/>
      <c r="L136" s="337"/>
      <c r="M136" s="337"/>
      <c r="N136" s="337"/>
      <c r="O136" s="46"/>
      <c r="S136" s="43"/>
    </row>
    <row r="137" spans="2:19">
      <c r="B137" s="338"/>
      <c r="C137" s="337"/>
      <c r="D137" s="337"/>
      <c r="E137" s="337"/>
      <c r="F137" s="337"/>
      <c r="G137" s="337"/>
      <c r="H137" s="337"/>
      <c r="I137" s="337"/>
      <c r="J137" s="337"/>
      <c r="K137" s="337"/>
      <c r="L137" s="337"/>
      <c r="M137" s="337"/>
      <c r="N137" s="337"/>
      <c r="O137" s="46"/>
      <c r="S137" s="43"/>
    </row>
    <row r="138" spans="2:19">
      <c r="B138" s="338"/>
      <c r="C138" s="337"/>
      <c r="D138" s="337"/>
      <c r="E138" s="337"/>
      <c r="F138" s="337"/>
      <c r="G138" s="337"/>
      <c r="H138" s="337"/>
      <c r="I138" s="337"/>
      <c r="J138" s="337"/>
      <c r="K138" s="337"/>
      <c r="L138" s="337"/>
      <c r="M138" s="337"/>
      <c r="N138" s="337"/>
      <c r="O138" s="46"/>
      <c r="S138" s="43"/>
    </row>
    <row r="139" spans="2:19">
      <c r="B139" s="338"/>
      <c r="C139" s="337"/>
      <c r="D139" s="337"/>
      <c r="E139" s="337"/>
      <c r="F139" s="337"/>
      <c r="G139" s="337"/>
      <c r="H139" s="337"/>
      <c r="I139" s="337"/>
      <c r="J139" s="337"/>
      <c r="K139" s="337"/>
      <c r="L139" s="337"/>
      <c r="M139" s="337"/>
      <c r="N139" s="337"/>
      <c r="O139" s="46"/>
      <c r="S139" s="43"/>
    </row>
    <row r="140" spans="2:19">
      <c r="B140" s="338"/>
      <c r="C140" s="337"/>
      <c r="D140" s="337"/>
      <c r="E140" s="337"/>
      <c r="F140" s="337"/>
      <c r="G140" s="337"/>
      <c r="H140" s="337"/>
      <c r="I140" s="337"/>
      <c r="J140" s="337"/>
      <c r="K140" s="337"/>
      <c r="L140" s="337"/>
      <c r="M140" s="337"/>
      <c r="N140" s="337"/>
      <c r="O140" s="46"/>
      <c r="S140" s="43"/>
    </row>
    <row r="141" spans="2:19">
      <c r="B141" s="338"/>
      <c r="C141" s="337"/>
      <c r="D141" s="337"/>
      <c r="E141" s="337"/>
      <c r="F141" s="337"/>
      <c r="G141" s="337"/>
      <c r="H141" s="337"/>
      <c r="I141" s="337"/>
      <c r="J141" s="337"/>
      <c r="K141" s="337"/>
      <c r="L141" s="337"/>
      <c r="M141" s="337"/>
      <c r="N141" s="337"/>
      <c r="O141" s="46"/>
      <c r="S141" s="43"/>
    </row>
    <row r="142" spans="2:19">
      <c r="B142" s="338"/>
      <c r="C142" s="337"/>
      <c r="D142" s="337"/>
      <c r="E142" s="337"/>
      <c r="F142" s="337"/>
      <c r="G142" s="337"/>
      <c r="H142" s="337"/>
      <c r="I142" s="337"/>
      <c r="J142" s="337"/>
      <c r="K142" s="337"/>
      <c r="L142" s="337"/>
      <c r="M142" s="337"/>
      <c r="N142" s="337"/>
      <c r="O142" s="46"/>
      <c r="S142" s="43"/>
    </row>
    <row r="143" spans="2:19">
      <c r="B143" s="338"/>
      <c r="C143" s="337"/>
      <c r="D143" s="337"/>
      <c r="E143" s="337"/>
      <c r="F143" s="337"/>
      <c r="G143" s="337"/>
      <c r="H143" s="337"/>
      <c r="I143" s="337"/>
      <c r="J143" s="337"/>
      <c r="K143" s="337"/>
      <c r="L143" s="337"/>
      <c r="M143" s="337"/>
      <c r="N143" s="337"/>
      <c r="O143" s="46"/>
      <c r="S143" s="43"/>
    </row>
    <row r="144" spans="2:19">
      <c r="B144" s="338"/>
      <c r="C144" s="337"/>
      <c r="D144" s="337"/>
      <c r="E144" s="337"/>
      <c r="F144" s="337"/>
      <c r="G144" s="337"/>
      <c r="H144" s="337"/>
      <c r="I144" s="337"/>
      <c r="J144" s="337"/>
      <c r="K144" s="337"/>
      <c r="L144" s="337"/>
      <c r="M144" s="337"/>
      <c r="N144" s="337"/>
      <c r="O144" s="46"/>
      <c r="S144" s="43"/>
    </row>
    <row r="145" spans="2:19">
      <c r="B145" s="338"/>
      <c r="C145" s="337"/>
      <c r="D145" s="337"/>
      <c r="E145" s="337"/>
      <c r="F145" s="337"/>
      <c r="G145" s="337"/>
      <c r="H145" s="337"/>
      <c r="I145" s="337"/>
      <c r="J145" s="337"/>
      <c r="K145" s="337"/>
      <c r="L145" s="337"/>
      <c r="M145" s="337"/>
      <c r="N145" s="337"/>
      <c r="O145" s="46"/>
      <c r="S145" s="43"/>
    </row>
    <row r="146" spans="2:19">
      <c r="B146" s="338"/>
      <c r="C146" s="337"/>
      <c r="D146" s="337"/>
      <c r="E146" s="337"/>
      <c r="F146" s="337"/>
      <c r="G146" s="337"/>
      <c r="H146" s="337"/>
      <c r="I146" s="337"/>
      <c r="J146" s="337"/>
      <c r="K146" s="337"/>
      <c r="L146" s="337"/>
      <c r="M146" s="337"/>
      <c r="N146" s="337"/>
      <c r="O146" s="46"/>
      <c r="S146" s="43"/>
    </row>
    <row r="147" spans="2:19">
      <c r="B147" s="338"/>
      <c r="C147" s="337"/>
      <c r="D147" s="337"/>
      <c r="E147" s="337"/>
      <c r="F147" s="337"/>
      <c r="G147" s="337"/>
      <c r="H147" s="337"/>
      <c r="I147" s="337"/>
      <c r="J147" s="337"/>
      <c r="K147" s="337"/>
      <c r="L147" s="337"/>
      <c r="M147" s="337"/>
      <c r="N147" s="337"/>
      <c r="O147" s="46"/>
      <c r="S147" s="43"/>
    </row>
    <row r="148" spans="2:19">
      <c r="B148" s="109"/>
      <c r="C148" s="337"/>
      <c r="D148" s="337"/>
      <c r="E148" s="337"/>
      <c r="F148" s="337"/>
      <c r="G148" s="337"/>
      <c r="H148" s="337"/>
      <c r="I148" s="337"/>
      <c r="J148" s="337"/>
      <c r="K148" s="337"/>
      <c r="L148" s="337"/>
      <c r="M148" s="337"/>
      <c r="N148" s="337"/>
      <c r="O148" s="46"/>
      <c r="S148" s="43"/>
    </row>
    <row r="149" spans="2:19">
      <c r="B149" s="109"/>
      <c r="C149" s="337"/>
      <c r="D149" s="337"/>
      <c r="E149" s="337"/>
      <c r="F149" s="337"/>
      <c r="G149" s="337"/>
      <c r="H149" s="337"/>
      <c r="I149" s="337"/>
      <c r="J149" s="337"/>
      <c r="K149" s="337"/>
      <c r="L149" s="337"/>
      <c r="M149" s="337"/>
      <c r="N149" s="337"/>
      <c r="O149" s="46"/>
      <c r="S149" s="43"/>
    </row>
    <row r="150" spans="2:19">
      <c r="B150" s="109"/>
      <c r="C150" s="337"/>
      <c r="D150" s="337"/>
      <c r="E150" s="337"/>
      <c r="F150" s="337"/>
      <c r="G150" s="337"/>
      <c r="H150" s="337"/>
      <c r="I150" s="337"/>
      <c r="J150" s="337"/>
      <c r="K150" s="337"/>
      <c r="L150" s="337"/>
      <c r="M150" s="337"/>
      <c r="N150" s="337"/>
      <c r="O150" s="46"/>
      <c r="S150" s="43"/>
    </row>
    <row r="151" spans="2:19">
      <c r="B151" s="109"/>
      <c r="C151" s="337"/>
      <c r="D151" s="337"/>
      <c r="E151" s="337"/>
      <c r="F151" s="337"/>
      <c r="G151" s="337"/>
      <c r="H151" s="337"/>
      <c r="I151" s="337"/>
      <c r="J151" s="337"/>
      <c r="K151" s="337"/>
      <c r="L151" s="337"/>
      <c r="M151" s="337"/>
      <c r="N151" s="337"/>
      <c r="O151" s="46"/>
      <c r="S151" s="43"/>
    </row>
    <row r="152" spans="2:19">
      <c r="B152" s="109"/>
      <c r="C152" s="337"/>
      <c r="D152" s="337"/>
      <c r="E152" s="337"/>
      <c r="F152" s="337"/>
      <c r="G152" s="337"/>
      <c r="H152" s="337"/>
      <c r="I152" s="337"/>
      <c r="J152" s="337"/>
      <c r="K152" s="337"/>
      <c r="L152" s="337"/>
      <c r="M152" s="337"/>
      <c r="N152" s="337"/>
      <c r="O152" s="46"/>
      <c r="S152" s="43"/>
    </row>
    <row r="153" spans="2:19">
      <c r="B153" s="109"/>
      <c r="C153" s="337"/>
      <c r="D153" s="337"/>
      <c r="E153" s="337"/>
      <c r="F153" s="337"/>
      <c r="G153" s="337"/>
      <c r="H153" s="337"/>
      <c r="I153" s="337"/>
      <c r="J153" s="337"/>
      <c r="K153" s="337"/>
      <c r="L153" s="337"/>
      <c r="M153" s="337"/>
      <c r="N153" s="337"/>
      <c r="O153" s="46"/>
      <c r="S153" s="43"/>
    </row>
    <row r="154" spans="2:19">
      <c r="B154" s="109"/>
      <c r="C154" s="337"/>
      <c r="D154" s="337"/>
      <c r="E154" s="337"/>
      <c r="F154" s="337"/>
      <c r="G154" s="337"/>
      <c r="H154" s="337"/>
      <c r="I154" s="337"/>
      <c r="J154" s="337"/>
      <c r="K154" s="337"/>
      <c r="L154" s="337"/>
      <c r="M154" s="337"/>
      <c r="N154" s="337"/>
      <c r="O154" s="46"/>
      <c r="S154" s="43"/>
    </row>
    <row r="155" spans="2:19">
      <c r="B155" s="109"/>
      <c r="C155" s="337"/>
      <c r="D155" s="337"/>
      <c r="E155" s="337"/>
      <c r="F155" s="337"/>
      <c r="G155" s="337"/>
      <c r="H155" s="337"/>
      <c r="I155" s="337"/>
      <c r="J155" s="337"/>
      <c r="K155" s="337"/>
      <c r="L155" s="337"/>
      <c r="M155" s="337"/>
      <c r="N155" s="337"/>
      <c r="O155" s="46"/>
      <c r="S155" s="43"/>
    </row>
    <row r="156" spans="2:19">
      <c r="B156" s="109"/>
      <c r="C156" s="337"/>
      <c r="D156" s="337"/>
      <c r="E156" s="337"/>
      <c r="F156" s="337"/>
      <c r="G156" s="337"/>
      <c r="H156" s="337"/>
      <c r="I156" s="337"/>
      <c r="J156" s="337"/>
      <c r="K156" s="337"/>
      <c r="L156" s="337"/>
      <c r="M156" s="337"/>
      <c r="N156" s="337"/>
      <c r="O156" s="46"/>
      <c r="S156" s="43"/>
    </row>
    <row r="157" spans="2:19">
      <c r="B157" s="109"/>
      <c r="C157" s="337"/>
      <c r="D157" s="337"/>
      <c r="E157" s="337"/>
      <c r="F157" s="337"/>
      <c r="G157" s="337"/>
      <c r="H157" s="337"/>
      <c r="I157" s="337"/>
      <c r="J157" s="337"/>
      <c r="K157" s="337"/>
      <c r="L157" s="337"/>
      <c r="M157" s="337"/>
      <c r="N157" s="337"/>
      <c r="O157" s="46"/>
      <c r="S157" s="43"/>
    </row>
    <row r="158" spans="2:19">
      <c r="B158" s="109"/>
      <c r="C158" s="337"/>
      <c r="D158" s="337"/>
      <c r="E158" s="337"/>
      <c r="F158" s="337"/>
      <c r="G158" s="337"/>
      <c r="H158" s="337"/>
      <c r="I158" s="337"/>
      <c r="J158" s="337"/>
      <c r="K158" s="337"/>
      <c r="L158" s="337"/>
      <c r="M158" s="337"/>
      <c r="N158" s="337"/>
      <c r="O158" s="46"/>
      <c r="S158" s="43"/>
    </row>
    <row r="159" spans="2:19">
      <c r="B159" s="109"/>
      <c r="C159" s="337"/>
      <c r="D159" s="337"/>
      <c r="E159" s="337"/>
      <c r="F159" s="337"/>
      <c r="G159" s="337"/>
      <c r="H159" s="337"/>
      <c r="I159" s="337"/>
      <c r="J159" s="337"/>
      <c r="K159" s="337"/>
      <c r="L159" s="337"/>
      <c r="M159" s="337"/>
      <c r="N159" s="337"/>
      <c r="O159" s="46"/>
      <c r="S159" s="43"/>
    </row>
    <row r="160" spans="2:19">
      <c r="B160" s="109"/>
      <c r="C160" s="337"/>
      <c r="D160" s="337"/>
      <c r="E160" s="337"/>
      <c r="F160" s="337"/>
      <c r="G160" s="337"/>
      <c r="H160" s="337"/>
      <c r="I160" s="337"/>
      <c r="J160" s="337"/>
      <c r="K160" s="337"/>
      <c r="L160" s="337"/>
      <c r="M160" s="337"/>
      <c r="N160" s="337"/>
      <c r="O160" s="46"/>
      <c r="S160" s="43"/>
    </row>
    <row r="161" spans="2:19">
      <c r="B161" s="109"/>
      <c r="C161" s="337"/>
      <c r="D161" s="337"/>
      <c r="E161" s="337"/>
      <c r="F161" s="337"/>
      <c r="G161" s="337"/>
      <c r="H161" s="337"/>
      <c r="I161" s="337"/>
      <c r="J161" s="337"/>
      <c r="K161" s="337"/>
      <c r="L161" s="337"/>
      <c r="M161" s="337"/>
      <c r="N161" s="337"/>
      <c r="O161" s="46"/>
      <c r="S161" s="43"/>
    </row>
    <row r="162" spans="2:19">
      <c r="B162" s="109"/>
      <c r="C162" s="337"/>
      <c r="D162" s="337"/>
      <c r="E162" s="337"/>
      <c r="F162" s="337"/>
      <c r="G162" s="337"/>
      <c r="H162" s="337"/>
      <c r="I162" s="337"/>
      <c r="J162" s="337"/>
      <c r="K162" s="337"/>
      <c r="L162" s="337"/>
      <c r="M162" s="337"/>
      <c r="N162" s="337"/>
      <c r="O162" s="46"/>
      <c r="S162" s="43"/>
    </row>
    <row r="163" spans="2:19">
      <c r="B163" s="109"/>
      <c r="C163" s="337"/>
      <c r="D163" s="337"/>
      <c r="E163" s="337"/>
      <c r="F163" s="337"/>
      <c r="G163" s="337"/>
      <c r="H163" s="337"/>
      <c r="I163" s="337"/>
      <c r="J163" s="337"/>
      <c r="K163" s="337"/>
      <c r="L163" s="337"/>
      <c r="M163" s="337"/>
      <c r="N163" s="337"/>
      <c r="O163" s="46"/>
      <c r="S163" s="43"/>
    </row>
    <row r="164" spans="2:19">
      <c r="B164" s="109"/>
      <c r="C164" s="337"/>
      <c r="D164" s="337"/>
      <c r="E164" s="337"/>
      <c r="F164" s="337"/>
      <c r="G164" s="337"/>
      <c r="H164" s="337"/>
      <c r="I164" s="337"/>
      <c r="J164" s="337"/>
      <c r="K164" s="337"/>
      <c r="L164" s="337"/>
      <c r="M164" s="337"/>
      <c r="N164" s="337"/>
      <c r="O164" s="46"/>
      <c r="S164" s="43"/>
    </row>
    <row r="165" spans="2:19">
      <c r="B165" s="109"/>
      <c r="C165" s="337"/>
      <c r="D165" s="337"/>
      <c r="E165" s="337"/>
      <c r="F165" s="337"/>
      <c r="G165" s="337"/>
      <c r="H165" s="337"/>
      <c r="I165" s="337"/>
      <c r="J165" s="337"/>
      <c r="K165" s="337"/>
      <c r="L165" s="337"/>
      <c r="M165" s="337"/>
      <c r="N165" s="337"/>
      <c r="O165" s="46"/>
      <c r="S165" s="43"/>
    </row>
    <row r="166" spans="2:19">
      <c r="B166" s="109"/>
      <c r="C166" s="337"/>
      <c r="D166" s="337"/>
      <c r="E166" s="337"/>
      <c r="F166" s="337"/>
      <c r="G166" s="337"/>
      <c r="H166" s="337"/>
      <c r="I166" s="337"/>
      <c r="J166" s="337"/>
      <c r="K166" s="337"/>
      <c r="L166" s="337"/>
      <c r="M166" s="337"/>
      <c r="N166" s="337"/>
      <c r="O166" s="46"/>
      <c r="S166" s="43"/>
    </row>
    <row r="167" spans="2:19">
      <c r="B167" s="109"/>
      <c r="C167" s="337"/>
      <c r="D167" s="337"/>
      <c r="E167" s="337"/>
      <c r="F167" s="337"/>
      <c r="G167" s="337"/>
      <c r="H167" s="337"/>
      <c r="I167" s="337"/>
      <c r="J167" s="337"/>
      <c r="K167" s="337"/>
      <c r="L167" s="337"/>
      <c r="M167" s="337"/>
      <c r="N167" s="337"/>
      <c r="O167" s="46"/>
      <c r="S167" s="43"/>
    </row>
    <row r="168" spans="2:19">
      <c r="B168" s="109"/>
      <c r="C168" s="337"/>
      <c r="D168" s="337"/>
      <c r="E168" s="337"/>
      <c r="F168" s="337"/>
      <c r="G168" s="337"/>
      <c r="H168" s="337"/>
      <c r="I168" s="337"/>
      <c r="J168" s="337"/>
      <c r="K168" s="337"/>
      <c r="L168" s="337"/>
      <c r="M168" s="337"/>
      <c r="N168" s="337"/>
      <c r="O168" s="46"/>
      <c r="S168" s="43"/>
    </row>
    <row r="169" spans="2:19">
      <c r="B169" s="109"/>
      <c r="C169" s="337"/>
      <c r="D169" s="337"/>
      <c r="E169" s="337"/>
      <c r="F169" s="337"/>
      <c r="G169" s="337"/>
      <c r="H169" s="337"/>
      <c r="I169" s="337"/>
      <c r="J169" s="337"/>
      <c r="K169" s="337"/>
      <c r="L169" s="337"/>
      <c r="M169" s="337"/>
      <c r="N169" s="337"/>
      <c r="O169" s="46"/>
      <c r="S169" s="43"/>
    </row>
    <row r="170" spans="2:19">
      <c r="B170" s="109"/>
      <c r="C170" s="337"/>
      <c r="D170" s="337"/>
      <c r="E170" s="337"/>
      <c r="F170" s="337"/>
      <c r="G170" s="337"/>
      <c r="H170" s="337"/>
      <c r="I170" s="337"/>
      <c r="J170" s="337"/>
      <c r="K170" s="337"/>
      <c r="L170" s="337"/>
      <c r="M170" s="337"/>
      <c r="N170" s="337"/>
      <c r="O170" s="46"/>
      <c r="S170" s="43"/>
    </row>
    <row r="171" spans="2:19">
      <c r="B171" s="109"/>
      <c r="C171" s="337"/>
      <c r="D171" s="337"/>
      <c r="E171" s="337"/>
      <c r="F171" s="337"/>
      <c r="G171" s="337"/>
      <c r="H171" s="337"/>
      <c r="I171" s="337"/>
      <c r="J171" s="337"/>
      <c r="K171" s="337"/>
      <c r="L171" s="337"/>
      <c r="M171" s="337"/>
      <c r="N171" s="337"/>
      <c r="O171" s="46"/>
      <c r="S171" s="43"/>
    </row>
    <row r="172" spans="2:19">
      <c r="B172" s="109"/>
      <c r="C172" s="337"/>
      <c r="D172" s="337"/>
      <c r="E172" s="337"/>
      <c r="F172" s="337"/>
      <c r="G172" s="337"/>
      <c r="H172" s="337"/>
      <c r="I172" s="337"/>
      <c r="J172" s="337"/>
      <c r="K172" s="337"/>
      <c r="L172" s="337"/>
      <c r="M172" s="337"/>
      <c r="N172" s="337"/>
      <c r="O172" s="46"/>
      <c r="S172" s="43"/>
    </row>
    <row r="173" spans="2:19">
      <c r="B173" s="109"/>
      <c r="C173" s="337"/>
      <c r="D173" s="337"/>
      <c r="E173" s="337"/>
      <c r="F173" s="337"/>
      <c r="G173" s="337"/>
      <c r="H173" s="337"/>
      <c r="I173" s="337"/>
      <c r="J173" s="337"/>
      <c r="K173" s="337"/>
      <c r="L173" s="337"/>
      <c r="M173" s="337"/>
      <c r="N173" s="337"/>
      <c r="O173" s="46"/>
      <c r="S173" s="43"/>
    </row>
    <row r="174" spans="2:19">
      <c r="B174" s="109"/>
      <c r="C174" s="337"/>
      <c r="D174" s="337"/>
      <c r="E174" s="337"/>
      <c r="F174" s="337"/>
      <c r="G174" s="337"/>
      <c r="H174" s="337"/>
      <c r="I174" s="337"/>
      <c r="J174" s="337"/>
      <c r="K174" s="337"/>
      <c r="L174" s="337"/>
      <c r="M174" s="337"/>
      <c r="N174" s="337"/>
      <c r="O174" s="46"/>
      <c r="S174" s="43"/>
    </row>
    <row r="175" spans="2:19">
      <c r="B175" s="109"/>
      <c r="C175" s="337"/>
      <c r="D175" s="337"/>
      <c r="E175" s="337"/>
      <c r="F175" s="337"/>
      <c r="G175" s="337"/>
      <c r="H175" s="337"/>
      <c r="I175" s="337"/>
      <c r="J175" s="337"/>
      <c r="K175" s="337"/>
      <c r="L175" s="337"/>
      <c r="M175" s="337"/>
      <c r="N175" s="337"/>
      <c r="O175" s="46"/>
      <c r="S175" s="43"/>
    </row>
    <row r="176" spans="2:19">
      <c r="B176" s="109"/>
      <c r="C176" s="337"/>
      <c r="D176" s="337"/>
      <c r="E176" s="337"/>
      <c r="F176" s="337"/>
      <c r="G176" s="337"/>
      <c r="H176" s="337"/>
      <c r="I176" s="337"/>
      <c r="J176" s="337"/>
      <c r="K176" s="337"/>
      <c r="L176" s="337"/>
      <c r="M176" s="337"/>
      <c r="N176" s="337"/>
      <c r="O176" s="46"/>
      <c r="S176" s="43"/>
    </row>
    <row r="177" spans="2:19">
      <c r="B177" s="109"/>
      <c r="C177" s="337"/>
      <c r="D177" s="337"/>
      <c r="E177" s="337"/>
      <c r="F177" s="337"/>
      <c r="G177" s="337"/>
      <c r="H177" s="337"/>
      <c r="I177" s="337"/>
      <c r="J177" s="337"/>
      <c r="K177" s="337"/>
      <c r="L177" s="337"/>
      <c r="M177" s="337"/>
      <c r="N177" s="337"/>
      <c r="O177" s="46"/>
      <c r="S177" s="43"/>
    </row>
    <row r="178" spans="2:19">
      <c r="B178" s="109"/>
      <c r="C178" s="337"/>
      <c r="D178" s="337"/>
      <c r="E178" s="337"/>
      <c r="F178" s="337"/>
      <c r="G178" s="337"/>
      <c r="H178" s="337"/>
      <c r="I178" s="337"/>
      <c r="J178" s="337"/>
      <c r="K178" s="337"/>
      <c r="L178" s="337"/>
      <c r="M178" s="337"/>
      <c r="N178" s="337"/>
      <c r="O178" s="46"/>
      <c r="S178" s="43"/>
    </row>
    <row r="179" spans="2:19">
      <c r="B179" s="109"/>
      <c r="C179" s="337"/>
      <c r="D179" s="337"/>
      <c r="E179" s="337"/>
      <c r="F179" s="337"/>
      <c r="G179" s="337"/>
      <c r="H179" s="337"/>
      <c r="I179" s="337"/>
      <c r="J179" s="337"/>
      <c r="K179" s="337"/>
      <c r="L179" s="337"/>
      <c r="M179" s="337"/>
      <c r="N179" s="337"/>
      <c r="O179" s="46"/>
      <c r="S179" s="43"/>
    </row>
    <row r="180" spans="2:19">
      <c r="B180" s="109"/>
      <c r="C180" s="337"/>
      <c r="D180" s="337"/>
      <c r="E180" s="337"/>
      <c r="F180" s="337"/>
      <c r="G180" s="337"/>
      <c r="H180" s="337"/>
      <c r="I180" s="337"/>
      <c r="J180" s="337"/>
      <c r="K180" s="337"/>
      <c r="L180" s="337"/>
      <c r="M180" s="337"/>
      <c r="N180" s="337"/>
      <c r="O180" s="46"/>
      <c r="S180" s="43"/>
    </row>
    <row r="181" spans="2:19">
      <c r="B181" s="109"/>
      <c r="C181" s="337"/>
      <c r="D181" s="337"/>
      <c r="E181" s="337"/>
      <c r="F181" s="337"/>
      <c r="G181" s="337"/>
      <c r="H181" s="337"/>
      <c r="I181" s="337"/>
      <c r="J181" s="337"/>
      <c r="K181" s="337"/>
      <c r="L181" s="337"/>
      <c r="M181" s="337"/>
      <c r="N181" s="337"/>
      <c r="O181" s="46"/>
      <c r="S181" s="43"/>
    </row>
    <row r="182" spans="2:19">
      <c r="B182" s="109"/>
      <c r="C182" s="337"/>
      <c r="D182" s="337"/>
      <c r="E182" s="337"/>
      <c r="F182" s="337"/>
      <c r="G182" s="337"/>
      <c r="H182" s="337"/>
      <c r="I182" s="337"/>
      <c r="J182" s="337"/>
      <c r="K182" s="337"/>
      <c r="L182" s="337"/>
      <c r="M182" s="337"/>
      <c r="N182" s="337"/>
      <c r="O182" s="46"/>
      <c r="S182" s="43"/>
    </row>
    <row r="183" spans="2:19">
      <c r="B183" s="109"/>
      <c r="C183" s="337"/>
      <c r="D183" s="337"/>
      <c r="E183" s="337"/>
      <c r="F183" s="337"/>
      <c r="G183" s="337"/>
      <c r="H183" s="337"/>
      <c r="I183" s="337"/>
      <c r="J183" s="337"/>
      <c r="K183" s="337"/>
      <c r="L183" s="337"/>
      <c r="M183" s="337"/>
      <c r="N183" s="337"/>
      <c r="O183" s="46"/>
      <c r="S183" s="43"/>
    </row>
    <row r="184" spans="2:19">
      <c r="B184" s="109"/>
      <c r="C184" s="337"/>
      <c r="D184" s="337"/>
      <c r="E184" s="337"/>
      <c r="F184" s="337"/>
      <c r="G184" s="337"/>
      <c r="H184" s="337"/>
      <c r="I184" s="337"/>
      <c r="J184" s="337"/>
      <c r="K184" s="337"/>
      <c r="L184" s="337"/>
      <c r="M184" s="337"/>
      <c r="N184" s="337"/>
      <c r="O184" s="46"/>
      <c r="S184" s="43"/>
    </row>
    <row r="185" spans="2:19">
      <c r="B185" s="109"/>
      <c r="C185" s="337"/>
      <c r="D185" s="337"/>
      <c r="E185" s="337"/>
      <c r="F185" s="337"/>
      <c r="G185" s="337"/>
      <c r="H185" s="337"/>
      <c r="I185" s="337"/>
      <c r="J185" s="337"/>
      <c r="K185" s="337"/>
      <c r="L185" s="337"/>
      <c r="M185" s="337"/>
      <c r="N185" s="337"/>
      <c r="O185" s="46"/>
      <c r="S185" s="43"/>
    </row>
    <row r="186" spans="2:19">
      <c r="B186" s="109"/>
      <c r="C186" s="337"/>
      <c r="D186" s="337"/>
      <c r="E186" s="337"/>
      <c r="F186" s="337"/>
      <c r="G186" s="337"/>
      <c r="H186" s="337"/>
      <c r="I186" s="337"/>
      <c r="J186" s="337"/>
      <c r="K186" s="337"/>
      <c r="L186" s="337"/>
      <c r="M186" s="337"/>
      <c r="N186" s="337"/>
      <c r="O186" s="46"/>
      <c r="S186" s="43"/>
    </row>
    <row r="187" spans="2:19">
      <c r="B187" s="109"/>
      <c r="C187" s="337"/>
      <c r="D187" s="337"/>
      <c r="E187" s="337"/>
      <c r="F187" s="337"/>
      <c r="G187" s="337"/>
      <c r="H187" s="337"/>
      <c r="I187" s="337"/>
      <c r="J187" s="337"/>
      <c r="K187" s="337"/>
      <c r="L187" s="337"/>
      <c r="M187" s="337"/>
      <c r="N187" s="337"/>
      <c r="O187" s="46"/>
      <c r="S187" s="43"/>
    </row>
    <row r="188" spans="2:19">
      <c r="B188" s="109"/>
      <c r="C188" s="337"/>
      <c r="D188" s="337"/>
      <c r="E188" s="337"/>
      <c r="F188" s="337"/>
      <c r="G188" s="337"/>
      <c r="H188" s="337"/>
      <c r="I188" s="337"/>
      <c r="J188" s="337"/>
      <c r="K188" s="337"/>
      <c r="L188" s="337"/>
      <c r="M188" s="337"/>
      <c r="N188" s="337"/>
      <c r="O188" s="46"/>
      <c r="S188" s="43"/>
    </row>
    <row r="189" spans="2:19">
      <c r="B189" s="109"/>
      <c r="C189" s="337"/>
      <c r="D189" s="337"/>
      <c r="E189" s="337"/>
      <c r="F189" s="337"/>
      <c r="G189" s="337"/>
      <c r="H189" s="337"/>
      <c r="I189" s="337"/>
      <c r="J189" s="337"/>
      <c r="K189" s="337"/>
      <c r="L189" s="337"/>
      <c r="M189" s="337"/>
      <c r="N189" s="337"/>
      <c r="O189" s="46"/>
      <c r="S189" s="43"/>
    </row>
    <row r="190" spans="2:19">
      <c r="B190" s="109"/>
      <c r="C190" s="337"/>
      <c r="D190" s="337"/>
      <c r="E190" s="337"/>
      <c r="F190" s="337"/>
      <c r="G190" s="337"/>
      <c r="H190" s="337"/>
      <c r="I190" s="337"/>
      <c r="J190" s="337"/>
      <c r="K190" s="337"/>
      <c r="L190" s="337"/>
      <c r="M190" s="337"/>
      <c r="N190" s="337"/>
      <c r="O190" s="46"/>
      <c r="S190" s="43"/>
    </row>
    <row r="191" spans="2:19">
      <c r="B191" s="109"/>
      <c r="C191" s="337"/>
      <c r="D191" s="337"/>
      <c r="E191" s="337"/>
      <c r="F191" s="337"/>
      <c r="G191" s="337"/>
      <c r="H191" s="337"/>
      <c r="I191" s="337"/>
      <c r="J191" s="337"/>
      <c r="K191" s="337"/>
      <c r="L191" s="337"/>
      <c r="M191" s="337"/>
      <c r="N191" s="337"/>
      <c r="O191" s="46"/>
      <c r="S191" s="43"/>
    </row>
    <row r="192" spans="2:19">
      <c r="B192" s="109"/>
      <c r="C192" s="337"/>
      <c r="D192" s="337"/>
      <c r="E192" s="337"/>
      <c r="F192" s="337"/>
      <c r="G192" s="337"/>
      <c r="H192" s="337"/>
      <c r="I192" s="337"/>
      <c r="J192" s="337"/>
      <c r="K192" s="337"/>
      <c r="L192" s="337"/>
      <c r="M192" s="337"/>
      <c r="N192" s="337"/>
      <c r="O192" s="46"/>
      <c r="S192" s="43"/>
    </row>
    <row r="193" spans="2:19">
      <c r="B193" s="109"/>
      <c r="C193" s="337"/>
      <c r="D193" s="337"/>
      <c r="E193" s="337"/>
      <c r="F193" s="337"/>
      <c r="G193" s="337"/>
      <c r="H193" s="337"/>
      <c r="I193" s="337"/>
      <c r="J193" s="337"/>
      <c r="K193" s="337"/>
      <c r="L193" s="337"/>
      <c r="M193" s="337"/>
      <c r="N193" s="337"/>
      <c r="O193" s="46"/>
      <c r="S193" s="43"/>
    </row>
    <row r="194" spans="2:19">
      <c r="B194" s="109"/>
      <c r="C194" s="337"/>
      <c r="D194" s="337"/>
      <c r="E194" s="337"/>
      <c r="F194" s="337"/>
      <c r="G194" s="337"/>
      <c r="H194" s="337"/>
      <c r="I194" s="337"/>
      <c r="J194" s="337"/>
      <c r="K194" s="337"/>
      <c r="L194" s="337"/>
      <c r="M194" s="337"/>
      <c r="N194" s="337"/>
      <c r="O194" s="46"/>
      <c r="S194" s="43"/>
    </row>
    <row r="195" spans="2:19">
      <c r="B195" s="109"/>
      <c r="C195" s="337"/>
      <c r="D195" s="337"/>
      <c r="E195" s="337"/>
      <c r="F195" s="337"/>
      <c r="G195" s="337"/>
      <c r="H195" s="337"/>
      <c r="I195" s="337"/>
      <c r="J195" s="337"/>
      <c r="K195" s="337"/>
      <c r="L195" s="337"/>
      <c r="M195" s="337"/>
      <c r="N195" s="337"/>
      <c r="O195" s="46"/>
      <c r="S195" s="43"/>
    </row>
    <row r="196" spans="2:19">
      <c r="B196" s="109"/>
      <c r="C196" s="337"/>
      <c r="D196" s="337"/>
      <c r="E196" s="337"/>
      <c r="F196" s="337"/>
      <c r="G196" s="337"/>
      <c r="H196" s="337"/>
      <c r="I196" s="337"/>
      <c r="J196" s="337"/>
      <c r="K196" s="337"/>
      <c r="L196" s="337"/>
      <c r="M196" s="337"/>
      <c r="N196" s="337"/>
      <c r="O196" s="46"/>
      <c r="S196" s="43"/>
    </row>
    <row r="197" spans="2:19">
      <c r="B197" s="109"/>
      <c r="C197" s="337"/>
      <c r="D197" s="337"/>
      <c r="E197" s="337"/>
      <c r="F197" s="337"/>
      <c r="G197" s="337"/>
      <c r="H197" s="337"/>
      <c r="I197" s="337"/>
      <c r="J197" s="337"/>
      <c r="K197" s="337"/>
      <c r="L197" s="337"/>
      <c r="M197" s="337"/>
      <c r="N197" s="337"/>
      <c r="O197" s="46"/>
      <c r="S197" s="43"/>
    </row>
    <row r="198" spans="2:19">
      <c r="B198" s="109"/>
      <c r="C198" s="337"/>
      <c r="D198" s="337"/>
      <c r="E198" s="337"/>
      <c r="F198" s="337"/>
      <c r="G198" s="337"/>
      <c r="H198" s="337"/>
      <c r="I198" s="337"/>
      <c r="J198" s="337"/>
      <c r="K198" s="337"/>
      <c r="L198" s="337"/>
      <c r="M198" s="337"/>
      <c r="N198" s="337"/>
      <c r="O198" s="46"/>
      <c r="S198" s="43"/>
    </row>
    <row r="199" spans="2:19">
      <c r="B199" s="109"/>
      <c r="C199" s="337"/>
      <c r="D199" s="337"/>
      <c r="E199" s="337"/>
      <c r="F199" s="337"/>
      <c r="G199" s="337"/>
      <c r="H199" s="337"/>
      <c r="I199" s="337"/>
      <c r="J199" s="337"/>
      <c r="K199" s="337"/>
      <c r="L199" s="337"/>
      <c r="M199" s="337"/>
      <c r="N199" s="337"/>
      <c r="O199" s="46"/>
      <c r="S199" s="43"/>
    </row>
    <row r="200" spans="2:19">
      <c r="B200" s="109"/>
      <c r="C200" s="337"/>
      <c r="D200" s="337"/>
      <c r="E200" s="337"/>
      <c r="F200" s="337"/>
      <c r="G200" s="337"/>
      <c r="H200" s="337"/>
      <c r="I200" s="337"/>
      <c r="J200" s="337"/>
      <c r="K200" s="337"/>
      <c r="L200" s="337"/>
      <c r="M200" s="337"/>
      <c r="N200" s="337"/>
      <c r="O200" s="46"/>
      <c r="S200" s="43"/>
    </row>
    <row r="201" spans="2:19">
      <c r="B201" s="109"/>
      <c r="C201" s="337"/>
      <c r="D201" s="337"/>
      <c r="E201" s="337"/>
      <c r="F201" s="337"/>
      <c r="G201" s="337"/>
      <c r="H201" s="337"/>
      <c r="I201" s="337"/>
      <c r="J201" s="337"/>
      <c r="K201" s="337"/>
      <c r="L201" s="337"/>
      <c r="M201" s="337"/>
      <c r="N201" s="337"/>
      <c r="O201" s="46"/>
      <c r="S201" s="43"/>
    </row>
    <row r="202" spans="2:19">
      <c r="B202" s="109"/>
      <c r="C202" s="337"/>
      <c r="D202" s="337"/>
      <c r="E202" s="337"/>
      <c r="F202" s="337"/>
      <c r="G202" s="337"/>
      <c r="H202" s="337"/>
      <c r="I202" s="337"/>
      <c r="J202" s="337"/>
      <c r="K202" s="337"/>
      <c r="L202" s="337"/>
      <c r="M202" s="337"/>
      <c r="N202" s="337"/>
      <c r="O202" s="46"/>
      <c r="S202" s="43"/>
    </row>
    <row r="203" spans="2:19">
      <c r="B203" s="109"/>
      <c r="C203" s="337"/>
      <c r="D203" s="337"/>
      <c r="E203" s="337"/>
      <c r="F203" s="337"/>
      <c r="G203" s="337"/>
      <c r="H203" s="337"/>
      <c r="I203" s="337"/>
      <c r="J203" s="337"/>
      <c r="K203" s="337"/>
      <c r="L203" s="337"/>
      <c r="M203" s="337"/>
      <c r="N203" s="337"/>
      <c r="O203" s="46"/>
      <c r="S203" s="43"/>
    </row>
    <row r="204" spans="2:19">
      <c r="B204" s="109"/>
      <c r="C204" s="337"/>
      <c r="D204" s="337"/>
      <c r="E204" s="337"/>
      <c r="F204" s="337"/>
      <c r="G204" s="337"/>
      <c r="H204" s="337"/>
      <c r="I204" s="337"/>
      <c r="J204" s="337"/>
      <c r="K204" s="337"/>
      <c r="L204" s="337"/>
      <c r="M204" s="337"/>
      <c r="N204" s="337"/>
      <c r="O204" s="46"/>
      <c r="S204" s="43"/>
    </row>
    <row r="205" spans="2:19">
      <c r="B205" s="109"/>
      <c r="C205" s="337"/>
      <c r="D205" s="337"/>
      <c r="E205" s="337"/>
      <c r="F205" s="337"/>
      <c r="G205" s="337"/>
      <c r="H205" s="337"/>
      <c r="I205" s="337"/>
      <c r="J205" s="337"/>
      <c r="K205" s="337"/>
      <c r="L205" s="337"/>
      <c r="M205" s="337"/>
      <c r="N205" s="337"/>
      <c r="O205" s="46"/>
      <c r="S205" s="43"/>
    </row>
    <row r="206" spans="2:19">
      <c r="B206" s="109"/>
      <c r="C206" s="337"/>
      <c r="D206" s="337"/>
      <c r="E206" s="337"/>
      <c r="F206" s="337"/>
      <c r="G206" s="337"/>
      <c r="H206" s="337"/>
      <c r="I206" s="337"/>
      <c r="J206" s="337"/>
      <c r="K206" s="337"/>
      <c r="L206" s="337"/>
      <c r="M206" s="337"/>
      <c r="N206" s="337"/>
      <c r="O206" s="46"/>
      <c r="S206" s="43"/>
    </row>
    <row r="207" spans="2:19">
      <c r="B207" s="109"/>
      <c r="C207" s="337"/>
      <c r="D207" s="337"/>
      <c r="E207" s="337"/>
      <c r="F207" s="337"/>
      <c r="G207" s="337"/>
      <c r="H207" s="337"/>
      <c r="I207" s="337"/>
      <c r="J207" s="337"/>
      <c r="K207" s="337"/>
      <c r="L207" s="337"/>
      <c r="M207" s="337"/>
      <c r="N207" s="337"/>
      <c r="O207" s="46"/>
      <c r="S207" s="43"/>
    </row>
    <row r="208" spans="2:19">
      <c r="B208" s="109"/>
      <c r="C208" s="337"/>
      <c r="D208" s="337"/>
      <c r="E208" s="337"/>
      <c r="F208" s="337"/>
      <c r="G208" s="337"/>
      <c r="H208" s="337"/>
      <c r="I208" s="337"/>
      <c r="J208" s="337"/>
      <c r="K208" s="337"/>
      <c r="L208" s="337"/>
      <c r="M208" s="337"/>
      <c r="N208" s="337"/>
      <c r="O208" s="46"/>
      <c r="S208" s="43"/>
    </row>
    <row r="209" spans="2:19">
      <c r="B209" s="109"/>
      <c r="C209" s="337"/>
      <c r="D209" s="337"/>
      <c r="E209" s="337"/>
      <c r="F209" s="337"/>
      <c r="G209" s="337"/>
      <c r="H209" s="337"/>
      <c r="I209" s="337"/>
      <c r="J209" s="337"/>
      <c r="K209" s="337"/>
      <c r="L209" s="337"/>
      <c r="M209" s="337"/>
      <c r="N209" s="337"/>
      <c r="O209" s="46"/>
      <c r="S209" s="43"/>
    </row>
    <row r="210" spans="2:19">
      <c r="B210" s="109"/>
      <c r="C210" s="337"/>
      <c r="D210" s="337"/>
      <c r="E210" s="337"/>
      <c r="F210" s="337"/>
      <c r="G210" s="337"/>
      <c r="H210" s="337"/>
      <c r="I210" s="337"/>
      <c r="J210" s="337"/>
      <c r="K210" s="337"/>
      <c r="L210" s="337"/>
      <c r="M210" s="337"/>
      <c r="N210" s="337"/>
      <c r="O210" s="46"/>
      <c r="S210" s="43"/>
    </row>
    <row r="211" spans="2:19">
      <c r="B211" s="109"/>
      <c r="C211" s="337"/>
      <c r="D211" s="337"/>
      <c r="E211" s="337"/>
      <c r="F211" s="337"/>
      <c r="G211" s="337"/>
      <c r="H211" s="337"/>
      <c r="I211" s="337"/>
      <c r="J211" s="337"/>
      <c r="K211" s="337"/>
      <c r="L211" s="337"/>
      <c r="M211" s="337"/>
      <c r="N211" s="337"/>
      <c r="O211" s="46"/>
      <c r="S211" s="43"/>
    </row>
    <row r="212" spans="2:19">
      <c r="B212" s="109"/>
      <c r="C212" s="337"/>
      <c r="D212" s="337"/>
      <c r="E212" s="337"/>
      <c r="F212" s="337"/>
      <c r="G212" s="337"/>
      <c r="H212" s="337"/>
      <c r="I212" s="337"/>
      <c r="J212" s="337"/>
      <c r="K212" s="337"/>
      <c r="L212" s="337"/>
      <c r="M212" s="337"/>
      <c r="N212" s="337"/>
      <c r="O212" s="46"/>
      <c r="S212" s="43"/>
    </row>
    <row r="213" spans="2:19">
      <c r="B213" s="109"/>
      <c r="C213" s="337"/>
      <c r="D213" s="337"/>
      <c r="E213" s="337"/>
      <c r="F213" s="337"/>
      <c r="G213" s="337"/>
      <c r="H213" s="337"/>
      <c r="I213" s="337"/>
      <c r="J213" s="337"/>
      <c r="K213" s="337"/>
      <c r="L213" s="337"/>
      <c r="M213" s="337"/>
      <c r="N213" s="337"/>
      <c r="O213" s="46"/>
      <c r="S213" s="43"/>
    </row>
    <row r="214" spans="2:19">
      <c r="B214" s="109"/>
      <c r="C214" s="337"/>
      <c r="D214" s="337"/>
      <c r="E214" s="337"/>
      <c r="F214" s="337"/>
      <c r="G214" s="337"/>
      <c r="H214" s="337"/>
      <c r="I214" s="337"/>
      <c r="J214" s="337"/>
      <c r="K214" s="337"/>
      <c r="L214" s="337"/>
      <c r="M214" s="337"/>
      <c r="N214" s="337"/>
      <c r="O214" s="46"/>
      <c r="S214" s="43"/>
    </row>
    <row r="215" spans="2:19">
      <c r="B215" s="109"/>
      <c r="C215" s="337"/>
      <c r="D215" s="337"/>
      <c r="E215" s="337"/>
      <c r="F215" s="337"/>
      <c r="G215" s="337"/>
      <c r="H215" s="337"/>
      <c r="I215" s="337"/>
      <c r="J215" s="337"/>
      <c r="K215" s="337"/>
      <c r="L215" s="337"/>
      <c r="M215" s="337"/>
      <c r="N215" s="337"/>
      <c r="O215" s="46"/>
      <c r="S215" s="43"/>
    </row>
    <row r="216" spans="2:19">
      <c r="B216" s="109"/>
      <c r="C216" s="337"/>
      <c r="D216" s="337"/>
      <c r="E216" s="337"/>
      <c r="F216" s="337"/>
      <c r="G216" s="337"/>
      <c r="H216" s="337"/>
      <c r="I216" s="337"/>
      <c r="J216" s="337"/>
      <c r="K216" s="337"/>
      <c r="L216" s="337"/>
      <c r="M216" s="337"/>
      <c r="N216" s="337"/>
      <c r="O216" s="46"/>
      <c r="S216" s="43"/>
    </row>
    <row r="217" spans="2:19">
      <c r="B217" s="109"/>
      <c r="C217" s="337"/>
      <c r="D217" s="337"/>
      <c r="E217" s="337"/>
      <c r="F217" s="337"/>
      <c r="G217" s="337"/>
      <c r="H217" s="337"/>
      <c r="I217" s="337"/>
      <c r="J217" s="337"/>
      <c r="K217" s="337"/>
      <c r="L217" s="337"/>
      <c r="M217" s="337"/>
      <c r="N217" s="337"/>
      <c r="O217" s="46"/>
      <c r="S217" s="43"/>
    </row>
    <row r="218" spans="2:19">
      <c r="B218" s="109"/>
      <c r="C218" s="337"/>
      <c r="D218" s="337"/>
      <c r="E218" s="337"/>
      <c r="F218" s="337"/>
      <c r="G218" s="337"/>
      <c r="H218" s="337"/>
      <c r="I218" s="337"/>
      <c r="J218" s="337"/>
      <c r="K218" s="337"/>
      <c r="L218" s="337"/>
      <c r="M218" s="337"/>
      <c r="N218" s="337"/>
      <c r="O218" s="46"/>
      <c r="S218" s="43"/>
    </row>
    <row r="219" spans="2:19">
      <c r="B219" s="109"/>
      <c r="C219" s="337"/>
      <c r="D219" s="337"/>
      <c r="E219" s="337"/>
      <c r="F219" s="337"/>
      <c r="G219" s="337"/>
      <c r="H219" s="337"/>
      <c r="I219" s="337"/>
      <c r="J219" s="337"/>
      <c r="K219" s="337"/>
      <c r="L219" s="337"/>
      <c r="M219" s="337"/>
      <c r="N219" s="337"/>
      <c r="O219" s="46"/>
      <c r="S219" s="43"/>
    </row>
    <row r="220" spans="2:19">
      <c r="B220" s="109"/>
      <c r="C220" s="337"/>
      <c r="D220" s="337"/>
      <c r="E220" s="337"/>
      <c r="F220" s="337"/>
      <c r="G220" s="337"/>
      <c r="H220" s="337"/>
      <c r="I220" s="337"/>
      <c r="J220" s="337"/>
      <c r="K220" s="337"/>
      <c r="L220" s="337"/>
      <c r="M220" s="337"/>
      <c r="N220" s="337"/>
      <c r="O220" s="46"/>
      <c r="S220" s="43"/>
    </row>
    <row r="221" spans="2:19">
      <c r="B221" s="109"/>
      <c r="C221" s="337"/>
      <c r="D221" s="337"/>
      <c r="E221" s="337"/>
      <c r="F221" s="337"/>
      <c r="G221" s="337"/>
      <c r="H221" s="337"/>
      <c r="I221" s="337"/>
      <c r="J221" s="337"/>
      <c r="K221" s="337"/>
      <c r="L221" s="337"/>
      <c r="M221" s="337"/>
      <c r="N221" s="337"/>
      <c r="O221" s="46"/>
      <c r="S221" s="43"/>
    </row>
    <row r="222" spans="2:19">
      <c r="B222" s="109"/>
      <c r="C222" s="337"/>
      <c r="D222" s="337"/>
      <c r="E222" s="337"/>
      <c r="F222" s="337"/>
      <c r="G222" s="337"/>
      <c r="H222" s="337"/>
      <c r="I222" s="337"/>
      <c r="J222" s="337"/>
      <c r="K222" s="337"/>
      <c r="L222" s="337"/>
      <c r="M222" s="337"/>
      <c r="N222" s="337"/>
      <c r="O222" s="46"/>
      <c r="S222" s="43"/>
    </row>
    <row r="223" spans="2:19">
      <c r="B223" s="109"/>
      <c r="C223" s="337"/>
      <c r="D223" s="337"/>
      <c r="E223" s="337"/>
      <c r="F223" s="337"/>
      <c r="G223" s="337"/>
      <c r="H223" s="337"/>
      <c r="I223" s="337"/>
      <c r="J223" s="337"/>
      <c r="K223" s="337"/>
      <c r="L223" s="337"/>
      <c r="M223" s="337"/>
      <c r="N223" s="337"/>
      <c r="O223" s="46"/>
      <c r="S223" s="43"/>
    </row>
    <row r="224" spans="2:19">
      <c r="B224" s="109"/>
      <c r="C224" s="337"/>
      <c r="D224" s="337"/>
      <c r="E224" s="337"/>
      <c r="F224" s="337"/>
      <c r="G224" s="337"/>
      <c r="H224" s="337"/>
      <c r="I224" s="337"/>
      <c r="J224" s="337"/>
      <c r="K224" s="337"/>
      <c r="L224" s="337"/>
      <c r="M224" s="337"/>
      <c r="N224" s="337"/>
      <c r="O224" s="46"/>
      <c r="S224" s="43"/>
    </row>
    <row r="225" spans="2:19">
      <c r="B225" s="109"/>
      <c r="C225" s="337"/>
      <c r="D225" s="337"/>
      <c r="E225" s="337"/>
      <c r="F225" s="337"/>
      <c r="G225" s="337"/>
      <c r="H225" s="337"/>
      <c r="I225" s="337"/>
      <c r="J225" s="337"/>
      <c r="K225" s="337"/>
      <c r="L225" s="337"/>
      <c r="M225" s="337"/>
      <c r="N225" s="337"/>
      <c r="O225" s="46"/>
      <c r="S225" s="43"/>
    </row>
    <row r="226" spans="2:19">
      <c r="B226" s="109"/>
      <c r="C226" s="337"/>
      <c r="D226" s="337"/>
      <c r="E226" s="337"/>
      <c r="F226" s="337"/>
      <c r="G226" s="337"/>
      <c r="H226" s="337"/>
      <c r="I226" s="337"/>
      <c r="J226" s="337"/>
      <c r="K226" s="337"/>
      <c r="L226" s="337"/>
      <c r="M226" s="337"/>
      <c r="N226" s="337"/>
      <c r="O226" s="46"/>
      <c r="S226" s="43"/>
    </row>
    <row r="227" spans="2:19">
      <c r="B227" s="109"/>
      <c r="C227" s="337"/>
      <c r="D227" s="337"/>
      <c r="E227" s="337"/>
      <c r="F227" s="337"/>
      <c r="G227" s="337"/>
      <c r="H227" s="337"/>
      <c r="I227" s="337"/>
      <c r="J227" s="337"/>
      <c r="K227" s="337"/>
      <c r="L227" s="337"/>
      <c r="M227" s="337"/>
      <c r="N227" s="337"/>
      <c r="O227" s="46"/>
      <c r="S227" s="43"/>
    </row>
    <row r="228" spans="2:19">
      <c r="B228" s="109"/>
      <c r="C228" s="337"/>
      <c r="D228" s="337"/>
      <c r="E228" s="337"/>
      <c r="F228" s="337"/>
      <c r="G228" s="337"/>
      <c r="H228" s="337"/>
      <c r="I228" s="337"/>
      <c r="J228" s="337"/>
      <c r="K228" s="337"/>
      <c r="L228" s="337"/>
      <c r="M228" s="337"/>
      <c r="N228" s="337"/>
      <c r="O228" s="46"/>
      <c r="S228" s="43"/>
    </row>
    <row r="229" spans="2:19">
      <c r="B229" s="109"/>
      <c r="C229" s="337"/>
      <c r="D229" s="337"/>
      <c r="E229" s="337"/>
      <c r="F229" s="337"/>
      <c r="G229" s="337"/>
      <c r="H229" s="337"/>
      <c r="I229" s="337"/>
      <c r="J229" s="337"/>
      <c r="K229" s="337"/>
      <c r="L229" s="337"/>
      <c r="M229" s="337"/>
      <c r="N229" s="337"/>
      <c r="O229" s="46"/>
      <c r="S229" s="43"/>
    </row>
    <row r="230" spans="2:19">
      <c r="B230" s="109"/>
      <c r="C230" s="337"/>
      <c r="D230" s="337"/>
      <c r="E230" s="337"/>
      <c r="F230" s="337"/>
      <c r="G230" s="337"/>
      <c r="H230" s="337"/>
      <c r="I230" s="337"/>
      <c r="J230" s="337"/>
      <c r="K230" s="337"/>
      <c r="L230" s="337"/>
      <c r="M230" s="337"/>
      <c r="N230" s="337"/>
      <c r="O230" s="46"/>
      <c r="S230" s="43"/>
    </row>
    <row r="231" spans="2:19">
      <c r="B231" s="109"/>
      <c r="C231" s="337"/>
      <c r="D231" s="337"/>
      <c r="E231" s="337"/>
      <c r="F231" s="337"/>
      <c r="G231" s="337"/>
      <c r="H231" s="337"/>
      <c r="I231" s="337"/>
      <c r="J231" s="337"/>
      <c r="K231" s="337"/>
      <c r="L231" s="337"/>
      <c r="M231" s="337"/>
      <c r="N231" s="337"/>
      <c r="O231" s="46"/>
      <c r="S231" s="43"/>
    </row>
    <row r="232" spans="2:19">
      <c r="B232" s="109"/>
      <c r="C232" s="337"/>
      <c r="D232" s="337"/>
      <c r="E232" s="337"/>
      <c r="F232" s="337"/>
      <c r="G232" s="337"/>
      <c r="H232" s="337"/>
      <c r="I232" s="337"/>
      <c r="J232" s="337"/>
      <c r="K232" s="337"/>
      <c r="L232" s="337"/>
      <c r="M232" s="337"/>
      <c r="N232" s="337"/>
      <c r="O232" s="46"/>
      <c r="S232" s="43"/>
    </row>
    <row r="233" spans="2:19">
      <c r="B233" s="109"/>
      <c r="C233" s="337"/>
      <c r="D233" s="337"/>
      <c r="E233" s="337"/>
      <c r="F233" s="337"/>
      <c r="G233" s="337"/>
      <c r="H233" s="337"/>
      <c r="I233" s="337"/>
      <c r="J233" s="337"/>
      <c r="K233" s="337"/>
      <c r="L233" s="337"/>
      <c r="M233" s="337"/>
      <c r="N233" s="337"/>
      <c r="O233" s="46"/>
      <c r="S233" s="43"/>
    </row>
    <row r="234" spans="2:19">
      <c r="B234" s="109"/>
      <c r="C234" s="337"/>
      <c r="D234" s="337"/>
      <c r="E234" s="337"/>
      <c r="F234" s="337"/>
      <c r="G234" s="337"/>
      <c r="H234" s="337"/>
      <c r="I234" s="337"/>
      <c r="J234" s="337"/>
      <c r="K234" s="337"/>
      <c r="L234" s="337"/>
      <c r="M234" s="337"/>
      <c r="N234" s="337"/>
      <c r="O234" s="46"/>
      <c r="S234" s="43"/>
    </row>
    <row r="235" spans="2:19">
      <c r="B235" s="109"/>
      <c r="C235" s="337"/>
      <c r="D235" s="337"/>
      <c r="E235" s="337"/>
      <c r="F235" s="337"/>
      <c r="G235" s="337"/>
      <c r="H235" s="337"/>
      <c r="I235" s="337"/>
      <c r="J235" s="337"/>
      <c r="K235" s="337"/>
      <c r="L235" s="337"/>
      <c r="M235" s="337"/>
      <c r="N235" s="337"/>
      <c r="O235" s="46"/>
      <c r="S235" s="43"/>
    </row>
    <row r="236" spans="2:19">
      <c r="B236" s="109"/>
      <c r="C236" s="337"/>
      <c r="D236" s="337"/>
      <c r="E236" s="337"/>
      <c r="F236" s="337"/>
      <c r="G236" s="337"/>
      <c r="H236" s="337"/>
      <c r="I236" s="337"/>
      <c r="J236" s="337"/>
      <c r="K236" s="337"/>
      <c r="L236" s="337"/>
      <c r="M236" s="337"/>
      <c r="N236" s="337"/>
      <c r="O236" s="46"/>
      <c r="S236" s="43"/>
    </row>
    <row r="237" spans="2:19">
      <c r="B237" s="109"/>
      <c r="C237" s="337"/>
      <c r="D237" s="337"/>
      <c r="E237" s="337"/>
      <c r="F237" s="337"/>
      <c r="G237" s="337"/>
      <c r="H237" s="337"/>
      <c r="I237" s="337"/>
      <c r="J237" s="337"/>
      <c r="K237" s="337"/>
      <c r="L237" s="337"/>
      <c r="M237" s="337"/>
      <c r="N237" s="337"/>
      <c r="O237" s="46"/>
      <c r="S237" s="43"/>
    </row>
    <row r="238" spans="2:19">
      <c r="B238" s="109"/>
      <c r="C238" s="337"/>
      <c r="D238" s="337"/>
      <c r="E238" s="337"/>
      <c r="F238" s="337"/>
      <c r="G238" s="337"/>
      <c r="H238" s="337"/>
      <c r="I238" s="337"/>
      <c r="J238" s="337"/>
      <c r="K238" s="337"/>
      <c r="L238" s="337"/>
      <c r="M238" s="337"/>
      <c r="N238" s="337"/>
      <c r="O238" s="46"/>
      <c r="S238" s="43"/>
    </row>
    <row r="239" spans="2:19">
      <c r="B239" s="109"/>
      <c r="C239" s="337"/>
      <c r="D239" s="337"/>
      <c r="E239" s="337"/>
      <c r="F239" s="337"/>
      <c r="G239" s="337"/>
      <c r="H239" s="337"/>
      <c r="I239" s="337"/>
      <c r="J239" s="337"/>
      <c r="K239" s="337"/>
      <c r="L239" s="337"/>
      <c r="M239" s="337"/>
      <c r="N239" s="337"/>
      <c r="O239" s="46"/>
      <c r="S239" s="43"/>
    </row>
    <row r="240" spans="2:19">
      <c r="B240" s="109"/>
      <c r="C240" s="337"/>
      <c r="D240" s="337"/>
      <c r="E240" s="337"/>
      <c r="F240" s="337"/>
      <c r="G240" s="337"/>
      <c r="H240" s="337"/>
      <c r="I240" s="337"/>
      <c r="J240" s="337"/>
      <c r="K240" s="337"/>
      <c r="L240" s="337"/>
      <c r="M240" s="337"/>
      <c r="N240" s="337"/>
      <c r="O240" s="46"/>
      <c r="S240" s="43"/>
    </row>
    <row r="241" spans="2:19">
      <c r="B241" s="109"/>
      <c r="C241" s="337"/>
      <c r="D241" s="337"/>
      <c r="E241" s="337"/>
      <c r="F241" s="337"/>
      <c r="G241" s="337"/>
      <c r="H241" s="337"/>
      <c r="I241" s="337"/>
      <c r="J241" s="337"/>
      <c r="K241" s="337"/>
      <c r="L241" s="337"/>
      <c r="M241" s="337"/>
      <c r="N241" s="337"/>
      <c r="O241" s="46"/>
      <c r="S241" s="43"/>
    </row>
    <row r="242" spans="2:19">
      <c r="B242" s="109"/>
      <c r="C242" s="337"/>
      <c r="D242" s="337"/>
      <c r="E242" s="337"/>
      <c r="F242" s="337"/>
      <c r="G242" s="337"/>
      <c r="H242" s="337"/>
      <c r="I242" s="337"/>
      <c r="J242" s="337"/>
      <c r="K242" s="337"/>
      <c r="L242" s="337"/>
      <c r="M242" s="337"/>
      <c r="N242" s="337"/>
      <c r="O242" s="46"/>
      <c r="S242" s="43"/>
    </row>
    <row r="243" spans="2:19">
      <c r="B243" s="109"/>
      <c r="C243" s="337"/>
      <c r="D243" s="337"/>
      <c r="E243" s="337"/>
      <c r="F243" s="337"/>
      <c r="G243" s="337"/>
      <c r="H243" s="337"/>
      <c r="I243" s="337"/>
      <c r="J243" s="337"/>
      <c r="K243" s="337"/>
      <c r="L243" s="337"/>
      <c r="M243" s="337"/>
      <c r="N243" s="337"/>
      <c r="O243" s="46"/>
      <c r="S243" s="43"/>
    </row>
    <row r="244" spans="2:19">
      <c r="B244" s="109"/>
      <c r="C244" s="337"/>
      <c r="D244" s="337"/>
      <c r="E244" s="337"/>
      <c r="F244" s="337"/>
      <c r="G244" s="337"/>
      <c r="H244" s="337"/>
      <c r="I244" s="337"/>
      <c r="J244" s="337"/>
      <c r="K244" s="337"/>
      <c r="L244" s="337"/>
      <c r="M244" s="337"/>
      <c r="N244" s="337"/>
      <c r="O244" s="46"/>
      <c r="S244" s="43"/>
    </row>
    <row r="245" spans="2:19">
      <c r="B245" s="109"/>
      <c r="C245" s="337"/>
      <c r="D245" s="337"/>
      <c r="E245" s="337"/>
      <c r="F245" s="337"/>
      <c r="G245" s="337"/>
      <c r="H245" s="337"/>
      <c r="I245" s="337"/>
      <c r="J245" s="337"/>
      <c r="K245" s="337"/>
      <c r="L245" s="337"/>
      <c r="M245" s="337"/>
      <c r="N245" s="337"/>
      <c r="O245" s="46"/>
      <c r="S245" s="43"/>
    </row>
    <row r="246" spans="2:19">
      <c r="B246" s="109"/>
      <c r="C246" s="337"/>
      <c r="D246" s="337"/>
      <c r="E246" s="337"/>
      <c r="F246" s="337"/>
      <c r="G246" s="337"/>
      <c r="H246" s="337"/>
      <c r="I246" s="337"/>
      <c r="J246" s="337"/>
      <c r="K246" s="337"/>
      <c r="L246" s="337"/>
      <c r="M246" s="337"/>
      <c r="N246" s="337"/>
      <c r="O246" s="46"/>
      <c r="S246" s="43"/>
    </row>
    <row r="247" spans="2:19">
      <c r="B247" s="109"/>
      <c r="C247" s="337"/>
      <c r="D247" s="337"/>
      <c r="E247" s="337"/>
      <c r="F247" s="337"/>
      <c r="G247" s="337"/>
      <c r="H247" s="337"/>
      <c r="I247" s="337"/>
      <c r="J247" s="337"/>
      <c r="K247" s="337"/>
      <c r="L247" s="337"/>
      <c r="M247" s="337"/>
      <c r="N247" s="337"/>
      <c r="O247" s="46"/>
      <c r="S247" s="43"/>
    </row>
    <row r="248" spans="2:19">
      <c r="B248" s="109"/>
      <c r="C248" s="337"/>
      <c r="D248" s="337"/>
      <c r="E248" s="337"/>
      <c r="F248" s="337"/>
      <c r="G248" s="337"/>
      <c r="H248" s="337"/>
      <c r="I248" s="337"/>
      <c r="J248" s="337"/>
      <c r="K248" s="337"/>
      <c r="L248" s="337"/>
      <c r="M248" s="337"/>
      <c r="N248" s="337"/>
      <c r="O248" s="46"/>
      <c r="S248" s="43"/>
    </row>
    <row r="249" spans="2:19">
      <c r="B249" s="109"/>
      <c r="C249" s="337"/>
      <c r="D249" s="337"/>
      <c r="E249" s="337"/>
      <c r="F249" s="337"/>
      <c r="G249" s="337"/>
      <c r="H249" s="337"/>
      <c r="I249" s="337"/>
      <c r="J249" s="337"/>
      <c r="K249" s="337"/>
      <c r="L249" s="337"/>
      <c r="M249" s="337"/>
      <c r="N249" s="337"/>
      <c r="O249" s="46"/>
      <c r="S249" s="43"/>
    </row>
    <row r="250" spans="2:19">
      <c r="B250" s="109"/>
      <c r="C250" s="337"/>
      <c r="D250" s="337"/>
      <c r="E250" s="337"/>
      <c r="F250" s="337"/>
      <c r="G250" s="337"/>
      <c r="H250" s="337"/>
      <c r="I250" s="337"/>
      <c r="J250" s="337"/>
      <c r="K250" s="337"/>
      <c r="L250" s="337"/>
      <c r="M250" s="337"/>
      <c r="N250" s="337"/>
      <c r="O250" s="46"/>
      <c r="S250" s="43"/>
    </row>
    <row r="251" spans="2:19">
      <c r="B251" s="109"/>
      <c r="C251" s="337"/>
      <c r="D251" s="337"/>
      <c r="E251" s="337"/>
      <c r="F251" s="337"/>
      <c r="G251" s="337"/>
      <c r="H251" s="337"/>
      <c r="I251" s="337"/>
      <c r="J251" s="337"/>
      <c r="K251" s="337"/>
      <c r="L251" s="337"/>
      <c r="M251" s="337"/>
      <c r="N251" s="337"/>
      <c r="O251" s="46"/>
      <c r="S251" s="43"/>
    </row>
    <row r="252" spans="2:19">
      <c r="B252" s="109"/>
      <c r="C252" s="337"/>
      <c r="D252" s="337"/>
      <c r="E252" s="337"/>
      <c r="F252" s="337"/>
      <c r="G252" s="337"/>
      <c r="H252" s="337"/>
      <c r="I252" s="337"/>
      <c r="J252" s="337"/>
      <c r="K252" s="337"/>
      <c r="L252" s="337"/>
      <c r="M252" s="337"/>
      <c r="N252" s="337"/>
      <c r="O252" s="46"/>
      <c r="S252" s="43"/>
    </row>
    <row r="253" spans="2:19">
      <c r="B253" s="109"/>
      <c r="C253" s="337"/>
      <c r="D253" s="337"/>
      <c r="E253" s="337"/>
      <c r="F253" s="337"/>
      <c r="G253" s="337"/>
      <c r="H253" s="337"/>
      <c r="I253" s="337"/>
      <c r="J253" s="337"/>
      <c r="K253" s="337"/>
      <c r="L253" s="337"/>
      <c r="M253" s="337"/>
      <c r="N253" s="337"/>
      <c r="O253" s="46"/>
      <c r="S253" s="43"/>
    </row>
    <row r="254" spans="2:19">
      <c r="B254" s="109"/>
      <c r="C254" s="337"/>
      <c r="D254" s="337"/>
      <c r="E254" s="337"/>
      <c r="F254" s="337"/>
      <c r="G254" s="337"/>
      <c r="H254" s="337"/>
      <c r="I254" s="337"/>
      <c r="J254" s="337"/>
      <c r="K254" s="337"/>
      <c r="L254" s="337"/>
      <c r="M254" s="337"/>
      <c r="N254" s="337"/>
      <c r="O254" s="46"/>
      <c r="S254" s="43"/>
    </row>
    <row r="255" spans="2:19">
      <c r="B255" s="109"/>
      <c r="C255" s="337"/>
      <c r="D255" s="337"/>
      <c r="E255" s="337"/>
      <c r="F255" s="337"/>
      <c r="G255" s="337"/>
      <c r="H255" s="337"/>
      <c r="I255" s="337"/>
      <c r="J255" s="337"/>
      <c r="K255" s="337"/>
      <c r="L255" s="337"/>
      <c r="M255" s="337"/>
      <c r="N255" s="337"/>
      <c r="O255" s="46"/>
      <c r="S255" s="43"/>
    </row>
    <row r="256" spans="2:19">
      <c r="B256" s="109"/>
      <c r="C256" s="337"/>
      <c r="D256" s="337"/>
      <c r="E256" s="337"/>
      <c r="F256" s="337"/>
      <c r="G256" s="337"/>
      <c r="H256" s="337"/>
      <c r="I256" s="337"/>
      <c r="J256" s="337"/>
      <c r="K256" s="337"/>
      <c r="L256" s="337"/>
      <c r="M256" s="337"/>
      <c r="N256" s="337"/>
      <c r="O256" s="46"/>
      <c r="S256" s="43"/>
    </row>
    <row r="257" spans="2:19">
      <c r="B257" s="109"/>
      <c r="C257" s="337"/>
      <c r="D257" s="337"/>
      <c r="E257" s="337"/>
      <c r="F257" s="337"/>
      <c r="G257" s="337"/>
      <c r="H257" s="337"/>
      <c r="I257" s="337"/>
      <c r="J257" s="337"/>
      <c r="K257" s="337"/>
      <c r="L257" s="337"/>
      <c r="M257" s="337"/>
      <c r="N257" s="337"/>
      <c r="O257" s="46"/>
      <c r="S257" s="43"/>
    </row>
    <row r="258" spans="2:19">
      <c r="B258" s="109"/>
      <c r="C258" s="337"/>
      <c r="D258" s="337"/>
      <c r="E258" s="337"/>
      <c r="F258" s="337"/>
      <c r="G258" s="337"/>
      <c r="H258" s="337"/>
      <c r="I258" s="337"/>
      <c r="J258" s="337"/>
      <c r="K258" s="337"/>
      <c r="L258" s="337"/>
      <c r="M258" s="337"/>
      <c r="N258" s="337"/>
      <c r="O258" s="46"/>
      <c r="S258" s="43"/>
    </row>
    <row r="259" spans="2:19">
      <c r="B259" s="109"/>
      <c r="C259" s="337"/>
      <c r="D259" s="337"/>
      <c r="E259" s="337"/>
      <c r="F259" s="337"/>
      <c r="G259" s="337"/>
      <c r="H259" s="337"/>
      <c r="I259" s="337"/>
      <c r="J259" s="337"/>
      <c r="K259" s="337"/>
      <c r="L259" s="337"/>
      <c r="M259" s="337"/>
      <c r="N259" s="337"/>
      <c r="O259" s="46"/>
      <c r="S259" s="43"/>
    </row>
    <row r="260" spans="2:19">
      <c r="B260" s="109"/>
      <c r="C260" s="337"/>
      <c r="D260" s="337"/>
      <c r="E260" s="337"/>
      <c r="F260" s="337"/>
      <c r="G260" s="337"/>
      <c r="H260" s="337"/>
      <c r="I260" s="337"/>
      <c r="J260" s="337"/>
      <c r="K260" s="337"/>
      <c r="L260" s="337"/>
      <c r="M260" s="337"/>
      <c r="N260" s="337"/>
      <c r="O260" s="46"/>
      <c r="S260" s="43"/>
    </row>
    <row r="261" spans="2:19">
      <c r="B261" s="109"/>
      <c r="C261" s="337"/>
      <c r="D261" s="337"/>
      <c r="E261" s="337"/>
      <c r="F261" s="337"/>
      <c r="G261" s="337"/>
      <c r="H261" s="337"/>
      <c r="I261" s="337"/>
      <c r="J261" s="337"/>
      <c r="K261" s="337"/>
      <c r="L261" s="337"/>
      <c r="M261" s="337"/>
      <c r="N261" s="337"/>
      <c r="O261" s="46"/>
      <c r="S261" s="43"/>
    </row>
    <row r="262" spans="2:19">
      <c r="B262" s="109"/>
      <c r="C262" s="337"/>
      <c r="D262" s="337"/>
      <c r="E262" s="337"/>
      <c r="F262" s="337"/>
      <c r="G262" s="337"/>
      <c r="H262" s="337"/>
      <c r="I262" s="337"/>
      <c r="J262" s="337"/>
      <c r="K262" s="337"/>
      <c r="L262" s="337"/>
      <c r="M262" s="337"/>
      <c r="N262" s="337"/>
      <c r="O262" s="46"/>
      <c r="S262" s="43"/>
    </row>
    <row r="263" spans="2:19">
      <c r="B263" s="109"/>
      <c r="C263" s="337"/>
      <c r="D263" s="337"/>
      <c r="E263" s="337"/>
      <c r="F263" s="337"/>
      <c r="G263" s="337"/>
      <c r="H263" s="337"/>
      <c r="I263" s="337"/>
      <c r="J263" s="337"/>
      <c r="K263" s="337"/>
      <c r="L263" s="337"/>
      <c r="M263" s="337"/>
      <c r="N263" s="337"/>
      <c r="O263" s="46"/>
      <c r="S263" s="43"/>
    </row>
    <row r="264" spans="2:19">
      <c r="B264" s="109"/>
      <c r="C264" s="337"/>
      <c r="D264" s="337"/>
      <c r="E264" s="337"/>
      <c r="F264" s="337"/>
      <c r="G264" s="337"/>
      <c r="H264" s="337"/>
      <c r="I264" s="337"/>
      <c r="J264" s="337"/>
      <c r="K264" s="337"/>
      <c r="L264" s="337"/>
      <c r="M264" s="337"/>
      <c r="N264" s="337"/>
      <c r="O264" s="46"/>
      <c r="S264" s="43"/>
    </row>
    <row r="265" spans="2:19">
      <c r="B265" s="109"/>
      <c r="C265" s="337"/>
      <c r="D265" s="337"/>
      <c r="E265" s="337"/>
      <c r="F265" s="337"/>
      <c r="G265" s="337"/>
      <c r="H265" s="337"/>
      <c r="I265" s="337"/>
      <c r="J265" s="337"/>
      <c r="K265" s="337"/>
      <c r="L265" s="337"/>
      <c r="M265" s="337"/>
      <c r="N265" s="337"/>
      <c r="O265" s="46"/>
      <c r="S265" s="43"/>
    </row>
    <row r="266" spans="2:19">
      <c r="B266" s="109"/>
      <c r="C266" s="337"/>
      <c r="D266" s="337"/>
      <c r="E266" s="337"/>
      <c r="F266" s="337"/>
      <c r="G266" s="337"/>
      <c r="H266" s="337"/>
      <c r="I266" s="337"/>
      <c r="J266" s="337"/>
      <c r="K266" s="337"/>
      <c r="L266" s="337"/>
      <c r="M266" s="337"/>
      <c r="N266" s="337"/>
      <c r="O266" s="46"/>
      <c r="S266" s="43"/>
    </row>
    <row r="267" spans="2:19">
      <c r="B267" s="109"/>
      <c r="C267" s="337"/>
      <c r="D267" s="337"/>
      <c r="E267" s="337"/>
      <c r="F267" s="337"/>
      <c r="G267" s="337"/>
      <c r="H267" s="337"/>
      <c r="I267" s="337"/>
      <c r="J267" s="337"/>
      <c r="K267" s="337"/>
      <c r="L267" s="337"/>
      <c r="M267" s="337"/>
      <c r="N267" s="337"/>
      <c r="O267" s="46"/>
      <c r="S267" s="43"/>
    </row>
    <row r="268" spans="2:19">
      <c r="B268" s="109"/>
      <c r="C268" s="337"/>
      <c r="D268" s="337"/>
      <c r="E268" s="337"/>
      <c r="F268" s="337"/>
      <c r="G268" s="337"/>
      <c r="H268" s="337"/>
      <c r="I268" s="337"/>
      <c r="J268" s="337"/>
      <c r="K268" s="337"/>
      <c r="L268" s="337"/>
      <c r="M268" s="337"/>
      <c r="N268" s="337"/>
      <c r="O268" s="46"/>
      <c r="S268" s="43"/>
    </row>
    <row r="269" spans="2:19">
      <c r="B269" s="109"/>
      <c r="C269" s="337"/>
      <c r="D269" s="337"/>
      <c r="E269" s="337"/>
      <c r="F269" s="337"/>
      <c r="G269" s="337"/>
      <c r="H269" s="337"/>
      <c r="I269" s="337"/>
      <c r="J269" s="337"/>
      <c r="K269" s="337"/>
      <c r="L269" s="337"/>
      <c r="M269" s="337"/>
      <c r="N269" s="337"/>
      <c r="O269" s="46"/>
      <c r="S269" s="43"/>
    </row>
    <row r="270" spans="2:19">
      <c r="B270" s="109"/>
      <c r="C270" s="337"/>
      <c r="D270" s="337"/>
      <c r="E270" s="337"/>
      <c r="F270" s="337"/>
      <c r="G270" s="337"/>
      <c r="H270" s="337"/>
      <c r="I270" s="337"/>
      <c r="J270" s="337"/>
      <c r="K270" s="337"/>
      <c r="L270" s="337"/>
      <c r="M270" s="337"/>
      <c r="N270" s="337"/>
      <c r="O270" s="46"/>
      <c r="S270" s="43"/>
    </row>
    <row r="271" spans="2:19">
      <c r="B271" s="109"/>
      <c r="C271" s="337"/>
      <c r="D271" s="337"/>
      <c r="E271" s="337"/>
      <c r="F271" s="337"/>
      <c r="G271" s="337"/>
      <c r="H271" s="337"/>
      <c r="I271" s="337"/>
      <c r="J271" s="337"/>
      <c r="K271" s="337"/>
      <c r="L271" s="337"/>
      <c r="M271" s="337"/>
      <c r="N271" s="337"/>
      <c r="O271" s="46"/>
      <c r="S271" s="43"/>
    </row>
    <row r="272" spans="2:19">
      <c r="B272" s="109"/>
      <c r="C272" s="337"/>
      <c r="D272" s="337"/>
      <c r="E272" s="337"/>
      <c r="F272" s="337"/>
      <c r="G272" s="337"/>
      <c r="H272" s="337"/>
      <c r="I272" s="337"/>
      <c r="J272" s="337"/>
      <c r="K272" s="337"/>
      <c r="L272" s="337"/>
      <c r="M272" s="337"/>
      <c r="N272" s="337"/>
      <c r="O272" s="46"/>
      <c r="S272" s="43"/>
    </row>
    <row r="273" spans="2:19">
      <c r="B273" s="109"/>
      <c r="C273" s="337"/>
      <c r="D273" s="337"/>
      <c r="E273" s="337"/>
      <c r="F273" s="337"/>
      <c r="G273" s="337"/>
      <c r="H273" s="337"/>
      <c r="I273" s="337"/>
      <c r="J273" s="337"/>
      <c r="K273" s="337"/>
      <c r="L273" s="337"/>
      <c r="M273" s="337"/>
      <c r="N273" s="337"/>
      <c r="O273" s="46"/>
      <c r="S273" s="43"/>
    </row>
    <row r="274" spans="2:19">
      <c r="B274" s="109"/>
      <c r="C274" s="337"/>
      <c r="D274" s="337"/>
      <c r="E274" s="337"/>
      <c r="F274" s="337"/>
      <c r="G274" s="337"/>
      <c r="H274" s="337"/>
      <c r="I274" s="337"/>
      <c r="J274" s="337"/>
      <c r="K274" s="337"/>
      <c r="L274" s="337"/>
      <c r="M274" s="337"/>
      <c r="N274" s="337"/>
      <c r="O274" s="46"/>
      <c r="S274" s="43"/>
    </row>
    <row r="275" spans="2:19">
      <c r="B275" s="109"/>
      <c r="C275" s="337"/>
      <c r="D275" s="337"/>
      <c r="E275" s="337"/>
      <c r="F275" s="337"/>
      <c r="G275" s="337"/>
      <c r="H275" s="337"/>
      <c r="I275" s="337"/>
      <c r="J275" s="337"/>
      <c r="K275" s="337"/>
      <c r="L275" s="337"/>
      <c r="M275" s="337"/>
      <c r="N275" s="337"/>
      <c r="O275" s="46"/>
      <c r="S275" s="43"/>
    </row>
    <row r="276" spans="2:19">
      <c r="B276" s="109"/>
      <c r="C276" s="337"/>
      <c r="D276" s="337"/>
      <c r="E276" s="337"/>
      <c r="F276" s="337"/>
      <c r="G276" s="337"/>
      <c r="H276" s="337"/>
      <c r="I276" s="337"/>
      <c r="J276" s="337"/>
      <c r="K276" s="337"/>
      <c r="L276" s="337"/>
      <c r="M276" s="337"/>
      <c r="N276" s="337"/>
      <c r="O276" s="46"/>
      <c r="S276" s="43"/>
    </row>
    <row r="277" spans="2:19">
      <c r="B277" s="109"/>
      <c r="C277" s="337"/>
      <c r="D277" s="337"/>
      <c r="E277" s="337"/>
      <c r="F277" s="337"/>
      <c r="G277" s="337"/>
      <c r="H277" s="337"/>
      <c r="I277" s="337"/>
      <c r="J277" s="337"/>
      <c r="K277" s="337"/>
      <c r="L277" s="337"/>
      <c r="M277" s="337"/>
      <c r="N277" s="337"/>
      <c r="O277" s="46"/>
      <c r="S277" s="43"/>
    </row>
    <row r="278" spans="2:19">
      <c r="B278" s="109"/>
      <c r="C278" s="337"/>
      <c r="D278" s="337"/>
      <c r="E278" s="337"/>
      <c r="F278" s="337"/>
      <c r="G278" s="337"/>
      <c r="H278" s="337"/>
      <c r="I278" s="337"/>
      <c r="J278" s="337"/>
      <c r="K278" s="337"/>
      <c r="L278" s="337"/>
      <c r="M278" s="337"/>
      <c r="N278" s="337"/>
      <c r="O278" s="46"/>
      <c r="S278" s="43"/>
    </row>
    <row r="279" spans="2:19">
      <c r="B279" s="109"/>
      <c r="C279" s="337"/>
      <c r="D279" s="337"/>
      <c r="E279" s="337"/>
      <c r="F279" s="337"/>
      <c r="G279" s="337"/>
      <c r="H279" s="337"/>
      <c r="I279" s="337"/>
      <c r="J279" s="337"/>
      <c r="K279" s="337"/>
      <c r="L279" s="337"/>
      <c r="M279" s="337"/>
      <c r="N279" s="337"/>
      <c r="O279" s="46"/>
      <c r="S279" s="43"/>
    </row>
    <row r="280" spans="2:19">
      <c r="B280" s="109"/>
      <c r="C280" s="337"/>
      <c r="D280" s="337"/>
      <c r="E280" s="337"/>
      <c r="F280" s="337"/>
      <c r="G280" s="337"/>
      <c r="H280" s="337"/>
      <c r="I280" s="337"/>
      <c r="J280" s="337"/>
      <c r="K280" s="337"/>
      <c r="L280" s="337"/>
      <c r="M280" s="337"/>
      <c r="N280" s="337"/>
      <c r="O280" s="46"/>
      <c r="S280" s="43"/>
    </row>
    <row r="281" spans="2:19">
      <c r="B281" s="109"/>
      <c r="C281" s="337"/>
      <c r="D281" s="337"/>
      <c r="E281" s="337"/>
      <c r="F281" s="337"/>
      <c r="G281" s="337"/>
      <c r="H281" s="337"/>
      <c r="I281" s="337"/>
      <c r="J281" s="337"/>
      <c r="K281" s="337"/>
      <c r="L281" s="337"/>
      <c r="M281" s="337"/>
      <c r="N281" s="337"/>
      <c r="O281" s="46"/>
      <c r="S281" s="43"/>
    </row>
    <row r="282" spans="2:19">
      <c r="B282" s="109"/>
      <c r="C282" s="337"/>
      <c r="D282" s="337"/>
      <c r="E282" s="337"/>
      <c r="F282" s="337"/>
      <c r="G282" s="337"/>
      <c r="H282" s="337"/>
      <c r="I282" s="337"/>
      <c r="J282" s="337"/>
      <c r="K282" s="337"/>
      <c r="L282" s="337"/>
      <c r="M282" s="337"/>
      <c r="N282" s="337"/>
      <c r="O282" s="46"/>
      <c r="S282" s="43"/>
    </row>
    <row r="283" spans="2:19">
      <c r="B283" s="109"/>
      <c r="C283" s="337"/>
      <c r="D283" s="337"/>
      <c r="E283" s="337"/>
      <c r="F283" s="337"/>
      <c r="G283" s="337"/>
      <c r="H283" s="337"/>
      <c r="I283" s="337"/>
      <c r="J283" s="337"/>
      <c r="K283" s="337"/>
      <c r="L283" s="337"/>
      <c r="M283" s="337"/>
      <c r="N283" s="337"/>
      <c r="O283" s="46"/>
      <c r="S283" s="43"/>
    </row>
    <row r="284" spans="2:19">
      <c r="B284" s="109"/>
      <c r="C284" s="337"/>
      <c r="D284" s="337"/>
      <c r="E284" s="337"/>
      <c r="F284" s="337"/>
      <c r="G284" s="337"/>
      <c r="H284" s="337"/>
      <c r="I284" s="337"/>
      <c r="J284" s="337"/>
      <c r="K284" s="337"/>
      <c r="L284" s="337"/>
      <c r="M284" s="337"/>
      <c r="N284" s="337"/>
      <c r="O284" s="46"/>
      <c r="S284" s="43"/>
    </row>
    <row r="285" spans="2:19">
      <c r="B285" s="109"/>
      <c r="C285" s="337"/>
      <c r="D285" s="337"/>
      <c r="E285" s="337"/>
      <c r="F285" s="337"/>
      <c r="G285" s="337"/>
      <c r="H285" s="337"/>
      <c r="I285" s="337"/>
      <c r="J285" s="337"/>
      <c r="K285" s="337"/>
      <c r="L285" s="337"/>
      <c r="M285" s="337"/>
      <c r="N285" s="337"/>
      <c r="O285" s="46"/>
      <c r="S285" s="43"/>
    </row>
    <row r="286" spans="2:19">
      <c r="B286" s="109"/>
      <c r="C286" s="337"/>
      <c r="D286" s="337"/>
      <c r="E286" s="337"/>
      <c r="F286" s="337"/>
      <c r="G286" s="337"/>
      <c r="H286" s="337"/>
      <c r="I286" s="337"/>
      <c r="J286" s="337"/>
      <c r="K286" s="337"/>
      <c r="L286" s="337"/>
      <c r="M286" s="337"/>
      <c r="N286" s="337"/>
      <c r="O286" s="46"/>
      <c r="S286" s="43"/>
    </row>
    <row r="287" spans="2:19">
      <c r="B287" s="109"/>
      <c r="C287" s="337"/>
      <c r="D287" s="337"/>
      <c r="E287" s="337"/>
      <c r="F287" s="337"/>
      <c r="G287" s="337"/>
      <c r="H287" s="337"/>
      <c r="I287" s="337"/>
      <c r="J287" s="337"/>
      <c r="K287" s="337"/>
      <c r="L287" s="337"/>
      <c r="M287" s="337"/>
      <c r="N287" s="337"/>
      <c r="O287" s="46"/>
      <c r="S287" s="43"/>
    </row>
    <row r="288" spans="2:19">
      <c r="B288" s="109"/>
      <c r="C288" s="337"/>
      <c r="D288" s="337"/>
      <c r="E288" s="337"/>
      <c r="F288" s="337"/>
      <c r="G288" s="337"/>
      <c r="H288" s="337"/>
      <c r="I288" s="337"/>
      <c r="J288" s="337"/>
      <c r="K288" s="337"/>
      <c r="L288" s="337"/>
      <c r="M288" s="337"/>
      <c r="N288" s="337"/>
      <c r="O288" s="46"/>
      <c r="S288" s="43"/>
    </row>
    <row r="289" spans="2:19">
      <c r="B289" s="109"/>
      <c r="C289" s="337"/>
      <c r="D289" s="337"/>
      <c r="E289" s="337"/>
      <c r="F289" s="337"/>
      <c r="G289" s="337"/>
      <c r="H289" s="337"/>
      <c r="I289" s="337"/>
      <c r="J289" s="337"/>
      <c r="K289" s="337"/>
      <c r="L289" s="337"/>
      <c r="M289" s="337"/>
      <c r="N289" s="337"/>
      <c r="O289" s="46"/>
      <c r="S289" s="43"/>
    </row>
    <row r="290" spans="2:19">
      <c r="B290" s="109"/>
      <c r="C290" s="337"/>
      <c r="D290" s="337"/>
      <c r="E290" s="337"/>
      <c r="F290" s="337"/>
      <c r="G290" s="337"/>
      <c r="H290" s="337"/>
      <c r="I290" s="337"/>
      <c r="J290" s="337"/>
      <c r="K290" s="337"/>
      <c r="L290" s="337"/>
      <c r="M290" s="337"/>
      <c r="N290" s="337"/>
      <c r="O290" s="46"/>
      <c r="S290" s="43"/>
    </row>
    <row r="291" spans="2:19">
      <c r="B291" s="109"/>
      <c r="C291" s="337"/>
      <c r="D291" s="337"/>
      <c r="E291" s="337"/>
      <c r="F291" s="337"/>
      <c r="G291" s="337"/>
      <c r="H291" s="337"/>
      <c r="I291" s="337"/>
      <c r="J291" s="337"/>
      <c r="K291" s="337"/>
      <c r="L291" s="337"/>
      <c r="M291" s="337"/>
      <c r="N291" s="337"/>
      <c r="O291" s="46"/>
      <c r="S291" s="43"/>
    </row>
    <row r="292" spans="2:19">
      <c r="B292" s="109"/>
      <c r="C292" s="337"/>
      <c r="D292" s="337"/>
      <c r="E292" s="337"/>
      <c r="F292" s="337"/>
      <c r="G292" s="337"/>
      <c r="H292" s="337"/>
      <c r="I292" s="337"/>
      <c r="J292" s="337"/>
      <c r="K292" s="337"/>
      <c r="L292" s="337"/>
      <c r="M292" s="337"/>
      <c r="N292" s="337"/>
      <c r="O292" s="46"/>
      <c r="S292" s="43"/>
    </row>
    <row r="293" spans="2:19">
      <c r="B293" s="109"/>
      <c r="C293" s="337"/>
      <c r="D293" s="337"/>
      <c r="E293" s="337"/>
      <c r="F293" s="337"/>
      <c r="G293" s="337"/>
      <c r="H293" s="337"/>
      <c r="I293" s="337"/>
      <c r="J293" s="337"/>
      <c r="K293" s="337"/>
      <c r="L293" s="337"/>
      <c r="M293" s="337"/>
      <c r="N293" s="337"/>
      <c r="O293" s="46"/>
      <c r="S293" s="43"/>
    </row>
    <row r="294" spans="2:19">
      <c r="B294" s="109"/>
      <c r="C294" s="337"/>
      <c r="D294" s="337"/>
      <c r="E294" s="337"/>
      <c r="F294" s="337"/>
      <c r="G294" s="337"/>
      <c r="H294" s="337"/>
      <c r="I294" s="337"/>
      <c r="J294" s="337"/>
      <c r="K294" s="337"/>
      <c r="L294" s="337"/>
      <c r="M294" s="337"/>
      <c r="N294" s="337"/>
      <c r="O294" s="46"/>
      <c r="S294" s="43"/>
    </row>
    <row r="295" spans="2:19">
      <c r="B295" s="109"/>
      <c r="C295" s="337"/>
      <c r="D295" s="337"/>
      <c r="E295" s="337"/>
      <c r="F295" s="337"/>
      <c r="G295" s="337"/>
      <c r="H295" s="337"/>
      <c r="I295" s="337"/>
      <c r="J295" s="337"/>
      <c r="K295" s="337"/>
      <c r="L295" s="337"/>
      <c r="M295" s="337"/>
      <c r="N295" s="337"/>
      <c r="O295" s="46"/>
      <c r="S295" s="43"/>
    </row>
    <row r="296" spans="2:19">
      <c r="B296" s="109"/>
      <c r="C296" s="337"/>
      <c r="D296" s="337"/>
      <c r="E296" s="337"/>
      <c r="F296" s="337"/>
      <c r="G296" s="337"/>
      <c r="H296" s="337"/>
      <c r="I296" s="337"/>
      <c r="J296" s="337"/>
      <c r="K296" s="337"/>
      <c r="L296" s="337"/>
      <c r="M296" s="337"/>
      <c r="N296" s="337"/>
      <c r="O296" s="46"/>
      <c r="S296" s="43"/>
    </row>
    <row r="297" spans="2:19">
      <c r="B297" s="109"/>
      <c r="C297" s="337"/>
      <c r="D297" s="337"/>
      <c r="E297" s="337"/>
      <c r="F297" s="337"/>
      <c r="G297" s="337"/>
      <c r="H297" s="337"/>
      <c r="I297" s="337"/>
      <c r="J297" s="337"/>
      <c r="K297" s="337"/>
      <c r="L297" s="337"/>
      <c r="M297" s="337"/>
      <c r="N297" s="337"/>
      <c r="O297" s="46"/>
      <c r="S297" s="43"/>
    </row>
    <row r="298" spans="2:19">
      <c r="B298" s="109"/>
      <c r="C298" s="337"/>
      <c r="D298" s="337"/>
      <c r="E298" s="337"/>
      <c r="F298" s="337"/>
      <c r="G298" s="337"/>
      <c r="H298" s="337"/>
      <c r="I298" s="337"/>
      <c r="J298" s="337"/>
      <c r="K298" s="337"/>
      <c r="L298" s="337"/>
      <c r="M298" s="337"/>
      <c r="N298" s="337"/>
      <c r="O298" s="46"/>
      <c r="S298" s="43"/>
    </row>
    <row r="299" spans="2:19">
      <c r="B299" s="109"/>
      <c r="C299" s="337"/>
      <c r="D299" s="337"/>
      <c r="E299" s="337"/>
      <c r="F299" s="337"/>
      <c r="G299" s="337"/>
      <c r="H299" s="337"/>
      <c r="I299" s="337"/>
      <c r="J299" s="337"/>
      <c r="K299" s="337"/>
      <c r="L299" s="337"/>
      <c r="M299" s="337"/>
      <c r="N299" s="337"/>
      <c r="O299" s="46"/>
      <c r="S299" s="43"/>
    </row>
    <row r="300" spans="2:19">
      <c r="B300" s="109"/>
      <c r="C300" s="337"/>
      <c r="D300" s="337"/>
      <c r="E300" s="337"/>
      <c r="F300" s="337"/>
      <c r="G300" s="337"/>
      <c r="H300" s="337"/>
      <c r="I300" s="337"/>
      <c r="J300" s="337"/>
      <c r="K300" s="337"/>
      <c r="L300" s="337"/>
      <c r="M300" s="337"/>
      <c r="N300" s="337"/>
      <c r="O300" s="46"/>
      <c r="S300" s="43"/>
    </row>
    <row r="301" spans="2:19">
      <c r="B301" s="109"/>
      <c r="C301" s="337"/>
      <c r="D301" s="337"/>
      <c r="E301" s="337"/>
      <c r="F301" s="337"/>
      <c r="G301" s="337"/>
      <c r="H301" s="337"/>
      <c r="I301" s="337"/>
      <c r="J301" s="337"/>
      <c r="K301" s="337"/>
      <c r="L301" s="337"/>
      <c r="M301" s="337"/>
      <c r="N301" s="337"/>
      <c r="O301" s="46"/>
      <c r="S301" s="43"/>
    </row>
    <row r="302" spans="2:19">
      <c r="B302" s="109"/>
      <c r="C302" s="337"/>
      <c r="D302" s="337"/>
      <c r="E302" s="337"/>
      <c r="F302" s="337"/>
      <c r="G302" s="337"/>
      <c r="H302" s="337"/>
      <c r="I302" s="337"/>
      <c r="J302" s="337"/>
      <c r="K302" s="337"/>
      <c r="L302" s="337"/>
      <c r="M302" s="337"/>
      <c r="N302" s="337"/>
      <c r="O302" s="46"/>
      <c r="S302" s="43"/>
    </row>
    <row r="303" spans="2:19">
      <c r="B303" s="109"/>
      <c r="C303" s="337"/>
      <c r="D303" s="337"/>
      <c r="E303" s="337"/>
      <c r="F303" s="337"/>
      <c r="G303" s="337"/>
      <c r="H303" s="337"/>
      <c r="I303" s="337"/>
      <c r="J303" s="337"/>
      <c r="K303" s="337"/>
      <c r="L303" s="337"/>
      <c r="M303" s="337"/>
      <c r="N303" s="337"/>
      <c r="O303" s="46"/>
      <c r="S303" s="43"/>
    </row>
    <row r="304" spans="2:19">
      <c r="B304" s="109"/>
      <c r="C304" s="337"/>
      <c r="D304" s="337"/>
      <c r="E304" s="337"/>
      <c r="F304" s="337"/>
      <c r="G304" s="337"/>
      <c r="H304" s="337"/>
      <c r="I304" s="337"/>
      <c r="J304" s="337"/>
      <c r="K304" s="337"/>
      <c r="L304" s="337"/>
      <c r="M304" s="337"/>
      <c r="N304" s="337"/>
      <c r="O304" s="46"/>
      <c r="S304" s="43"/>
    </row>
    <row r="305" spans="2:19">
      <c r="B305" s="109"/>
      <c r="C305" s="337"/>
      <c r="D305" s="337"/>
      <c r="E305" s="337"/>
      <c r="F305" s="337"/>
      <c r="G305" s="337"/>
      <c r="H305" s="337"/>
      <c r="I305" s="337"/>
      <c r="J305" s="337"/>
      <c r="K305" s="337"/>
      <c r="L305" s="337"/>
      <c r="M305" s="337"/>
      <c r="N305" s="337"/>
      <c r="O305" s="46"/>
      <c r="S305" s="43"/>
    </row>
    <row r="306" spans="2:19">
      <c r="B306" s="109"/>
      <c r="C306" s="337"/>
      <c r="D306" s="337"/>
      <c r="E306" s="337"/>
      <c r="F306" s="337"/>
      <c r="G306" s="337"/>
      <c r="H306" s="337"/>
      <c r="I306" s="337"/>
      <c r="J306" s="337"/>
      <c r="K306" s="337"/>
      <c r="L306" s="337"/>
      <c r="M306" s="337"/>
      <c r="N306" s="337"/>
      <c r="O306" s="46"/>
      <c r="S306" s="43"/>
    </row>
    <row r="307" spans="2:19">
      <c r="B307" s="109"/>
      <c r="C307" s="337"/>
      <c r="D307" s="337"/>
      <c r="E307" s="337"/>
      <c r="F307" s="337"/>
      <c r="G307" s="337"/>
      <c r="H307" s="337"/>
      <c r="I307" s="337"/>
      <c r="J307" s="337"/>
      <c r="K307" s="337"/>
      <c r="L307" s="337"/>
      <c r="M307" s="337"/>
      <c r="N307" s="337"/>
      <c r="O307" s="46"/>
      <c r="S307" s="43"/>
    </row>
    <row r="308" spans="2:19">
      <c r="B308" s="109"/>
      <c r="C308" s="337"/>
      <c r="D308" s="337"/>
      <c r="E308" s="337"/>
      <c r="F308" s="337"/>
      <c r="G308" s="337"/>
      <c r="H308" s="337"/>
      <c r="I308" s="337"/>
      <c r="J308" s="337"/>
      <c r="K308" s="337"/>
      <c r="L308" s="337"/>
      <c r="M308" s="337"/>
      <c r="N308" s="337"/>
      <c r="O308" s="46"/>
      <c r="S308" s="43"/>
    </row>
    <row r="309" spans="2:19">
      <c r="B309" s="109"/>
      <c r="C309" s="337"/>
      <c r="D309" s="337"/>
      <c r="E309" s="337"/>
      <c r="F309" s="337"/>
      <c r="G309" s="337"/>
      <c r="H309" s="337"/>
      <c r="I309" s="337"/>
      <c r="J309" s="337"/>
      <c r="K309" s="337"/>
      <c r="L309" s="337"/>
      <c r="M309" s="337"/>
      <c r="N309" s="337"/>
      <c r="O309" s="46"/>
      <c r="S309" s="43"/>
    </row>
    <row r="310" spans="2:19">
      <c r="B310" s="109"/>
      <c r="C310" s="337"/>
      <c r="D310" s="337"/>
      <c r="E310" s="337"/>
      <c r="F310" s="337"/>
      <c r="G310" s="337"/>
      <c r="H310" s="337"/>
      <c r="I310" s="337"/>
      <c r="J310" s="337"/>
      <c r="K310" s="337"/>
      <c r="L310" s="337"/>
      <c r="M310" s="337"/>
      <c r="N310" s="337"/>
      <c r="O310" s="46"/>
      <c r="S310" s="43"/>
    </row>
    <row r="311" spans="2:19">
      <c r="B311" s="109"/>
      <c r="C311" s="337"/>
      <c r="D311" s="337"/>
      <c r="E311" s="337"/>
      <c r="F311" s="337"/>
      <c r="G311" s="337"/>
      <c r="H311" s="337"/>
      <c r="I311" s="337"/>
      <c r="J311" s="337"/>
      <c r="K311" s="337"/>
      <c r="L311" s="337"/>
      <c r="M311" s="337"/>
      <c r="N311" s="337"/>
      <c r="O311" s="46"/>
      <c r="S311" s="43"/>
    </row>
    <row r="312" spans="2:19">
      <c r="B312" s="109"/>
      <c r="C312" s="337"/>
      <c r="D312" s="337"/>
      <c r="E312" s="337"/>
      <c r="F312" s="337"/>
      <c r="G312" s="337"/>
      <c r="H312" s="337"/>
      <c r="I312" s="337"/>
      <c r="J312" s="337"/>
      <c r="K312" s="337"/>
      <c r="L312" s="337"/>
      <c r="M312" s="337"/>
      <c r="N312" s="337"/>
      <c r="O312" s="46"/>
      <c r="S312" s="43"/>
    </row>
    <row r="313" spans="2:19">
      <c r="B313" s="109"/>
      <c r="C313" s="337"/>
      <c r="D313" s="337"/>
      <c r="E313" s="337"/>
      <c r="F313" s="337"/>
      <c r="G313" s="337"/>
      <c r="H313" s="337"/>
      <c r="I313" s="337"/>
      <c r="J313" s="337"/>
      <c r="K313" s="337"/>
      <c r="L313" s="337"/>
      <c r="M313" s="337"/>
      <c r="N313" s="337"/>
      <c r="O313" s="46"/>
      <c r="S313" s="43"/>
    </row>
    <row r="314" spans="2:19">
      <c r="B314" s="109"/>
      <c r="C314" s="337"/>
      <c r="D314" s="337"/>
      <c r="E314" s="337"/>
      <c r="F314" s="337"/>
      <c r="G314" s="337"/>
      <c r="H314" s="337"/>
      <c r="I314" s="337"/>
      <c r="J314" s="337"/>
      <c r="K314" s="337"/>
      <c r="L314" s="337"/>
      <c r="M314" s="337"/>
      <c r="N314" s="337"/>
      <c r="O314" s="46"/>
      <c r="S314" s="43"/>
    </row>
    <row r="315" spans="2:19">
      <c r="B315" s="109"/>
      <c r="C315" s="337"/>
      <c r="D315" s="337"/>
      <c r="E315" s="337"/>
      <c r="F315" s="337"/>
      <c r="G315" s="337"/>
      <c r="H315" s="337"/>
      <c r="I315" s="337"/>
      <c r="J315" s="337"/>
      <c r="K315" s="337"/>
      <c r="L315" s="337"/>
      <c r="M315" s="337"/>
      <c r="N315" s="337"/>
      <c r="O315" s="46"/>
      <c r="S315" s="43"/>
    </row>
    <row r="316" spans="2:19">
      <c r="B316" s="109"/>
      <c r="C316" s="337"/>
      <c r="D316" s="337"/>
      <c r="E316" s="337"/>
      <c r="F316" s="337"/>
      <c r="G316" s="337"/>
      <c r="H316" s="337"/>
      <c r="I316" s="337"/>
      <c r="J316" s="337"/>
      <c r="K316" s="337"/>
      <c r="L316" s="337"/>
      <c r="M316" s="337"/>
      <c r="N316" s="337"/>
      <c r="O316" s="46"/>
      <c r="S316" s="43"/>
    </row>
    <row r="317" spans="2:19">
      <c r="B317" s="109"/>
      <c r="C317" s="337"/>
      <c r="D317" s="337"/>
      <c r="E317" s="337"/>
      <c r="F317" s="337"/>
      <c r="G317" s="337"/>
      <c r="H317" s="337"/>
      <c r="I317" s="337"/>
      <c r="J317" s="337"/>
      <c r="K317" s="337"/>
      <c r="L317" s="337"/>
      <c r="M317" s="337"/>
      <c r="N317" s="337"/>
      <c r="O317" s="46"/>
      <c r="S317" s="43"/>
    </row>
    <row r="318" spans="2:19">
      <c r="C318" s="27"/>
      <c r="D318" s="27"/>
      <c r="E318" s="27"/>
      <c r="F318" s="27"/>
      <c r="G318" s="27"/>
      <c r="H318" s="27"/>
      <c r="I318" s="27"/>
      <c r="J318" s="27"/>
      <c r="K318" s="27"/>
      <c r="L318" s="27"/>
      <c r="M318" s="27"/>
      <c r="N318" s="27"/>
      <c r="O318" s="43"/>
      <c r="S318" s="43"/>
    </row>
    <row r="319" spans="2:19">
      <c r="C319" s="27"/>
      <c r="D319" s="27"/>
      <c r="E319" s="27"/>
      <c r="F319" s="27"/>
      <c r="G319" s="27"/>
      <c r="H319" s="27"/>
      <c r="I319" s="27"/>
      <c r="J319" s="27"/>
      <c r="K319" s="27"/>
      <c r="L319" s="27"/>
      <c r="M319" s="27"/>
      <c r="N319" s="27"/>
      <c r="O319" s="43"/>
      <c r="S319" s="43"/>
    </row>
    <row r="320" spans="2:19">
      <c r="C320" s="27"/>
      <c r="D320" s="27"/>
      <c r="E320" s="27"/>
      <c r="F320" s="27"/>
      <c r="G320" s="27"/>
      <c r="H320" s="27"/>
      <c r="I320" s="27"/>
      <c r="J320" s="27"/>
      <c r="K320" s="27"/>
      <c r="L320" s="27"/>
      <c r="M320" s="27"/>
      <c r="N320" s="27"/>
      <c r="O320" s="43"/>
      <c r="S320" s="43"/>
    </row>
    <row r="321" spans="3:19">
      <c r="C321" s="27"/>
      <c r="D321" s="27"/>
      <c r="E321" s="27"/>
      <c r="F321" s="27"/>
      <c r="G321" s="27"/>
      <c r="H321" s="27"/>
      <c r="I321" s="27"/>
      <c r="J321" s="27"/>
      <c r="K321" s="27"/>
      <c r="L321" s="27"/>
      <c r="M321" s="27"/>
      <c r="N321" s="27"/>
      <c r="O321" s="43"/>
      <c r="S321" s="43"/>
    </row>
    <row r="322" spans="3:19">
      <c r="C322" s="27"/>
      <c r="D322" s="27"/>
      <c r="E322" s="27"/>
      <c r="F322" s="27"/>
      <c r="G322" s="27"/>
      <c r="H322" s="27"/>
      <c r="I322" s="27"/>
      <c r="J322" s="27"/>
      <c r="K322" s="27"/>
      <c r="L322" s="27"/>
      <c r="M322" s="27"/>
      <c r="N322" s="27"/>
      <c r="O322" s="43"/>
      <c r="S322" s="43"/>
    </row>
    <row r="323" spans="3:19">
      <c r="C323" s="27"/>
      <c r="D323" s="27"/>
      <c r="E323" s="27"/>
      <c r="F323" s="27"/>
      <c r="G323" s="27"/>
      <c r="H323" s="27"/>
      <c r="I323" s="27"/>
      <c r="J323" s="27"/>
      <c r="K323" s="27"/>
      <c r="L323" s="27"/>
      <c r="M323" s="27"/>
      <c r="N323" s="27"/>
      <c r="O323" s="43"/>
      <c r="S323" s="43"/>
    </row>
    <row r="324" spans="3:19">
      <c r="C324" s="27"/>
      <c r="D324" s="27"/>
      <c r="E324" s="27"/>
      <c r="F324" s="27"/>
      <c r="G324" s="27"/>
      <c r="H324" s="27"/>
      <c r="I324" s="27"/>
      <c r="J324" s="27"/>
      <c r="K324" s="27"/>
      <c r="L324" s="27"/>
      <c r="M324" s="27"/>
      <c r="N324" s="27"/>
      <c r="O324" s="43"/>
      <c r="S324" s="43"/>
    </row>
    <row r="325" spans="3:19">
      <c r="C325" s="27"/>
      <c r="D325" s="27"/>
      <c r="E325" s="27"/>
      <c r="F325" s="27"/>
      <c r="G325" s="27"/>
      <c r="H325" s="27"/>
      <c r="I325" s="27"/>
      <c r="J325" s="27"/>
      <c r="K325" s="27"/>
      <c r="L325" s="27"/>
      <c r="M325" s="27"/>
      <c r="N325" s="27"/>
      <c r="O325" s="43"/>
      <c r="S325" s="43"/>
    </row>
    <row r="326" spans="3:19">
      <c r="C326" s="27"/>
      <c r="D326" s="27"/>
      <c r="E326" s="27"/>
      <c r="F326" s="27"/>
      <c r="G326" s="27"/>
      <c r="H326" s="27"/>
      <c r="I326" s="27"/>
      <c r="J326" s="27"/>
      <c r="K326" s="27"/>
      <c r="L326" s="27"/>
      <c r="M326" s="27"/>
      <c r="N326" s="27"/>
      <c r="O326" s="43"/>
      <c r="S326" s="43"/>
    </row>
    <row r="327" spans="3:19">
      <c r="C327" s="27"/>
      <c r="D327" s="27"/>
      <c r="E327" s="27"/>
      <c r="F327" s="27"/>
      <c r="G327" s="27"/>
      <c r="H327" s="27"/>
      <c r="I327" s="27"/>
      <c r="J327" s="27"/>
      <c r="K327" s="27"/>
      <c r="L327" s="27"/>
      <c r="M327" s="27"/>
      <c r="N327" s="27"/>
      <c r="O327" s="43"/>
      <c r="S327" s="43"/>
    </row>
    <row r="328" spans="3:19">
      <c r="C328" s="27"/>
      <c r="D328" s="27"/>
      <c r="E328" s="27"/>
      <c r="F328" s="27"/>
      <c r="G328" s="27"/>
      <c r="H328" s="27"/>
      <c r="I328" s="27"/>
      <c r="J328" s="27"/>
      <c r="K328" s="27"/>
      <c r="L328" s="27"/>
      <c r="M328" s="27"/>
      <c r="N328" s="27"/>
      <c r="O328" s="43"/>
      <c r="S328" s="43"/>
    </row>
    <row r="329" spans="3:19">
      <c r="C329" s="27"/>
      <c r="D329" s="27"/>
      <c r="E329" s="27"/>
      <c r="F329" s="27"/>
      <c r="G329" s="27"/>
      <c r="H329" s="27"/>
      <c r="I329" s="27"/>
      <c r="J329" s="27"/>
      <c r="K329" s="27"/>
      <c r="L329" s="27"/>
      <c r="M329" s="27"/>
      <c r="N329" s="27"/>
      <c r="O329" s="43"/>
      <c r="S329" s="43"/>
    </row>
    <row r="330" spans="3:19">
      <c r="C330" s="27"/>
      <c r="D330" s="27"/>
      <c r="E330" s="27"/>
      <c r="F330" s="27"/>
      <c r="G330" s="27"/>
      <c r="H330" s="27"/>
      <c r="I330" s="27"/>
      <c r="J330" s="27"/>
      <c r="K330" s="27"/>
      <c r="L330" s="27"/>
      <c r="M330" s="27"/>
      <c r="N330" s="27"/>
      <c r="O330" s="43"/>
      <c r="S330" s="43"/>
    </row>
    <row r="331" spans="3:19">
      <c r="C331" s="27"/>
      <c r="D331" s="27"/>
      <c r="E331" s="27"/>
      <c r="F331" s="27"/>
      <c r="G331" s="27"/>
      <c r="H331" s="27"/>
      <c r="I331" s="27"/>
      <c r="J331" s="27"/>
      <c r="K331" s="27"/>
      <c r="L331" s="27"/>
      <c r="M331" s="27"/>
      <c r="N331" s="27"/>
      <c r="O331" s="43"/>
      <c r="S331" s="43"/>
    </row>
    <row r="332" spans="3:19">
      <c r="C332" s="27"/>
      <c r="D332" s="27"/>
      <c r="E332" s="27"/>
      <c r="F332" s="27"/>
      <c r="G332" s="27"/>
      <c r="H332" s="27"/>
      <c r="I332" s="27"/>
      <c r="J332" s="27"/>
      <c r="K332" s="27"/>
      <c r="L332" s="27"/>
      <c r="M332" s="27"/>
      <c r="N332" s="27"/>
      <c r="O332" s="43"/>
      <c r="S332" s="43"/>
    </row>
    <row r="333" spans="3:19">
      <c r="C333" s="27"/>
      <c r="D333" s="27"/>
      <c r="E333" s="27"/>
      <c r="F333" s="27"/>
      <c r="G333" s="27"/>
      <c r="H333" s="27"/>
      <c r="I333" s="27"/>
      <c r="J333" s="27"/>
      <c r="K333" s="27"/>
      <c r="L333" s="27"/>
      <c r="M333" s="27"/>
      <c r="N333" s="27"/>
      <c r="O333" s="43"/>
      <c r="S333" s="43"/>
    </row>
    <row r="334" spans="3:19">
      <c r="C334" s="27"/>
      <c r="D334" s="27"/>
      <c r="E334" s="27"/>
      <c r="F334" s="27"/>
      <c r="G334" s="27"/>
      <c r="H334" s="27"/>
      <c r="I334" s="27"/>
      <c r="J334" s="27"/>
      <c r="K334" s="27"/>
      <c r="L334" s="27"/>
      <c r="M334" s="27"/>
      <c r="N334" s="27"/>
      <c r="O334" s="43"/>
      <c r="S334" s="43"/>
    </row>
    <row r="335" spans="3:19">
      <c r="C335" s="27"/>
      <c r="D335" s="27"/>
      <c r="E335" s="27"/>
      <c r="F335" s="27"/>
      <c r="G335" s="27"/>
      <c r="H335" s="27"/>
      <c r="I335" s="27"/>
      <c r="J335" s="27"/>
      <c r="K335" s="27"/>
      <c r="L335" s="27"/>
      <c r="M335" s="27"/>
      <c r="N335" s="27"/>
      <c r="O335" s="43"/>
      <c r="S335" s="43"/>
    </row>
    <row r="336" spans="3:19">
      <c r="C336" s="27"/>
      <c r="D336" s="27"/>
      <c r="E336" s="27"/>
      <c r="F336" s="27"/>
      <c r="G336" s="27"/>
      <c r="H336" s="27"/>
      <c r="I336" s="27"/>
      <c r="J336" s="27"/>
      <c r="K336" s="27"/>
      <c r="L336" s="27"/>
      <c r="M336" s="27"/>
      <c r="N336" s="27"/>
      <c r="O336" s="43"/>
      <c r="S336" s="43"/>
    </row>
    <row r="337" spans="3:19">
      <c r="C337" s="27"/>
      <c r="D337" s="27"/>
      <c r="E337" s="27"/>
      <c r="F337" s="27"/>
      <c r="G337" s="27"/>
      <c r="H337" s="27"/>
      <c r="I337" s="27"/>
      <c r="J337" s="27"/>
      <c r="K337" s="27"/>
      <c r="L337" s="27"/>
      <c r="M337" s="27"/>
      <c r="N337" s="27"/>
      <c r="O337" s="43"/>
      <c r="S337" s="43"/>
    </row>
    <row r="338" spans="3:19">
      <c r="C338" s="27"/>
      <c r="D338" s="27"/>
      <c r="E338" s="27"/>
      <c r="F338" s="27"/>
      <c r="G338" s="27"/>
      <c r="H338" s="27"/>
      <c r="I338" s="27"/>
      <c r="J338" s="27"/>
      <c r="K338" s="27"/>
      <c r="L338" s="27"/>
      <c r="M338" s="27"/>
      <c r="N338" s="27"/>
      <c r="O338" s="43"/>
      <c r="S338" s="43"/>
    </row>
    <row r="339" spans="3:19">
      <c r="C339" s="27"/>
      <c r="D339" s="27"/>
      <c r="E339" s="27"/>
      <c r="F339" s="27"/>
      <c r="G339" s="27"/>
      <c r="H339" s="27"/>
      <c r="I339" s="27"/>
      <c r="J339" s="27"/>
      <c r="K339" s="27"/>
      <c r="L339" s="27"/>
      <c r="M339" s="27"/>
      <c r="N339" s="27"/>
      <c r="O339" s="43"/>
      <c r="S339" s="43"/>
    </row>
    <row r="340" spans="3:19">
      <c r="C340" s="27"/>
      <c r="D340" s="27"/>
      <c r="E340" s="27"/>
      <c r="F340" s="27"/>
      <c r="G340" s="27"/>
      <c r="H340" s="27"/>
      <c r="I340" s="27"/>
      <c r="J340" s="27"/>
      <c r="K340" s="27"/>
      <c r="L340" s="27"/>
      <c r="M340" s="27"/>
      <c r="N340" s="27"/>
      <c r="O340" s="43"/>
      <c r="S340" s="43"/>
    </row>
    <row r="341" spans="3:19">
      <c r="C341" s="27"/>
      <c r="D341" s="27"/>
      <c r="E341" s="27"/>
      <c r="F341" s="27"/>
      <c r="G341" s="27"/>
      <c r="H341" s="27"/>
      <c r="I341" s="27"/>
      <c r="J341" s="27"/>
      <c r="K341" s="27"/>
      <c r="L341" s="27"/>
      <c r="M341" s="27"/>
      <c r="N341" s="27"/>
      <c r="O341" s="43"/>
      <c r="S341" s="43"/>
    </row>
    <row r="342" spans="3:19">
      <c r="C342" s="27"/>
      <c r="D342" s="27"/>
      <c r="E342" s="27"/>
      <c r="F342" s="27"/>
      <c r="G342" s="27"/>
      <c r="H342" s="27"/>
      <c r="I342" s="27"/>
      <c r="J342" s="27"/>
      <c r="K342" s="27"/>
      <c r="L342" s="27"/>
      <c r="M342" s="27"/>
      <c r="N342" s="27"/>
      <c r="O342" s="43"/>
      <c r="S342" s="43"/>
    </row>
    <row r="343" spans="3:19">
      <c r="C343" s="27"/>
      <c r="D343" s="27"/>
      <c r="E343" s="27"/>
      <c r="F343" s="27"/>
      <c r="G343" s="27"/>
      <c r="H343" s="27"/>
      <c r="I343" s="27"/>
      <c r="J343" s="27"/>
      <c r="K343" s="27"/>
      <c r="L343" s="27"/>
      <c r="M343" s="27"/>
      <c r="N343" s="27"/>
      <c r="O343" s="43"/>
      <c r="S343" s="43"/>
    </row>
    <row r="344" spans="3:19">
      <c r="C344" s="27"/>
      <c r="D344" s="27"/>
      <c r="E344" s="27"/>
      <c r="F344" s="27"/>
      <c r="G344" s="27"/>
      <c r="H344" s="27"/>
      <c r="I344" s="27"/>
      <c r="J344" s="27"/>
      <c r="K344" s="27"/>
      <c r="L344" s="27"/>
      <c r="M344" s="27"/>
      <c r="N344" s="27"/>
      <c r="O344" s="43"/>
      <c r="S344" s="43"/>
    </row>
    <row r="345" spans="3:19">
      <c r="C345" s="27"/>
      <c r="D345" s="27"/>
      <c r="E345" s="27"/>
      <c r="F345" s="27"/>
      <c r="G345" s="27"/>
      <c r="H345" s="27"/>
      <c r="I345" s="27"/>
      <c r="J345" s="27"/>
      <c r="K345" s="27"/>
      <c r="L345" s="27"/>
      <c r="M345" s="27"/>
      <c r="N345" s="27"/>
      <c r="O345" s="43"/>
      <c r="S345" s="43"/>
    </row>
    <row r="346" spans="3:19">
      <c r="C346" s="27"/>
      <c r="D346" s="27"/>
      <c r="E346" s="27"/>
      <c r="F346" s="27"/>
      <c r="G346" s="27"/>
      <c r="H346" s="27"/>
      <c r="I346" s="27"/>
      <c r="J346" s="27"/>
      <c r="K346" s="27"/>
      <c r="L346" s="27"/>
      <c r="M346" s="27"/>
      <c r="N346" s="27"/>
      <c r="O346" s="43"/>
      <c r="S346" s="43"/>
    </row>
    <row r="347" spans="3:19">
      <c r="C347" s="27"/>
      <c r="D347" s="27"/>
      <c r="E347" s="27"/>
      <c r="F347" s="27"/>
      <c r="G347" s="27"/>
      <c r="H347" s="27"/>
      <c r="I347" s="27"/>
      <c r="J347" s="27"/>
      <c r="K347" s="27"/>
      <c r="L347" s="27"/>
      <c r="M347" s="27"/>
      <c r="N347" s="27"/>
      <c r="O347" s="43"/>
      <c r="S347" s="43"/>
    </row>
    <row r="348" spans="3:19">
      <c r="C348" s="27"/>
      <c r="D348" s="27"/>
      <c r="E348" s="27"/>
      <c r="F348" s="27"/>
      <c r="G348" s="27"/>
      <c r="H348" s="27"/>
      <c r="I348" s="27"/>
      <c r="J348" s="27"/>
      <c r="K348" s="27"/>
      <c r="L348" s="27"/>
      <c r="M348" s="27"/>
      <c r="N348" s="27"/>
      <c r="O348" s="43"/>
      <c r="S348" s="43"/>
    </row>
    <row r="349" spans="3:19">
      <c r="C349" s="27"/>
      <c r="D349" s="27"/>
      <c r="E349" s="27"/>
      <c r="F349" s="27"/>
      <c r="G349" s="27"/>
      <c r="H349" s="27"/>
      <c r="I349" s="27"/>
      <c r="J349" s="27"/>
      <c r="K349" s="27"/>
      <c r="L349" s="27"/>
      <c r="M349" s="27"/>
      <c r="N349" s="27"/>
      <c r="O349" s="43"/>
      <c r="S349" s="43"/>
    </row>
    <row r="350" spans="3:19">
      <c r="C350" s="27"/>
      <c r="D350" s="27"/>
      <c r="E350" s="27"/>
      <c r="F350" s="27"/>
      <c r="G350" s="27"/>
      <c r="H350" s="27"/>
      <c r="I350" s="27"/>
      <c r="J350" s="27"/>
      <c r="K350" s="27"/>
      <c r="L350" s="27"/>
      <c r="M350" s="27"/>
      <c r="N350" s="27"/>
      <c r="O350" s="43"/>
      <c r="S350" s="43"/>
    </row>
    <row r="351" spans="3:19">
      <c r="C351" s="27"/>
      <c r="D351" s="27"/>
      <c r="E351" s="27"/>
      <c r="F351" s="27"/>
      <c r="G351" s="27"/>
      <c r="H351" s="27"/>
      <c r="I351" s="27"/>
      <c r="J351" s="27"/>
      <c r="K351" s="27"/>
      <c r="L351" s="27"/>
      <c r="M351" s="27"/>
      <c r="N351" s="27"/>
      <c r="O351" s="43"/>
      <c r="S351" s="43"/>
    </row>
    <row r="352" spans="3:19">
      <c r="C352" s="27"/>
      <c r="D352" s="27"/>
      <c r="E352" s="27"/>
      <c r="F352" s="27"/>
      <c r="G352" s="27"/>
      <c r="H352" s="27"/>
      <c r="I352" s="27"/>
      <c r="J352" s="27"/>
      <c r="K352" s="27"/>
      <c r="L352" s="27"/>
      <c r="M352" s="27"/>
      <c r="N352" s="27"/>
      <c r="O352" s="43"/>
      <c r="S352" s="43"/>
    </row>
    <row r="353" spans="3:19">
      <c r="C353" s="27"/>
      <c r="D353" s="27"/>
      <c r="E353" s="27"/>
      <c r="F353" s="27"/>
      <c r="G353" s="27"/>
      <c r="H353" s="27"/>
      <c r="I353" s="27"/>
      <c r="J353" s="27"/>
      <c r="K353" s="27"/>
      <c r="L353" s="27"/>
      <c r="M353" s="27"/>
      <c r="N353" s="27"/>
      <c r="O353" s="43"/>
      <c r="S353" s="43"/>
    </row>
    <row r="354" spans="3:19">
      <c r="C354" s="27"/>
      <c r="D354" s="27"/>
      <c r="E354" s="27"/>
      <c r="F354" s="27"/>
      <c r="G354" s="27"/>
      <c r="H354" s="27"/>
      <c r="I354" s="27"/>
      <c r="J354" s="27"/>
      <c r="K354" s="27"/>
      <c r="L354" s="27"/>
      <c r="M354" s="27"/>
      <c r="N354" s="27"/>
      <c r="O354" s="43"/>
      <c r="S354" s="43"/>
    </row>
    <row r="355" spans="3:19">
      <c r="C355" s="27"/>
      <c r="D355" s="27"/>
      <c r="E355" s="27"/>
      <c r="F355" s="27"/>
      <c r="G355" s="27"/>
      <c r="H355" s="27"/>
      <c r="I355" s="27"/>
      <c r="J355" s="27"/>
      <c r="K355" s="27"/>
      <c r="L355" s="27"/>
      <c r="M355" s="27"/>
      <c r="N355" s="27"/>
      <c r="O355" s="43"/>
      <c r="S355" s="43"/>
    </row>
    <row r="356" spans="3:19">
      <c r="C356" s="27"/>
      <c r="D356" s="27"/>
      <c r="E356" s="27"/>
      <c r="F356" s="27"/>
      <c r="G356" s="27"/>
      <c r="H356" s="27"/>
      <c r="I356" s="27"/>
      <c r="J356" s="27"/>
      <c r="K356" s="27"/>
      <c r="L356" s="27"/>
      <c r="M356" s="27"/>
      <c r="N356" s="27"/>
      <c r="O356" s="43"/>
      <c r="S356" s="43"/>
    </row>
    <row r="357" spans="3:19">
      <c r="C357" s="27"/>
      <c r="D357" s="27"/>
      <c r="E357" s="27"/>
      <c r="F357" s="27"/>
      <c r="G357" s="27"/>
      <c r="H357" s="27"/>
      <c r="I357" s="27"/>
      <c r="J357" s="27"/>
      <c r="K357" s="27"/>
      <c r="L357" s="27"/>
      <c r="M357" s="27"/>
      <c r="N357" s="27"/>
      <c r="O357" s="43"/>
      <c r="S357" s="43"/>
    </row>
    <row r="358" spans="3:19">
      <c r="C358" s="27"/>
      <c r="D358" s="27"/>
      <c r="E358" s="27"/>
      <c r="F358" s="27"/>
      <c r="G358" s="27"/>
      <c r="H358" s="27"/>
      <c r="I358" s="27"/>
      <c r="J358" s="27"/>
      <c r="K358" s="27"/>
      <c r="L358" s="27"/>
      <c r="M358" s="27"/>
      <c r="N358" s="27"/>
      <c r="O358" s="43"/>
      <c r="S358" s="43"/>
    </row>
    <row r="359" spans="3:19">
      <c r="C359" s="27"/>
      <c r="D359" s="27"/>
      <c r="E359" s="27"/>
      <c r="F359" s="27"/>
      <c r="G359" s="27"/>
      <c r="H359" s="27"/>
      <c r="I359" s="27"/>
      <c r="J359" s="27"/>
      <c r="K359" s="27"/>
      <c r="L359" s="27"/>
      <c r="M359" s="27"/>
      <c r="N359" s="27"/>
      <c r="O359" s="43"/>
      <c r="S359" s="43"/>
    </row>
    <row r="360" spans="3:19">
      <c r="C360" s="27"/>
      <c r="D360" s="27"/>
      <c r="E360" s="27"/>
      <c r="F360" s="27"/>
      <c r="G360" s="27"/>
      <c r="H360" s="27"/>
      <c r="I360" s="27"/>
      <c r="J360" s="27"/>
      <c r="K360" s="27"/>
      <c r="L360" s="27"/>
      <c r="M360" s="27"/>
      <c r="N360" s="27"/>
      <c r="O360" s="43"/>
      <c r="S360" s="43"/>
    </row>
    <row r="361" spans="3:19">
      <c r="C361" s="27"/>
      <c r="D361" s="27"/>
      <c r="E361" s="27"/>
      <c r="F361" s="27"/>
      <c r="G361" s="27"/>
      <c r="H361" s="27"/>
      <c r="I361" s="27"/>
      <c r="J361" s="27"/>
      <c r="K361" s="27"/>
      <c r="L361" s="27"/>
      <c r="M361" s="27"/>
      <c r="N361" s="27"/>
      <c r="O361" s="43"/>
      <c r="S361" s="43"/>
    </row>
    <row r="362" spans="3:19">
      <c r="C362" s="27"/>
      <c r="D362" s="27"/>
      <c r="E362" s="27"/>
      <c r="F362" s="27"/>
      <c r="G362" s="27"/>
      <c r="H362" s="27"/>
      <c r="I362" s="27"/>
      <c r="J362" s="27"/>
      <c r="K362" s="27"/>
      <c r="L362" s="27"/>
      <c r="M362" s="27"/>
      <c r="N362" s="27"/>
      <c r="O362" s="43"/>
      <c r="S362" s="43"/>
    </row>
    <row r="363" spans="3:19">
      <c r="C363" s="27"/>
      <c r="D363" s="27"/>
      <c r="E363" s="27"/>
      <c r="F363" s="27"/>
      <c r="G363" s="27"/>
      <c r="H363" s="27"/>
      <c r="I363" s="27"/>
      <c r="J363" s="27"/>
      <c r="K363" s="27"/>
      <c r="L363" s="27"/>
      <c r="M363" s="27"/>
      <c r="N363" s="27"/>
      <c r="O363" s="43"/>
      <c r="S363" s="43"/>
    </row>
    <row r="364" spans="3:19">
      <c r="C364" s="27"/>
      <c r="D364" s="27"/>
      <c r="E364" s="27"/>
      <c r="F364" s="27"/>
      <c r="G364" s="27"/>
      <c r="H364" s="27"/>
      <c r="I364" s="27"/>
      <c r="J364" s="27"/>
      <c r="K364" s="27"/>
      <c r="L364" s="27"/>
      <c r="M364" s="27"/>
      <c r="N364" s="27"/>
      <c r="O364" s="43"/>
      <c r="S364" s="43"/>
    </row>
    <row r="365" spans="3:19">
      <c r="C365" s="27"/>
      <c r="D365" s="27"/>
      <c r="E365" s="27"/>
      <c r="F365" s="27"/>
      <c r="G365" s="27"/>
      <c r="H365" s="27"/>
      <c r="I365" s="27"/>
      <c r="J365" s="27"/>
      <c r="K365" s="27"/>
      <c r="L365" s="27"/>
      <c r="M365" s="27"/>
      <c r="N365" s="27"/>
      <c r="O365" s="43"/>
      <c r="S365" s="43"/>
    </row>
    <row r="366" spans="3:19">
      <c r="C366" s="27"/>
      <c r="D366" s="27"/>
      <c r="E366" s="27"/>
      <c r="F366" s="27"/>
      <c r="G366" s="27"/>
      <c r="H366" s="27"/>
      <c r="I366" s="27"/>
      <c r="J366" s="27"/>
      <c r="K366" s="27"/>
      <c r="L366" s="27"/>
      <c r="M366" s="27"/>
      <c r="N366" s="27"/>
      <c r="O366" s="43"/>
      <c r="S366" s="43"/>
    </row>
    <row r="367" spans="3:19">
      <c r="C367" s="27"/>
      <c r="D367" s="27"/>
      <c r="E367" s="27"/>
      <c r="F367" s="27"/>
      <c r="G367" s="27"/>
      <c r="H367" s="27"/>
      <c r="I367" s="27"/>
      <c r="J367" s="27"/>
      <c r="K367" s="27"/>
      <c r="L367" s="27"/>
      <c r="M367" s="27"/>
      <c r="N367" s="27"/>
      <c r="O367" s="43"/>
      <c r="S367" s="43"/>
    </row>
    <row r="368" spans="3:19">
      <c r="C368" s="27"/>
      <c r="D368" s="27"/>
      <c r="E368" s="27"/>
      <c r="F368" s="27"/>
      <c r="G368" s="27"/>
      <c r="H368" s="27"/>
      <c r="I368" s="27"/>
      <c r="J368" s="27"/>
      <c r="K368" s="27"/>
      <c r="L368" s="27"/>
      <c r="M368" s="27"/>
      <c r="N368" s="27"/>
      <c r="O368" s="43"/>
      <c r="S368" s="43"/>
    </row>
    <row r="369" spans="3:19">
      <c r="C369" s="27"/>
      <c r="D369" s="27"/>
      <c r="E369" s="27"/>
      <c r="F369" s="27"/>
      <c r="G369" s="27"/>
      <c r="H369" s="27"/>
      <c r="I369" s="27"/>
      <c r="J369" s="27"/>
      <c r="K369" s="27"/>
      <c r="L369" s="27"/>
      <c r="M369" s="27"/>
      <c r="N369" s="27"/>
      <c r="O369" s="43"/>
      <c r="S369" s="43"/>
    </row>
    <row r="370" spans="3:19">
      <c r="C370" s="27"/>
      <c r="D370" s="27"/>
      <c r="E370" s="27"/>
      <c r="F370" s="27"/>
      <c r="G370" s="27"/>
      <c r="H370" s="27"/>
      <c r="I370" s="27"/>
      <c r="J370" s="27"/>
      <c r="K370" s="27"/>
      <c r="L370" s="27"/>
      <c r="M370" s="27"/>
      <c r="N370" s="27"/>
      <c r="O370" s="43"/>
      <c r="S370" s="43"/>
    </row>
    <row r="371" spans="3:19">
      <c r="C371" s="27"/>
      <c r="D371" s="27"/>
      <c r="E371" s="27"/>
      <c r="F371" s="27"/>
      <c r="G371" s="27"/>
      <c r="H371" s="27"/>
      <c r="I371" s="27"/>
      <c r="J371" s="27"/>
      <c r="K371" s="27"/>
      <c r="L371" s="27"/>
      <c r="M371" s="27"/>
      <c r="N371" s="27"/>
      <c r="O371" s="43"/>
      <c r="S371" s="43"/>
    </row>
    <row r="372" spans="3:19">
      <c r="C372" s="27"/>
      <c r="D372" s="27"/>
      <c r="E372" s="27"/>
      <c r="F372" s="27"/>
      <c r="G372" s="27"/>
      <c r="H372" s="27"/>
      <c r="I372" s="27"/>
      <c r="J372" s="27"/>
      <c r="K372" s="27"/>
      <c r="L372" s="27"/>
      <c r="M372" s="27"/>
      <c r="N372" s="27"/>
      <c r="O372" s="43"/>
      <c r="S372" s="43"/>
    </row>
    <row r="373" spans="3:19">
      <c r="C373" s="27"/>
      <c r="D373" s="27"/>
      <c r="E373" s="27"/>
      <c r="F373" s="27"/>
      <c r="G373" s="27"/>
      <c r="H373" s="27"/>
      <c r="I373" s="27"/>
      <c r="J373" s="27"/>
      <c r="K373" s="27"/>
      <c r="L373" s="27"/>
      <c r="M373" s="27"/>
      <c r="N373" s="27"/>
      <c r="O373" s="43"/>
      <c r="S373" s="43"/>
    </row>
    <row r="374" spans="3:19">
      <c r="C374" s="27"/>
      <c r="D374" s="27"/>
      <c r="E374" s="27"/>
      <c r="F374" s="27"/>
      <c r="G374" s="27"/>
      <c r="H374" s="27"/>
      <c r="I374" s="27"/>
      <c r="J374" s="27"/>
      <c r="K374" s="27"/>
      <c r="L374" s="27"/>
      <c r="M374" s="27"/>
      <c r="N374" s="27"/>
      <c r="O374" s="43"/>
      <c r="S374" s="43"/>
    </row>
    <row r="375" spans="3:19">
      <c r="C375" s="27"/>
      <c r="D375" s="27"/>
      <c r="E375" s="27"/>
      <c r="F375" s="27"/>
      <c r="G375" s="27"/>
      <c r="H375" s="27"/>
      <c r="I375" s="27"/>
      <c r="J375" s="27"/>
      <c r="K375" s="27"/>
      <c r="L375" s="27"/>
      <c r="M375" s="27"/>
      <c r="N375" s="27"/>
      <c r="O375" s="43"/>
      <c r="S375" s="43"/>
    </row>
    <row r="376" spans="3:19">
      <c r="C376" s="27"/>
      <c r="D376" s="27"/>
      <c r="E376" s="27"/>
      <c r="F376" s="27"/>
      <c r="G376" s="27"/>
      <c r="H376" s="27"/>
      <c r="I376" s="27"/>
      <c r="J376" s="27"/>
      <c r="K376" s="27"/>
      <c r="L376" s="27"/>
      <c r="M376" s="27"/>
      <c r="N376" s="27"/>
      <c r="O376" s="43"/>
      <c r="S376" s="43"/>
    </row>
    <row r="377" spans="3:19">
      <c r="C377" s="27"/>
      <c r="D377" s="27"/>
      <c r="E377" s="27"/>
      <c r="F377" s="27"/>
      <c r="G377" s="27"/>
      <c r="H377" s="27"/>
      <c r="I377" s="27"/>
      <c r="J377" s="27"/>
      <c r="K377" s="27"/>
      <c r="L377" s="27"/>
      <c r="M377" s="27"/>
      <c r="N377" s="27"/>
      <c r="O377" s="43"/>
      <c r="S377" s="43"/>
    </row>
    <row r="378" spans="3:19">
      <c r="C378" s="27"/>
      <c r="D378" s="27"/>
      <c r="E378" s="27"/>
      <c r="F378" s="27"/>
      <c r="G378" s="27"/>
      <c r="H378" s="27"/>
      <c r="I378" s="27"/>
      <c r="J378" s="27"/>
      <c r="K378" s="27"/>
      <c r="L378" s="27"/>
      <c r="M378" s="27"/>
      <c r="N378" s="27"/>
      <c r="O378" s="43"/>
      <c r="S378" s="43"/>
    </row>
    <row r="379" spans="3:19">
      <c r="C379" s="27"/>
      <c r="D379" s="27"/>
      <c r="E379" s="27"/>
      <c r="F379" s="27"/>
      <c r="G379" s="27"/>
      <c r="H379" s="27"/>
      <c r="I379" s="27"/>
      <c r="J379" s="27"/>
      <c r="K379" s="27"/>
      <c r="L379" s="27"/>
      <c r="M379" s="27"/>
      <c r="N379" s="27"/>
      <c r="O379" s="43"/>
      <c r="S379" s="43"/>
    </row>
    <row r="380" spans="3:19">
      <c r="C380" s="27"/>
      <c r="D380" s="27"/>
      <c r="E380" s="27"/>
      <c r="F380" s="27"/>
      <c r="G380" s="27"/>
      <c r="H380" s="27"/>
      <c r="I380" s="27"/>
      <c r="J380" s="27"/>
      <c r="K380" s="27"/>
      <c r="L380" s="27"/>
      <c r="M380" s="27"/>
      <c r="N380" s="27"/>
      <c r="O380" s="43"/>
      <c r="S380" s="43"/>
    </row>
    <row r="381" spans="3:19">
      <c r="C381" s="27"/>
      <c r="D381" s="27"/>
      <c r="E381" s="27"/>
      <c r="F381" s="27"/>
      <c r="G381" s="27"/>
      <c r="H381" s="27"/>
      <c r="I381" s="27"/>
      <c r="J381" s="27"/>
      <c r="K381" s="27"/>
      <c r="L381" s="27"/>
      <c r="M381" s="27"/>
      <c r="N381" s="27"/>
      <c r="O381" s="43"/>
      <c r="S381" s="43"/>
    </row>
    <row r="382" spans="3:19">
      <c r="C382" s="27"/>
      <c r="D382" s="27"/>
      <c r="E382" s="27"/>
      <c r="F382" s="27"/>
      <c r="G382" s="27"/>
      <c r="H382" s="27"/>
      <c r="I382" s="27"/>
      <c r="J382" s="27"/>
      <c r="K382" s="27"/>
      <c r="L382" s="27"/>
      <c r="M382" s="27"/>
      <c r="N382" s="27"/>
      <c r="O382" s="43"/>
      <c r="S382" s="43"/>
    </row>
    <row r="383" spans="3:19">
      <c r="C383" s="27"/>
      <c r="D383" s="27"/>
      <c r="E383" s="27"/>
      <c r="F383" s="27"/>
      <c r="G383" s="27"/>
      <c r="H383" s="27"/>
      <c r="I383" s="27"/>
      <c r="J383" s="27"/>
      <c r="K383" s="27"/>
      <c r="L383" s="27"/>
      <c r="M383" s="27"/>
      <c r="N383" s="27"/>
      <c r="O383" s="43"/>
      <c r="S383" s="43"/>
    </row>
    <row r="384" spans="3:19">
      <c r="C384" s="27"/>
      <c r="D384" s="27"/>
      <c r="E384" s="27"/>
      <c r="F384" s="27"/>
      <c r="G384" s="27"/>
      <c r="H384" s="27"/>
      <c r="I384" s="27"/>
      <c r="J384" s="27"/>
      <c r="K384" s="27"/>
      <c r="L384" s="27"/>
      <c r="M384" s="27"/>
      <c r="N384" s="27"/>
      <c r="O384" s="43"/>
      <c r="S384" s="43"/>
    </row>
    <row r="385" spans="3:19">
      <c r="C385" s="27"/>
      <c r="D385" s="27"/>
      <c r="E385" s="27"/>
      <c r="F385" s="27"/>
      <c r="G385" s="27"/>
      <c r="H385" s="27"/>
      <c r="I385" s="27"/>
      <c r="J385" s="27"/>
      <c r="K385" s="27"/>
      <c r="L385" s="27"/>
      <c r="M385" s="27"/>
      <c r="N385" s="27"/>
      <c r="O385" s="43"/>
      <c r="S385" s="43"/>
    </row>
    <row r="386" spans="3:19">
      <c r="C386" s="27"/>
      <c r="D386" s="27"/>
      <c r="E386" s="27"/>
      <c r="F386" s="27"/>
      <c r="G386" s="27"/>
      <c r="H386" s="27"/>
      <c r="I386" s="27"/>
      <c r="J386" s="27"/>
      <c r="K386" s="27"/>
      <c r="L386" s="27"/>
      <c r="M386" s="27"/>
      <c r="N386" s="27"/>
      <c r="O386" s="43"/>
      <c r="S386" s="43"/>
    </row>
    <row r="387" spans="3:19">
      <c r="C387" s="27"/>
      <c r="D387" s="27"/>
      <c r="E387" s="27"/>
      <c r="F387" s="27"/>
      <c r="G387" s="27"/>
      <c r="H387" s="27"/>
      <c r="I387" s="27"/>
      <c r="J387" s="27"/>
      <c r="K387" s="27"/>
      <c r="L387" s="27"/>
      <c r="M387" s="27"/>
      <c r="N387" s="27"/>
      <c r="O387" s="43"/>
      <c r="S387" s="43"/>
    </row>
    <row r="388" spans="3:19">
      <c r="C388" s="27"/>
      <c r="D388" s="27"/>
      <c r="E388" s="27"/>
      <c r="F388" s="27"/>
      <c r="G388" s="27"/>
      <c r="H388" s="27"/>
      <c r="I388" s="27"/>
      <c r="J388" s="27"/>
      <c r="K388" s="27"/>
      <c r="L388" s="27"/>
      <c r="M388" s="27"/>
      <c r="N388" s="27"/>
      <c r="O388" s="43"/>
      <c r="S388" s="43"/>
    </row>
    <row r="389" spans="3:19">
      <c r="C389" s="27"/>
      <c r="D389" s="27"/>
      <c r="E389" s="27"/>
      <c r="F389" s="27"/>
      <c r="G389" s="27"/>
      <c r="H389" s="27"/>
      <c r="I389" s="27"/>
      <c r="J389" s="27"/>
      <c r="K389" s="27"/>
      <c r="L389" s="27"/>
      <c r="M389" s="27"/>
      <c r="N389" s="27"/>
      <c r="O389" s="43"/>
      <c r="S389" s="43"/>
    </row>
    <row r="390" spans="3:19">
      <c r="C390" s="27"/>
      <c r="D390" s="27"/>
      <c r="E390" s="27"/>
      <c r="F390" s="27"/>
      <c r="G390" s="27"/>
      <c r="H390" s="27"/>
      <c r="I390" s="27"/>
      <c r="J390" s="27"/>
      <c r="K390" s="27"/>
      <c r="L390" s="27"/>
      <c r="M390" s="27"/>
      <c r="N390" s="27"/>
      <c r="O390" s="43"/>
      <c r="S390" s="43"/>
    </row>
    <row r="391" spans="3:19">
      <c r="C391" s="27"/>
      <c r="D391" s="27"/>
      <c r="E391" s="27"/>
      <c r="F391" s="27"/>
      <c r="G391" s="27"/>
      <c r="H391" s="27"/>
      <c r="I391" s="27"/>
      <c r="J391" s="27"/>
      <c r="K391" s="27"/>
      <c r="L391" s="27"/>
      <c r="M391" s="27"/>
      <c r="N391" s="27"/>
      <c r="O391" s="43"/>
      <c r="S391" s="43"/>
    </row>
    <row r="392" spans="3:19">
      <c r="C392" s="27"/>
      <c r="D392" s="27"/>
      <c r="E392" s="27"/>
      <c r="F392" s="27"/>
      <c r="G392" s="27"/>
      <c r="H392" s="27"/>
      <c r="I392" s="27"/>
      <c r="J392" s="27"/>
      <c r="K392" s="27"/>
      <c r="L392" s="27"/>
      <c r="M392" s="27"/>
      <c r="N392" s="27"/>
      <c r="O392" s="43"/>
      <c r="S392" s="43"/>
    </row>
    <row r="393" spans="3:19">
      <c r="C393" s="27"/>
      <c r="D393" s="27"/>
      <c r="E393" s="27"/>
      <c r="F393" s="27"/>
      <c r="G393" s="27"/>
      <c r="H393" s="27"/>
      <c r="I393" s="27"/>
      <c r="J393" s="27"/>
      <c r="K393" s="27"/>
      <c r="L393" s="27"/>
      <c r="M393" s="27"/>
      <c r="N393" s="27"/>
      <c r="O393" s="43"/>
      <c r="S393" s="43"/>
    </row>
    <row r="394" spans="3:19">
      <c r="C394" s="27"/>
      <c r="D394" s="27"/>
      <c r="E394" s="27"/>
      <c r="F394" s="27"/>
      <c r="G394" s="27"/>
      <c r="H394" s="27"/>
      <c r="I394" s="27"/>
      <c r="J394" s="27"/>
      <c r="K394" s="27"/>
      <c r="L394" s="27"/>
      <c r="M394" s="27"/>
      <c r="N394" s="27"/>
      <c r="O394" s="43"/>
      <c r="S394" s="43"/>
    </row>
    <row r="395" spans="3:19">
      <c r="C395" s="27"/>
      <c r="D395" s="27"/>
      <c r="E395" s="27"/>
      <c r="F395" s="27"/>
      <c r="G395" s="27"/>
      <c r="H395" s="27"/>
      <c r="I395" s="27"/>
      <c r="J395" s="27"/>
      <c r="K395" s="27"/>
      <c r="L395" s="27"/>
      <c r="M395" s="27"/>
      <c r="N395" s="27"/>
      <c r="O395" s="43"/>
      <c r="S395" s="43"/>
    </row>
    <row r="396" spans="3:19">
      <c r="C396" s="27"/>
      <c r="D396" s="27"/>
      <c r="E396" s="27"/>
      <c r="F396" s="27"/>
      <c r="G396" s="27"/>
      <c r="H396" s="27"/>
      <c r="I396" s="27"/>
      <c r="J396" s="27"/>
      <c r="K396" s="27"/>
      <c r="L396" s="27"/>
      <c r="M396" s="27"/>
      <c r="N396" s="27"/>
      <c r="O396" s="43"/>
      <c r="S396" s="43"/>
    </row>
    <row r="397" spans="3:19">
      <c r="C397" s="27"/>
      <c r="D397" s="27"/>
      <c r="E397" s="27"/>
      <c r="F397" s="27"/>
      <c r="G397" s="27"/>
      <c r="H397" s="27"/>
      <c r="I397" s="27"/>
      <c r="J397" s="27"/>
      <c r="K397" s="27"/>
      <c r="L397" s="27"/>
      <c r="M397" s="27"/>
      <c r="N397" s="27"/>
      <c r="O397" s="43"/>
      <c r="S397" s="43"/>
    </row>
    <row r="398" spans="3:19">
      <c r="C398" s="27"/>
      <c r="D398" s="27"/>
      <c r="E398" s="27"/>
      <c r="F398" s="27"/>
      <c r="G398" s="27"/>
      <c r="H398" s="27"/>
      <c r="I398" s="27"/>
      <c r="J398" s="27"/>
      <c r="K398" s="27"/>
      <c r="L398" s="27"/>
      <c r="M398" s="27"/>
      <c r="N398" s="27"/>
      <c r="O398" s="43"/>
      <c r="S398" s="43"/>
    </row>
    <row r="399" spans="3:19">
      <c r="C399" s="27"/>
      <c r="D399" s="27"/>
      <c r="E399" s="27"/>
      <c r="F399" s="27"/>
      <c r="G399" s="27"/>
      <c r="H399" s="27"/>
      <c r="I399" s="27"/>
      <c r="J399" s="27"/>
      <c r="K399" s="27"/>
      <c r="L399" s="27"/>
      <c r="M399" s="27"/>
      <c r="N399" s="27"/>
      <c r="O399" s="43"/>
      <c r="S399" s="43"/>
    </row>
    <row r="400" spans="3:19">
      <c r="C400" s="27"/>
      <c r="D400" s="27"/>
      <c r="E400" s="27"/>
      <c r="F400" s="27"/>
      <c r="G400" s="27"/>
      <c r="H400" s="27"/>
      <c r="I400" s="27"/>
      <c r="J400" s="27"/>
      <c r="K400" s="27"/>
      <c r="L400" s="27"/>
      <c r="M400" s="27"/>
      <c r="N400" s="27"/>
      <c r="O400" s="43"/>
      <c r="S400" s="43"/>
    </row>
    <row r="401" spans="3:19">
      <c r="C401" s="27"/>
      <c r="D401" s="27"/>
      <c r="E401" s="27"/>
      <c r="F401" s="27"/>
      <c r="G401" s="27"/>
      <c r="H401" s="27"/>
      <c r="I401" s="27"/>
      <c r="J401" s="27"/>
      <c r="K401" s="27"/>
      <c r="L401" s="27"/>
      <c r="M401" s="27"/>
      <c r="N401" s="27"/>
      <c r="O401" s="43"/>
      <c r="S401" s="43"/>
    </row>
    <row r="402" spans="3:19">
      <c r="C402" s="27"/>
      <c r="D402" s="27"/>
      <c r="E402" s="27"/>
      <c r="F402" s="27"/>
      <c r="G402" s="27"/>
      <c r="H402" s="27"/>
      <c r="I402" s="27"/>
      <c r="J402" s="27"/>
      <c r="K402" s="27"/>
      <c r="L402" s="27"/>
      <c r="M402" s="27"/>
      <c r="N402" s="27"/>
      <c r="O402" s="43"/>
      <c r="S402" s="43"/>
    </row>
    <row r="403" spans="3:19">
      <c r="C403" s="27"/>
      <c r="D403" s="27"/>
      <c r="E403" s="27"/>
      <c r="F403" s="27"/>
      <c r="G403" s="27"/>
      <c r="H403" s="27"/>
      <c r="I403" s="27"/>
      <c r="J403" s="27"/>
      <c r="K403" s="27"/>
      <c r="L403" s="27"/>
      <c r="M403" s="27"/>
      <c r="N403" s="27"/>
      <c r="O403" s="43"/>
      <c r="S403" s="43"/>
    </row>
    <row r="404" spans="3:19">
      <c r="C404" s="27"/>
      <c r="D404" s="27"/>
      <c r="E404" s="27"/>
      <c r="F404" s="27"/>
      <c r="G404" s="27"/>
      <c r="H404" s="27"/>
      <c r="I404" s="27"/>
      <c r="J404" s="27"/>
      <c r="K404" s="27"/>
      <c r="L404" s="27"/>
      <c r="M404" s="27"/>
      <c r="N404" s="27"/>
      <c r="O404" s="43"/>
      <c r="S404" s="43"/>
    </row>
    <row r="405" spans="3:19">
      <c r="C405" s="27"/>
      <c r="D405" s="27"/>
      <c r="E405" s="27"/>
      <c r="F405" s="27"/>
      <c r="G405" s="27"/>
      <c r="H405" s="27"/>
      <c r="I405" s="27"/>
      <c r="J405" s="27"/>
      <c r="K405" s="27"/>
      <c r="L405" s="27"/>
      <c r="M405" s="27"/>
      <c r="N405" s="27"/>
      <c r="O405" s="43"/>
      <c r="S405" s="43"/>
    </row>
    <row r="406" spans="3:19">
      <c r="C406" s="27"/>
      <c r="D406" s="27"/>
      <c r="E406" s="27"/>
      <c r="F406" s="27"/>
      <c r="G406" s="27"/>
      <c r="H406" s="27"/>
      <c r="I406" s="27"/>
      <c r="J406" s="27"/>
      <c r="K406" s="27"/>
      <c r="L406" s="27"/>
      <c r="M406" s="27"/>
      <c r="N406" s="27"/>
      <c r="O406" s="43"/>
      <c r="S406" s="43"/>
    </row>
    <row r="407" spans="3:19">
      <c r="C407" s="27"/>
      <c r="D407" s="27"/>
      <c r="E407" s="27"/>
      <c r="F407" s="27"/>
      <c r="G407" s="27"/>
      <c r="H407" s="27"/>
      <c r="I407" s="27"/>
      <c r="J407" s="27"/>
      <c r="K407" s="27"/>
      <c r="L407" s="27"/>
      <c r="M407" s="27"/>
      <c r="N407" s="27"/>
      <c r="O407" s="43"/>
      <c r="S407" s="43"/>
    </row>
    <row r="408" spans="3:19">
      <c r="C408" s="27"/>
      <c r="D408" s="27"/>
      <c r="E408" s="27"/>
      <c r="F408" s="27"/>
      <c r="G408" s="27"/>
      <c r="H408" s="27"/>
      <c r="I408" s="27"/>
      <c r="J408" s="27"/>
      <c r="K408" s="27"/>
      <c r="L408" s="27"/>
      <c r="M408" s="27"/>
      <c r="N408" s="27"/>
      <c r="O408" s="43"/>
      <c r="S408" s="43"/>
    </row>
    <row r="409" spans="3:19">
      <c r="C409" s="27"/>
      <c r="D409" s="27"/>
      <c r="E409" s="27"/>
      <c r="F409" s="27"/>
      <c r="G409" s="27"/>
      <c r="H409" s="27"/>
      <c r="I409" s="27"/>
      <c r="J409" s="27"/>
      <c r="K409" s="27"/>
      <c r="L409" s="27"/>
      <c r="M409" s="27"/>
      <c r="N409" s="27"/>
      <c r="O409" s="43"/>
      <c r="S409" s="43"/>
    </row>
    <row r="410" spans="3:19">
      <c r="C410" s="27"/>
      <c r="D410" s="27"/>
      <c r="E410" s="27"/>
      <c r="F410" s="27"/>
      <c r="G410" s="27"/>
      <c r="H410" s="27"/>
      <c r="I410" s="27"/>
      <c r="J410" s="27"/>
      <c r="K410" s="27"/>
      <c r="L410" s="27"/>
      <c r="M410" s="27"/>
      <c r="N410" s="27"/>
      <c r="O410" s="43"/>
      <c r="S410" s="43"/>
    </row>
    <row r="411" spans="3:19">
      <c r="C411" s="27"/>
      <c r="D411" s="27"/>
      <c r="E411" s="27"/>
      <c r="F411" s="27"/>
      <c r="G411" s="27"/>
      <c r="H411" s="27"/>
      <c r="I411" s="27"/>
      <c r="J411" s="27"/>
      <c r="K411" s="27"/>
      <c r="L411" s="27"/>
      <c r="M411" s="27"/>
      <c r="N411" s="27"/>
      <c r="O411" s="43"/>
      <c r="S411" s="43"/>
    </row>
    <row r="412" spans="3:19">
      <c r="C412" s="27"/>
      <c r="D412" s="27"/>
      <c r="E412" s="27"/>
      <c r="F412" s="27"/>
      <c r="G412" s="27"/>
      <c r="H412" s="27"/>
      <c r="I412" s="27"/>
      <c r="J412" s="27"/>
      <c r="K412" s="27"/>
      <c r="L412" s="27"/>
      <c r="M412" s="27"/>
      <c r="N412" s="27"/>
      <c r="O412" s="43"/>
      <c r="S412" s="43"/>
    </row>
    <row r="413" spans="3:19">
      <c r="C413" s="27"/>
      <c r="D413" s="27"/>
      <c r="E413" s="27"/>
      <c r="F413" s="27"/>
      <c r="G413" s="27"/>
      <c r="H413" s="27"/>
      <c r="I413" s="27"/>
      <c r="J413" s="27"/>
      <c r="K413" s="27"/>
      <c r="L413" s="27"/>
      <c r="M413" s="27"/>
      <c r="N413" s="27"/>
      <c r="O413" s="43"/>
      <c r="S413" s="43"/>
    </row>
    <row r="414" spans="3:19">
      <c r="C414" s="27"/>
      <c r="D414" s="27"/>
      <c r="E414" s="27"/>
      <c r="F414" s="27"/>
      <c r="G414" s="27"/>
      <c r="H414" s="27"/>
      <c r="I414" s="27"/>
      <c r="J414" s="27"/>
      <c r="K414" s="27"/>
      <c r="L414" s="27"/>
      <c r="M414" s="27"/>
      <c r="N414" s="27"/>
      <c r="O414" s="43"/>
      <c r="S414" s="43"/>
    </row>
    <row r="415" spans="3:19">
      <c r="C415" s="27"/>
      <c r="D415" s="27"/>
      <c r="E415" s="27"/>
      <c r="F415" s="27"/>
      <c r="G415" s="27"/>
      <c r="H415" s="27"/>
      <c r="I415" s="27"/>
      <c r="J415" s="27"/>
      <c r="K415" s="27"/>
      <c r="L415" s="27"/>
      <c r="M415" s="27"/>
      <c r="N415" s="27"/>
      <c r="O415" s="43"/>
      <c r="S415" s="43"/>
    </row>
    <row r="416" spans="3:19">
      <c r="C416" s="27"/>
      <c r="D416" s="27"/>
      <c r="E416" s="27"/>
      <c r="F416" s="27"/>
      <c r="G416" s="27"/>
      <c r="H416" s="27"/>
      <c r="I416" s="27"/>
      <c r="J416" s="27"/>
      <c r="K416" s="27"/>
      <c r="L416" s="27"/>
      <c r="M416" s="27"/>
      <c r="N416" s="27"/>
      <c r="O416" s="43"/>
      <c r="S416" s="43"/>
    </row>
    <row r="417" spans="3:19">
      <c r="C417" s="27"/>
      <c r="D417" s="27"/>
      <c r="E417" s="27"/>
      <c r="F417" s="27"/>
      <c r="G417" s="27"/>
      <c r="H417" s="27"/>
      <c r="I417" s="27"/>
      <c r="J417" s="27"/>
      <c r="K417" s="27"/>
      <c r="L417" s="27"/>
      <c r="M417" s="27"/>
      <c r="N417" s="27"/>
      <c r="O417" s="43"/>
      <c r="S417" s="43"/>
    </row>
    <row r="418" spans="3:19">
      <c r="C418" s="27"/>
      <c r="D418" s="27"/>
      <c r="E418" s="27"/>
      <c r="F418" s="27"/>
      <c r="G418" s="27"/>
      <c r="H418" s="27"/>
      <c r="I418" s="27"/>
      <c r="J418" s="27"/>
      <c r="K418" s="27"/>
      <c r="L418" s="27"/>
      <c r="M418" s="27"/>
      <c r="N418" s="27"/>
      <c r="O418" s="43"/>
      <c r="S418" s="43"/>
    </row>
    <row r="419" spans="3:19">
      <c r="C419" s="27"/>
      <c r="D419" s="27"/>
      <c r="E419" s="27"/>
      <c r="F419" s="27"/>
      <c r="G419" s="27"/>
      <c r="H419" s="27"/>
      <c r="I419" s="27"/>
      <c r="J419" s="27"/>
      <c r="K419" s="27"/>
      <c r="L419" s="27"/>
      <c r="M419" s="27"/>
      <c r="N419" s="27"/>
      <c r="O419" s="43"/>
      <c r="S419" s="43"/>
    </row>
    <row r="420" spans="3:19">
      <c r="C420" s="27"/>
      <c r="D420" s="27"/>
      <c r="E420" s="27"/>
      <c r="F420" s="27"/>
      <c r="G420" s="27"/>
      <c r="H420" s="27"/>
      <c r="I420" s="27"/>
      <c r="J420" s="27"/>
      <c r="K420" s="27"/>
      <c r="L420" s="27"/>
      <c r="M420" s="27"/>
      <c r="N420" s="27"/>
      <c r="O420" s="43"/>
      <c r="S420" s="43"/>
    </row>
    <row r="421" spans="3:19">
      <c r="C421" s="27"/>
      <c r="D421" s="27"/>
      <c r="E421" s="27"/>
      <c r="F421" s="27"/>
      <c r="G421" s="27"/>
      <c r="H421" s="27"/>
      <c r="I421" s="27"/>
      <c r="J421" s="27"/>
      <c r="K421" s="27"/>
      <c r="L421" s="27"/>
      <c r="M421" s="27"/>
      <c r="N421" s="27"/>
      <c r="O421" s="43"/>
      <c r="S421" s="43"/>
    </row>
    <row r="422" spans="3:19">
      <c r="C422" s="27"/>
      <c r="D422" s="27"/>
      <c r="E422" s="27"/>
      <c r="F422" s="27"/>
      <c r="G422" s="27"/>
      <c r="H422" s="27"/>
      <c r="I422" s="27"/>
      <c r="J422" s="27"/>
      <c r="K422" s="27"/>
      <c r="L422" s="27"/>
      <c r="M422" s="27"/>
      <c r="N422" s="27"/>
      <c r="O422" s="43"/>
      <c r="S422" s="43"/>
    </row>
    <row r="423" spans="3:19">
      <c r="C423" s="27"/>
      <c r="D423" s="27"/>
      <c r="E423" s="27"/>
      <c r="F423" s="27"/>
      <c r="G423" s="27"/>
      <c r="H423" s="27"/>
      <c r="I423" s="27"/>
      <c r="J423" s="27"/>
      <c r="K423" s="27"/>
      <c r="L423" s="27"/>
      <c r="M423" s="27"/>
      <c r="N423" s="27"/>
      <c r="O423" s="43"/>
      <c r="S423" s="43"/>
    </row>
    <row r="424" spans="3:19">
      <c r="C424" s="27"/>
      <c r="D424" s="27"/>
      <c r="E424" s="27"/>
      <c r="F424" s="27"/>
      <c r="G424" s="27"/>
      <c r="H424" s="27"/>
      <c r="I424" s="27"/>
      <c r="J424" s="27"/>
      <c r="K424" s="27"/>
      <c r="L424" s="27"/>
      <c r="M424" s="27"/>
      <c r="N424" s="27"/>
      <c r="O424" s="43"/>
      <c r="S424" s="43"/>
    </row>
    <row r="425" spans="3:19">
      <c r="C425" s="27"/>
      <c r="D425" s="27"/>
      <c r="E425" s="27"/>
      <c r="F425" s="27"/>
      <c r="G425" s="27"/>
      <c r="H425" s="27"/>
      <c r="I425" s="27"/>
      <c r="J425" s="27"/>
      <c r="K425" s="27"/>
      <c r="L425" s="27"/>
      <c r="M425" s="27"/>
      <c r="N425" s="27"/>
      <c r="O425" s="43"/>
      <c r="S425" s="43"/>
    </row>
    <row r="426" spans="3:19">
      <c r="C426" s="27"/>
      <c r="D426" s="27"/>
      <c r="E426" s="27"/>
      <c r="F426" s="27"/>
      <c r="G426" s="27"/>
      <c r="H426" s="27"/>
      <c r="I426" s="27"/>
      <c r="J426" s="27"/>
      <c r="K426" s="27"/>
      <c r="L426" s="27"/>
      <c r="M426" s="27"/>
      <c r="N426" s="27"/>
      <c r="O426" s="43"/>
      <c r="S426" s="43"/>
    </row>
    <row r="427" spans="3:19">
      <c r="C427" s="27"/>
      <c r="D427" s="27"/>
      <c r="E427" s="27"/>
      <c r="F427" s="27"/>
      <c r="G427" s="27"/>
      <c r="H427" s="27"/>
      <c r="I427" s="27"/>
      <c r="J427" s="27"/>
      <c r="K427" s="27"/>
      <c r="L427" s="27"/>
      <c r="M427" s="27"/>
      <c r="N427" s="27"/>
      <c r="O427" s="43"/>
      <c r="S427" s="43"/>
    </row>
    <row r="428" spans="3:19">
      <c r="C428" s="27"/>
      <c r="D428" s="27"/>
      <c r="E428" s="27"/>
      <c r="F428" s="27"/>
      <c r="G428" s="27"/>
      <c r="H428" s="27"/>
      <c r="I428" s="27"/>
      <c r="J428" s="27"/>
      <c r="K428" s="27"/>
      <c r="L428" s="27"/>
      <c r="M428" s="27"/>
      <c r="N428" s="27"/>
      <c r="O428" s="43"/>
      <c r="S428" s="43"/>
    </row>
    <row r="429" spans="3:19">
      <c r="C429" s="27"/>
      <c r="D429" s="27"/>
      <c r="E429" s="27"/>
      <c r="F429" s="27"/>
      <c r="G429" s="27"/>
      <c r="H429" s="27"/>
      <c r="I429" s="27"/>
      <c r="J429" s="27"/>
      <c r="K429" s="27"/>
      <c r="L429" s="27"/>
      <c r="M429" s="27"/>
      <c r="N429" s="27"/>
      <c r="O429" s="43"/>
      <c r="S429" s="43"/>
    </row>
    <row r="430" spans="3:19">
      <c r="C430" s="27"/>
      <c r="D430" s="27"/>
      <c r="E430" s="27"/>
      <c r="F430" s="27"/>
      <c r="G430" s="27"/>
      <c r="H430" s="27"/>
      <c r="I430" s="27"/>
      <c r="J430" s="27"/>
      <c r="K430" s="27"/>
      <c r="L430" s="27"/>
      <c r="M430" s="27"/>
      <c r="N430" s="27"/>
      <c r="O430" s="43"/>
      <c r="S430" s="43"/>
    </row>
    <row r="431" spans="3:19">
      <c r="C431" s="27"/>
      <c r="D431" s="27"/>
      <c r="E431" s="27"/>
      <c r="F431" s="27"/>
      <c r="G431" s="27"/>
      <c r="H431" s="27"/>
      <c r="I431" s="27"/>
      <c r="J431" s="27"/>
      <c r="K431" s="27"/>
      <c r="L431" s="27"/>
      <c r="M431" s="27"/>
      <c r="N431" s="27"/>
      <c r="O431" s="43"/>
      <c r="S431" s="43"/>
    </row>
    <row r="432" spans="3:19">
      <c r="C432" s="27"/>
      <c r="D432" s="27"/>
      <c r="E432" s="27"/>
      <c r="F432" s="27"/>
      <c r="G432" s="27"/>
      <c r="H432" s="27"/>
      <c r="I432" s="27"/>
      <c r="J432" s="27"/>
      <c r="K432" s="27"/>
      <c r="L432" s="27"/>
      <c r="M432" s="27"/>
      <c r="N432" s="27"/>
      <c r="O432" s="43"/>
      <c r="S432" s="43"/>
    </row>
    <row r="433" spans="3:19">
      <c r="C433" s="27"/>
      <c r="D433" s="27"/>
      <c r="E433" s="27"/>
      <c r="F433" s="27"/>
      <c r="G433" s="27"/>
      <c r="H433" s="27"/>
      <c r="I433" s="27"/>
      <c r="J433" s="27"/>
      <c r="K433" s="27"/>
      <c r="L433" s="27"/>
      <c r="M433" s="27"/>
      <c r="N433" s="27"/>
      <c r="O433" s="43"/>
      <c r="S433" s="43"/>
    </row>
    <row r="434" spans="3:19">
      <c r="C434" s="27"/>
      <c r="D434" s="27"/>
      <c r="E434" s="27"/>
      <c r="F434" s="27"/>
      <c r="G434" s="27"/>
      <c r="H434" s="27"/>
      <c r="I434" s="27"/>
      <c r="J434" s="27"/>
      <c r="K434" s="27"/>
      <c r="L434" s="27"/>
      <c r="M434" s="27"/>
      <c r="N434" s="27"/>
      <c r="O434" s="43"/>
      <c r="S434" s="43"/>
    </row>
    <row r="435" spans="3:19">
      <c r="C435" s="27"/>
      <c r="D435" s="27"/>
      <c r="E435" s="27"/>
      <c r="F435" s="27"/>
      <c r="G435" s="27"/>
      <c r="H435" s="27"/>
      <c r="I435" s="27"/>
      <c r="J435" s="27"/>
      <c r="K435" s="27"/>
      <c r="L435" s="27"/>
      <c r="M435" s="27"/>
      <c r="N435" s="27"/>
      <c r="O435" s="43"/>
      <c r="S435" s="43"/>
    </row>
    <row r="436" spans="3:19">
      <c r="C436" s="27"/>
      <c r="D436" s="27"/>
      <c r="E436" s="27"/>
      <c r="F436" s="27"/>
      <c r="G436" s="27"/>
      <c r="H436" s="27"/>
      <c r="I436" s="27"/>
      <c r="J436" s="27"/>
      <c r="K436" s="27"/>
      <c r="L436" s="27"/>
      <c r="M436" s="27"/>
      <c r="N436" s="27"/>
      <c r="O436" s="43"/>
      <c r="S436" s="43"/>
    </row>
    <row r="437" spans="3:19">
      <c r="C437" s="27"/>
      <c r="D437" s="27"/>
      <c r="E437" s="27"/>
      <c r="F437" s="27"/>
      <c r="G437" s="27"/>
      <c r="H437" s="27"/>
      <c r="I437" s="27"/>
      <c r="J437" s="27"/>
      <c r="K437" s="27"/>
      <c r="L437" s="27"/>
      <c r="M437" s="27"/>
      <c r="N437" s="27"/>
      <c r="O437" s="43"/>
      <c r="S437" s="43"/>
    </row>
    <row r="438" spans="3:19">
      <c r="C438" s="27"/>
      <c r="D438" s="27"/>
      <c r="E438" s="27"/>
      <c r="F438" s="27"/>
      <c r="G438" s="27"/>
      <c r="H438" s="27"/>
      <c r="I438" s="27"/>
      <c r="J438" s="27"/>
      <c r="K438" s="27"/>
      <c r="L438" s="27"/>
      <c r="M438" s="27"/>
      <c r="N438" s="27"/>
      <c r="O438" s="43"/>
      <c r="S438" s="43"/>
    </row>
    <row r="439" spans="3:19">
      <c r="C439" s="27"/>
      <c r="D439" s="27"/>
      <c r="E439" s="27"/>
      <c r="F439" s="27"/>
      <c r="G439" s="27"/>
      <c r="H439" s="27"/>
      <c r="I439" s="27"/>
      <c r="J439" s="27"/>
      <c r="K439" s="27"/>
      <c r="L439" s="27"/>
      <c r="M439" s="27"/>
      <c r="N439" s="27"/>
      <c r="O439" s="43"/>
      <c r="S439" s="43"/>
    </row>
    <row r="440" spans="3:19">
      <c r="C440" s="27"/>
      <c r="D440" s="27"/>
      <c r="E440" s="27"/>
      <c r="F440" s="27"/>
      <c r="G440" s="27"/>
      <c r="H440" s="27"/>
      <c r="I440" s="27"/>
      <c r="J440" s="27"/>
      <c r="K440" s="27"/>
      <c r="L440" s="27"/>
      <c r="M440" s="27"/>
      <c r="N440" s="27"/>
      <c r="O440" s="43"/>
      <c r="S440" s="43"/>
    </row>
    <row r="441" spans="3:19">
      <c r="C441" s="27"/>
      <c r="D441" s="27"/>
      <c r="E441" s="27"/>
      <c r="F441" s="27"/>
      <c r="G441" s="27"/>
      <c r="H441" s="27"/>
      <c r="I441" s="27"/>
      <c r="J441" s="27"/>
      <c r="K441" s="27"/>
      <c r="L441" s="27"/>
      <c r="M441" s="27"/>
      <c r="N441" s="27"/>
      <c r="O441" s="43"/>
      <c r="S441" s="43"/>
    </row>
    <row r="442" spans="3:19">
      <c r="C442" s="27"/>
      <c r="D442" s="27"/>
      <c r="E442" s="27"/>
      <c r="F442" s="27"/>
      <c r="G442" s="27"/>
      <c r="H442" s="27"/>
      <c r="I442" s="27"/>
      <c r="J442" s="27"/>
      <c r="K442" s="27"/>
      <c r="L442" s="27"/>
      <c r="M442" s="27"/>
      <c r="N442" s="27"/>
      <c r="O442" s="43"/>
      <c r="S442" s="43"/>
    </row>
    <row r="443" spans="3:19">
      <c r="C443" s="27"/>
      <c r="D443" s="27"/>
      <c r="E443" s="27"/>
      <c r="F443" s="27"/>
      <c r="G443" s="27"/>
      <c r="H443" s="27"/>
      <c r="I443" s="27"/>
      <c r="J443" s="27"/>
      <c r="K443" s="27"/>
      <c r="L443" s="27"/>
      <c r="M443" s="27"/>
      <c r="N443" s="27"/>
      <c r="O443" s="43"/>
      <c r="S443" s="43"/>
    </row>
    <row r="444" spans="3:19">
      <c r="C444" s="27"/>
      <c r="D444" s="27"/>
      <c r="E444" s="27"/>
      <c r="F444" s="27"/>
      <c r="G444" s="27"/>
      <c r="H444" s="27"/>
      <c r="I444" s="27"/>
      <c r="J444" s="27"/>
      <c r="K444" s="27"/>
      <c r="L444" s="27"/>
      <c r="M444" s="27"/>
      <c r="N444" s="27"/>
      <c r="O444" s="43"/>
      <c r="S444" s="43"/>
    </row>
    <row r="445" spans="3:19">
      <c r="C445" s="27"/>
      <c r="D445" s="27"/>
      <c r="E445" s="27"/>
      <c r="F445" s="27"/>
      <c r="G445" s="27"/>
      <c r="H445" s="27"/>
      <c r="I445" s="27"/>
      <c r="J445" s="27"/>
      <c r="K445" s="27"/>
      <c r="L445" s="27"/>
      <c r="M445" s="27"/>
      <c r="N445" s="27"/>
      <c r="O445" s="43"/>
      <c r="S445" s="43"/>
    </row>
    <row r="446" spans="3:19">
      <c r="C446" s="27"/>
      <c r="D446" s="27"/>
      <c r="E446" s="27"/>
      <c r="F446" s="27"/>
      <c r="G446" s="27"/>
      <c r="H446" s="27"/>
      <c r="I446" s="27"/>
      <c r="J446" s="27"/>
      <c r="K446" s="27"/>
      <c r="L446" s="27"/>
      <c r="M446" s="27"/>
      <c r="N446" s="27"/>
      <c r="O446" s="43"/>
      <c r="S446" s="43"/>
    </row>
    <row r="447" spans="3:19">
      <c r="C447" s="27"/>
      <c r="D447" s="27"/>
      <c r="E447" s="27"/>
      <c r="F447" s="27"/>
      <c r="G447" s="27"/>
      <c r="H447" s="27"/>
      <c r="I447" s="27"/>
      <c r="J447" s="27"/>
      <c r="K447" s="27"/>
      <c r="L447" s="27"/>
      <c r="M447" s="27"/>
      <c r="N447" s="27"/>
      <c r="O447" s="43"/>
      <c r="S447" s="43"/>
    </row>
    <row r="448" spans="3:19">
      <c r="C448" s="27"/>
      <c r="D448" s="27"/>
      <c r="E448" s="27"/>
      <c r="F448" s="27"/>
      <c r="G448" s="27"/>
      <c r="H448" s="27"/>
      <c r="I448" s="27"/>
      <c r="J448" s="27"/>
      <c r="K448" s="27"/>
      <c r="L448" s="27"/>
      <c r="M448" s="27"/>
      <c r="N448" s="27"/>
      <c r="O448" s="43"/>
      <c r="S448" s="43"/>
    </row>
    <row r="449" spans="3:19">
      <c r="C449" s="27"/>
      <c r="D449" s="27"/>
      <c r="E449" s="27"/>
      <c r="F449" s="27"/>
      <c r="G449" s="27"/>
      <c r="H449" s="27"/>
      <c r="I449" s="27"/>
      <c r="J449" s="27"/>
      <c r="K449" s="27"/>
      <c r="L449" s="27"/>
      <c r="M449" s="27"/>
      <c r="N449" s="27"/>
      <c r="O449" s="43"/>
      <c r="S449" s="43"/>
    </row>
    <row r="450" spans="3:19">
      <c r="C450" s="27"/>
      <c r="D450" s="27"/>
      <c r="E450" s="27"/>
      <c r="F450" s="27"/>
      <c r="G450" s="27"/>
      <c r="H450" s="27"/>
      <c r="I450" s="27"/>
      <c r="J450" s="27"/>
      <c r="K450" s="27"/>
      <c r="L450" s="27"/>
      <c r="M450" s="27"/>
      <c r="N450" s="27"/>
      <c r="O450" s="43"/>
      <c r="S450" s="43"/>
    </row>
    <row r="451" spans="3:19">
      <c r="C451" s="27"/>
      <c r="D451" s="27"/>
      <c r="E451" s="27"/>
      <c r="F451" s="27"/>
      <c r="G451" s="27"/>
      <c r="H451" s="27"/>
      <c r="I451" s="27"/>
      <c r="J451" s="27"/>
      <c r="K451" s="27"/>
      <c r="L451" s="27"/>
      <c r="M451" s="27"/>
      <c r="N451" s="27"/>
      <c r="O451" s="43"/>
      <c r="S451" s="43"/>
    </row>
    <row r="452" spans="3:19">
      <c r="C452" s="27"/>
      <c r="D452" s="27"/>
      <c r="E452" s="27"/>
      <c r="F452" s="27"/>
      <c r="G452" s="27"/>
      <c r="H452" s="27"/>
      <c r="I452" s="27"/>
      <c r="J452" s="27"/>
      <c r="K452" s="27"/>
      <c r="L452" s="27"/>
      <c r="M452" s="27"/>
      <c r="N452" s="27"/>
      <c r="O452" s="43"/>
      <c r="S452" s="43"/>
    </row>
    <row r="453" spans="3:19">
      <c r="C453" s="27"/>
      <c r="D453" s="27"/>
      <c r="E453" s="27"/>
      <c r="F453" s="27"/>
      <c r="G453" s="27"/>
      <c r="H453" s="27"/>
      <c r="I453" s="27"/>
      <c r="J453" s="27"/>
      <c r="K453" s="27"/>
      <c r="L453" s="27"/>
      <c r="M453" s="27"/>
      <c r="N453" s="27"/>
      <c r="O453" s="43"/>
      <c r="S453" s="43"/>
    </row>
    <row r="454" spans="3:19">
      <c r="C454" s="27"/>
      <c r="D454" s="27"/>
      <c r="E454" s="27"/>
      <c r="F454" s="27"/>
      <c r="G454" s="27"/>
      <c r="H454" s="27"/>
      <c r="I454" s="27"/>
      <c r="J454" s="27"/>
      <c r="K454" s="27"/>
      <c r="L454" s="27"/>
      <c r="M454" s="27"/>
      <c r="N454" s="27"/>
      <c r="O454" s="43"/>
      <c r="S454" s="43"/>
    </row>
    <row r="455" spans="3:19">
      <c r="C455" s="27"/>
      <c r="D455" s="27"/>
      <c r="E455" s="27"/>
      <c r="F455" s="27"/>
      <c r="G455" s="27"/>
      <c r="H455" s="27"/>
      <c r="I455" s="27"/>
      <c r="J455" s="27"/>
      <c r="K455" s="27"/>
      <c r="L455" s="27"/>
      <c r="M455" s="27"/>
      <c r="N455" s="27"/>
      <c r="O455" s="43"/>
      <c r="S455" s="43"/>
    </row>
    <row r="456" spans="3:19">
      <c r="C456" s="27"/>
      <c r="D456" s="27"/>
      <c r="E456" s="27"/>
      <c r="F456" s="27"/>
      <c r="G456" s="27"/>
      <c r="H456" s="27"/>
      <c r="I456" s="27"/>
      <c r="J456" s="27"/>
      <c r="K456" s="27"/>
      <c r="L456" s="27"/>
      <c r="M456" s="27"/>
      <c r="N456" s="27"/>
      <c r="O456" s="43"/>
      <c r="S456" s="43"/>
    </row>
    <row r="457" spans="3:19">
      <c r="C457" s="27"/>
      <c r="D457" s="27"/>
      <c r="E457" s="27"/>
      <c r="F457" s="27"/>
      <c r="G457" s="27"/>
      <c r="H457" s="27"/>
      <c r="I457" s="27"/>
      <c r="J457" s="27"/>
      <c r="K457" s="27"/>
      <c r="L457" s="27"/>
      <c r="M457" s="27"/>
      <c r="N457" s="27"/>
      <c r="O457" s="43"/>
      <c r="S457" s="43"/>
    </row>
    <row r="458" spans="3:19">
      <c r="C458" s="27"/>
      <c r="D458" s="27"/>
      <c r="E458" s="27"/>
      <c r="F458" s="27"/>
      <c r="G458" s="27"/>
      <c r="H458" s="27"/>
      <c r="I458" s="27"/>
      <c r="J458" s="27"/>
      <c r="K458" s="27"/>
      <c r="L458" s="27"/>
      <c r="M458" s="27"/>
      <c r="N458" s="27"/>
      <c r="O458" s="43"/>
      <c r="S458" s="43"/>
    </row>
    <row r="459" spans="3:19">
      <c r="C459" s="27"/>
      <c r="D459" s="27"/>
      <c r="E459" s="27"/>
      <c r="F459" s="27"/>
      <c r="G459" s="27"/>
      <c r="H459" s="27"/>
      <c r="I459" s="27"/>
      <c r="J459" s="27"/>
      <c r="K459" s="27"/>
      <c r="L459" s="27"/>
      <c r="M459" s="27"/>
      <c r="N459" s="27"/>
      <c r="O459" s="43"/>
      <c r="S459" s="43"/>
    </row>
    <row r="460" spans="3:19">
      <c r="C460" s="27"/>
      <c r="D460" s="27"/>
      <c r="E460" s="27"/>
      <c r="F460" s="27"/>
      <c r="G460" s="27"/>
      <c r="H460" s="27"/>
      <c r="I460" s="27"/>
      <c r="J460" s="27"/>
      <c r="K460" s="27"/>
      <c r="L460" s="27"/>
      <c r="M460" s="27"/>
      <c r="N460" s="27"/>
      <c r="O460" s="43"/>
      <c r="S460" s="43"/>
    </row>
    <row r="461" spans="3:19">
      <c r="C461" s="27"/>
      <c r="D461" s="27"/>
      <c r="E461" s="27"/>
      <c r="F461" s="27"/>
      <c r="G461" s="27"/>
      <c r="H461" s="27"/>
      <c r="I461" s="27"/>
      <c r="J461" s="27"/>
      <c r="K461" s="27"/>
      <c r="L461" s="27"/>
      <c r="M461" s="27"/>
      <c r="N461" s="27"/>
      <c r="O461" s="43"/>
      <c r="S461" s="43"/>
    </row>
    <row r="462" spans="3:19">
      <c r="C462" s="27"/>
      <c r="D462" s="27"/>
      <c r="E462" s="27"/>
      <c r="F462" s="27"/>
      <c r="G462" s="27"/>
      <c r="H462" s="27"/>
      <c r="I462" s="27"/>
      <c r="J462" s="27"/>
      <c r="K462" s="27"/>
      <c r="L462" s="27"/>
      <c r="M462" s="27"/>
      <c r="N462" s="27"/>
      <c r="O462" s="43"/>
      <c r="S462" s="43"/>
    </row>
    <row r="463" spans="3:19">
      <c r="C463" s="27"/>
      <c r="D463" s="27"/>
      <c r="E463" s="27"/>
      <c r="F463" s="27"/>
      <c r="G463" s="27"/>
      <c r="H463" s="27"/>
      <c r="I463" s="27"/>
      <c r="J463" s="27"/>
      <c r="K463" s="27"/>
      <c r="L463" s="27"/>
      <c r="M463" s="27"/>
      <c r="N463" s="27"/>
      <c r="O463" s="43"/>
      <c r="S463" s="43"/>
    </row>
    <row r="464" spans="3:19">
      <c r="C464" s="27"/>
      <c r="D464" s="27"/>
      <c r="E464" s="27"/>
      <c r="F464" s="27"/>
      <c r="G464" s="27"/>
      <c r="H464" s="27"/>
      <c r="I464" s="27"/>
      <c r="J464" s="27"/>
      <c r="K464" s="27"/>
      <c r="L464" s="27"/>
      <c r="M464" s="27"/>
      <c r="N464" s="27"/>
      <c r="O464" s="43"/>
      <c r="S464" s="43"/>
    </row>
    <row r="465" spans="3:19">
      <c r="C465" s="27"/>
      <c r="D465" s="27"/>
      <c r="E465" s="27"/>
      <c r="F465" s="27"/>
      <c r="G465" s="27"/>
      <c r="H465" s="27"/>
      <c r="I465" s="27"/>
      <c r="J465" s="27"/>
      <c r="K465" s="27"/>
      <c r="L465" s="27"/>
      <c r="M465" s="27"/>
      <c r="N465" s="27"/>
      <c r="O465" s="43"/>
      <c r="S465" s="43"/>
    </row>
    <row r="466" spans="3:19">
      <c r="C466" s="27"/>
      <c r="D466" s="27"/>
      <c r="E466" s="27"/>
      <c r="F466" s="27"/>
      <c r="G466" s="27"/>
      <c r="H466" s="27"/>
      <c r="I466" s="27"/>
      <c r="J466" s="27"/>
      <c r="K466" s="27"/>
      <c r="L466" s="27"/>
      <c r="M466" s="27"/>
      <c r="N466" s="27"/>
      <c r="O466" s="43"/>
      <c r="S466" s="43"/>
    </row>
    <row r="467" spans="3:19">
      <c r="C467" s="27"/>
      <c r="D467" s="27"/>
      <c r="E467" s="27"/>
      <c r="F467" s="27"/>
      <c r="G467" s="27"/>
      <c r="H467" s="27"/>
      <c r="I467" s="27"/>
      <c r="J467" s="27"/>
      <c r="K467" s="27"/>
      <c r="L467" s="27"/>
      <c r="M467" s="27"/>
      <c r="N467" s="27"/>
      <c r="O467" s="43"/>
    </row>
    <row r="468" spans="3:19">
      <c r="C468" s="27"/>
      <c r="D468" s="27"/>
      <c r="E468" s="27"/>
      <c r="F468" s="27"/>
      <c r="G468" s="27"/>
      <c r="H468" s="27"/>
      <c r="I468" s="27"/>
      <c r="J468" s="27"/>
      <c r="K468" s="27"/>
      <c r="L468" s="27"/>
      <c r="M468" s="27"/>
      <c r="N468" s="27"/>
      <c r="O468" s="43"/>
    </row>
    <row r="469" spans="3:19">
      <c r="C469" s="27"/>
      <c r="D469" s="27"/>
      <c r="E469" s="27"/>
      <c r="F469" s="27"/>
      <c r="G469" s="27"/>
      <c r="H469" s="27"/>
      <c r="I469" s="27"/>
      <c r="J469" s="27"/>
      <c r="K469" s="27"/>
      <c r="L469" s="27"/>
      <c r="M469" s="27"/>
      <c r="N469" s="27"/>
      <c r="O469" s="43"/>
    </row>
    <row r="470" spans="3:19">
      <c r="C470" s="27"/>
      <c r="D470" s="27"/>
      <c r="E470" s="27"/>
      <c r="F470" s="27"/>
      <c r="G470" s="27"/>
      <c r="H470" s="27"/>
      <c r="I470" s="27"/>
      <c r="J470" s="27"/>
      <c r="K470" s="27"/>
      <c r="L470" s="27"/>
      <c r="M470" s="27"/>
      <c r="N470" s="27"/>
      <c r="O470" s="43"/>
    </row>
    <row r="471" spans="3:19">
      <c r="C471" s="27"/>
      <c r="D471" s="27"/>
      <c r="E471" s="27"/>
      <c r="F471" s="27"/>
      <c r="G471" s="27"/>
      <c r="H471" s="27"/>
      <c r="I471" s="27"/>
      <c r="J471" s="27"/>
      <c r="K471" s="27"/>
      <c r="L471" s="27"/>
      <c r="M471" s="27"/>
      <c r="N471" s="27"/>
      <c r="O471" s="43"/>
    </row>
    <row r="472" spans="3:19">
      <c r="C472" s="27"/>
      <c r="D472" s="27"/>
      <c r="E472" s="27"/>
      <c r="F472" s="27"/>
      <c r="G472" s="27"/>
      <c r="H472" s="27"/>
      <c r="I472" s="27"/>
      <c r="J472" s="27"/>
      <c r="K472" s="27"/>
      <c r="L472" s="27"/>
      <c r="M472" s="27"/>
      <c r="N472" s="27"/>
      <c r="O472" s="43"/>
    </row>
    <row r="473" spans="3:19">
      <c r="C473" s="27"/>
      <c r="D473" s="27"/>
      <c r="E473" s="27"/>
      <c r="F473" s="27"/>
      <c r="G473" s="27"/>
      <c r="H473" s="27"/>
      <c r="I473" s="27"/>
      <c r="J473" s="27"/>
      <c r="K473" s="27"/>
      <c r="L473" s="27"/>
      <c r="M473" s="27"/>
      <c r="N473" s="27"/>
      <c r="O473" s="43"/>
    </row>
    <row r="474" spans="3:19">
      <c r="C474" s="27"/>
      <c r="D474" s="27"/>
      <c r="E474" s="27"/>
      <c r="F474" s="27"/>
      <c r="G474" s="27"/>
      <c r="H474" s="27"/>
      <c r="I474" s="27"/>
      <c r="J474" s="27"/>
      <c r="K474" s="27"/>
      <c r="L474" s="27"/>
      <c r="M474" s="27"/>
      <c r="N474" s="27"/>
      <c r="O474" s="43"/>
    </row>
    <row r="475" spans="3:19">
      <c r="C475" s="27"/>
      <c r="D475" s="27"/>
      <c r="E475" s="27"/>
      <c r="F475" s="27"/>
      <c r="G475" s="27"/>
      <c r="H475" s="27"/>
      <c r="I475" s="27"/>
      <c r="J475" s="27"/>
      <c r="K475" s="27"/>
      <c r="L475" s="27"/>
      <c r="M475" s="27"/>
      <c r="N475" s="27"/>
      <c r="O475" s="43"/>
    </row>
    <row r="476" spans="3:19">
      <c r="C476" s="27"/>
      <c r="D476" s="27"/>
      <c r="E476" s="27"/>
      <c r="F476" s="27"/>
      <c r="G476" s="27"/>
      <c r="H476" s="27"/>
      <c r="I476" s="27"/>
      <c r="J476" s="27"/>
      <c r="K476" s="27"/>
      <c r="L476" s="27"/>
      <c r="M476" s="27"/>
      <c r="N476" s="27"/>
      <c r="O476" s="43"/>
    </row>
    <row r="477" spans="3:19">
      <c r="C477" s="27"/>
      <c r="D477" s="27"/>
      <c r="E477" s="27"/>
      <c r="F477" s="27"/>
      <c r="G477" s="27"/>
      <c r="H477" s="27"/>
      <c r="I477" s="27"/>
      <c r="J477" s="27"/>
      <c r="K477" s="27"/>
      <c r="L477" s="27"/>
      <c r="M477" s="27"/>
      <c r="N477" s="27"/>
      <c r="O477" s="43"/>
    </row>
    <row r="478" spans="3:19">
      <c r="C478" s="27"/>
      <c r="D478" s="27"/>
      <c r="E478" s="27"/>
      <c r="F478" s="27"/>
      <c r="G478" s="27"/>
      <c r="H478" s="27"/>
      <c r="I478" s="27"/>
      <c r="J478" s="27"/>
      <c r="K478" s="27"/>
      <c r="L478" s="27"/>
      <c r="M478" s="27"/>
      <c r="N478" s="27"/>
      <c r="O478" s="43"/>
    </row>
    <row r="479" spans="3:19">
      <c r="C479" s="27"/>
      <c r="D479" s="27"/>
      <c r="E479" s="27"/>
      <c r="F479" s="27"/>
      <c r="G479" s="27"/>
      <c r="H479" s="27"/>
      <c r="I479" s="27"/>
      <c r="J479" s="27"/>
      <c r="K479" s="27"/>
      <c r="L479" s="27"/>
      <c r="M479" s="27"/>
      <c r="N479" s="27"/>
      <c r="O479" s="43"/>
    </row>
    <row r="480" spans="3:19">
      <c r="C480" s="27"/>
      <c r="D480" s="27"/>
      <c r="E480" s="27"/>
      <c r="F480" s="27"/>
      <c r="G480" s="27"/>
      <c r="H480" s="27"/>
      <c r="I480" s="27"/>
      <c r="J480" s="27"/>
      <c r="K480" s="27"/>
      <c r="L480" s="27"/>
      <c r="M480" s="27"/>
      <c r="N480" s="27"/>
      <c r="O480" s="43"/>
    </row>
    <row r="481" spans="3:15">
      <c r="C481" s="27"/>
      <c r="D481" s="27"/>
      <c r="E481" s="27"/>
      <c r="F481" s="27"/>
      <c r="G481" s="27"/>
      <c r="H481" s="27"/>
      <c r="I481" s="27"/>
      <c r="J481" s="27"/>
      <c r="K481" s="27"/>
      <c r="L481" s="27"/>
      <c r="M481" s="27"/>
      <c r="N481" s="27"/>
      <c r="O481" s="43"/>
    </row>
    <row r="482" spans="3:15">
      <c r="C482" s="27"/>
      <c r="D482" s="27"/>
      <c r="E482" s="27"/>
      <c r="F482" s="27"/>
      <c r="G482" s="27"/>
      <c r="H482" s="27"/>
      <c r="I482" s="27"/>
      <c r="J482" s="27"/>
      <c r="K482" s="27"/>
      <c r="L482" s="27"/>
      <c r="M482" s="27"/>
      <c r="N482" s="27"/>
      <c r="O482" s="43"/>
    </row>
    <row r="483" spans="3:15">
      <c r="C483" s="27"/>
      <c r="D483" s="27"/>
      <c r="E483" s="27"/>
      <c r="F483" s="27"/>
      <c r="G483" s="27"/>
      <c r="H483" s="27"/>
      <c r="I483" s="27"/>
      <c r="J483" s="27"/>
      <c r="K483" s="27"/>
      <c r="L483" s="27"/>
      <c r="M483" s="27"/>
      <c r="N483" s="27"/>
      <c r="O483" s="43"/>
    </row>
    <row r="484" spans="3:15">
      <c r="C484" s="27"/>
      <c r="D484" s="27"/>
      <c r="E484" s="27"/>
      <c r="F484" s="27"/>
      <c r="G484" s="27"/>
      <c r="H484" s="27"/>
      <c r="I484" s="27"/>
      <c r="J484" s="27"/>
      <c r="K484" s="27"/>
      <c r="L484" s="27"/>
      <c r="M484" s="27"/>
      <c r="N484" s="27"/>
      <c r="O484" s="43"/>
    </row>
    <row r="485" spans="3:15">
      <c r="C485" s="27"/>
      <c r="D485" s="27"/>
      <c r="E485" s="27"/>
      <c r="F485" s="27"/>
      <c r="G485" s="27"/>
      <c r="H485" s="27"/>
      <c r="I485" s="27"/>
      <c r="J485" s="27"/>
      <c r="K485" s="27"/>
      <c r="L485" s="27"/>
      <c r="M485" s="27"/>
      <c r="N485" s="27"/>
      <c r="O485" s="43"/>
    </row>
    <row r="486" spans="3:15">
      <c r="C486" s="27"/>
      <c r="D486" s="27"/>
      <c r="E486" s="27"/>
      <c r="F486" s="27"/>
      <c r="G486" s="27"/>
      <c r="H486" s="27"/>
      <c r="I486" s="27"/>
      <c r="J486" s="27"/>
      <c r="K486" s="27"/>
      <c r="L486" s="27"/>
      <c r="M486" s="27"/>
      <c r="N486" s="27"/>
      <c r="O486" s="43"/>
    </row>
    <row r="487" spans="3:15">
      <c r="C487" s="27"/>
      <c r="D487" s="27"/>
      <c r="E487" s="27"/>
      <c r="F487" s="27"/>
      <c r="G487" s="27"/>
      <c r="H487" s="27"/>
      <c r="I487" s="27"/>
      <c r="J487" s="27"/>
      <c r="K487" s="27"/>
      <c r="L487" s="27"/>
      <c r="M487" s="27"/>
      <c r="N487" s="27"/>
      <c r="O487" s="43"/>
    </row>
    <row r="488" spans="3:15">
      <c r="C488" s="27"/>
      <c r="D488" s="27"/>
      <c r="E488" s="27"/>
      <c r="F488" s="27"/>
      <c r="G488" s="27"/>
      <c r="H488" s="27"/>
      <c r="I488" s="27"/>
      <c r="J488" s="27"/>
      <c r="K488" s="27"/>
      <c r="L488" s="27"/>
      <c r="M488" s="27"/>
      <c r="N488" s="27"/>
      <c r="O488" s="43"/>
    </row>
    <row r="489" spans="3:15">
      <c r="C489" s="27"/>
      <c r="D489" s="27"/>
      <c r="E489" s="27"/>
      <c r="F489" s="27"/>
      <c r="G489" s="27"/>
      <c r="H489" s="27"/>
      <c r="I489" s="27"/>
      <c r="J489" s="27"/>
      <c r="K489" s="27"/>
      <c r="L489" s="27"/>
      <c r="M489" s="27"/>
      <c r="N489" s="27"/>
      <c r="O489" s="43"/>
    </row>
    <row r="490" spans="3:15">
      <c r="C490" s="27"/>
      <c r="D490" s="27"/>
      <c r="E490" s="27"/>
      <c r="F490" s="27"/>
      <c r="G490" s="27"/>
      <c r="H490" s="27"/>
      <c r="I490" s="27"/>
      <c r="J490" s="27"/>
      <c r="K490" s="27"/>
      <c r="L490" s="27"/>
      <c r="M490" s="27"/>
      <c r="N490" s="27"/>
      <c r="O490" s="43"/>
    </row>
    <row r="491" spans="3:15">
      <c r="C491" s="27"/>
      <c r="D491" s="27"/>
      <c r="E491" s="27"/>
      <c r="F491" s="27"/>
      <c r="G491" s="27"/>
      <c r="H491" s="27"/>
      <c r="I491" s="27"/>
      <c r="J491" s="27"/>
      <c r="K491" s="27"/>
      <c r="L491" s="27"/>
      <c r="M491" s="27"/>
      <c r="N491" s="27"/>
      <c r="O491" s="43"/>
    </row>
    <row r="492" spans="3:15">
      <c r="C492" s="27"/>
      <c r="D492" s="27"/>
      <c r="E492" s="27"/>
      <c r="F492" s="27"/>
      <c r="G492" s="27"/>
      <c r="H492" s="27"/>
      <c r="I492" s="27"/>
      <c r="J492" s="27"/>
      <c r="K492" s="27"/>
      <c r="L492" s="27"/>
      <c r="M492" s="27"/>
      <c r="N492" s="27"/>
      <c r="O492" s="43"/>
    </row>
    <row r="493" spans="3:15">
      <c r="C493" s="27"/>
      <c r="D493" s="27"/>
      <c r="E493" s="27"/>
      <c r="F493" s="27"/>
      <c r="G493" s="27"/>
      <c r="H493" s="27"/>
      <c r="I493" s="27"/>
      <c r="J493" s="27"/>
      <c r="K493" s="27"/>
      <c r="L493" s="27"/>
      <c r="M493" s="27"/>
      <c r="N493" s="27"/>
      <c r="O493" s="43"/>
    </row>
    <row r="494" spans="3:15">
      <c r="C494" s="27"/>
      <c r="D494" s="27"/>
      <c r="E494" s="27"/>
      <c r="F494" s="27"/>
      <c r="G494" s="27"/>
      <c r="H494" s="27"/>
      <c r="I494" s="27"/>
      <c r="J494" s="27"/>
      <c r="K494" s="27"/>
      <c r="L494" s="27"/>
      <c r="M494" s="27"/>
      <c r="N494" s="27"/>
      <c r="O494" s="43"/>
    </row>
    <row r="495" spans="3:15">
      <c r="C495" s="27"/>
      <c r="D495" s="27"/>
      <c r="E495" s="27"/>
      <c r="F495" s="27"/>
      <c r="G495" s="27"/>
      <c r="H495" s="27"/>
      <c r="I495" s="27"/>
      <c r="J495" s="27"/>
      <c r="K495" s="27"/>
      <c r="L495" s="27"/>
      <c r="M495" s="27"/>
      <c r="N495" s="27"/>
      <c r="O495" s="43"/>
    </row>
    <row r="496" spans="3:15">
      <c r="C496" s="27"/>
      <c r="D496" s="27"/>
      <c r="E496" s="27"/>
      <c r="F496" s="27"/>
      <c r="G496" s="27"/>
      <c r="H496" s="27"/>
      <c r="I496" s="27"/>
      <c r="J496" s="27"/>
      <c r="K496" s="27"/>
      <c r="L496" s="27"/>
      <c r="M496" s="27"/>
      <c r="N496" s="27"/>
      <c r="O496" s="43"/>
    </row>
    <row r="497" spans="3:15">
      <c r="C497" s="27"/>
      <c r="D497" s="27"/>
      <c r="E497" s="27"/>
      <c r="F497" s="27"/>
      <c r="G497" s="27"/>
      <c r="H497" s="27"/>
      <c r="I497" s="27"/>
      <c r="J497" s="27"/>
      <c r="K497" s="27"/>
      <c r="L497" s="27"/>
      <c r="M497" s="27"/>
      <c r="N497" s="27"/>
      <c r="O497" s="43"/>
    </row>
    <row r="498" spans="3:15">
      <c r="C498" s="27"/>
      <c r="D498" s="27"/>
      <c r="E498" s="27"/>
      <c r="F498" s="27"/>
      <c r="G498" s="27"/>
      <c r="H498" s="27"/>
      <c r="I498" s="27"/>
      <c r="J498" s="27"/>
      <c r="K498" s="27"/>
      <c r="L498" s="27"/>
      <c r="M498" s="27"/>
      <c r="N498" s="27"/>
      <c r="O498" s="43"/>
    </row>
    <row r="499" spans="3:15">
      <c r="C499" s="27"/>
      <c r="D499" s="27"/>
      <c r="E499" s="27"/>
      <c r="F499" s="27"/>
      <c r="G499" s="27"/>
      <c r="H499" s="27"/>
      <c r="I499" s="27"/>
      <c r="J499" s="27"/>
      <c r="K499" s="27"/>
      <c r="L499" s="27"/>
      <c r="M499" s="27"/>
      <c r="N499" s="27"/>
      <c r="O499" s="43"/>
    </row>
    <row r="500" spans="3:15">
      <c r="C500" s="27"/>
      <c r="D500" s="27"/>
      <c r="E500" s="27"/>
      <c r="F500" s="27"/>
      <c r="G500" s="27"/>
      <c r="H500" s="27"/>
      <c r="I500" s="27"/>
      <c r="J500" s="27"/>
      <c r="K500" s="27"/>
      <c r="L500" s="27"/>
      <c r="M500" s="27"/>
      <c r="N500" s="27"/>
      <c r="O500" s="43"/>
    </row>
    <row r="501" spans="3:15">
      <c r="C501" s="27"/>
      <c r="D501" s="27"/>
      <c r="E501" s="27"/>
      <c r="F501" s="27"/>
      <c r="G501" s="27"/>
      <c r="H501" s="27"/>
      <c r="I501" s="27"/>
      <c r="J501" s="27"/>
      <c r="K501" s="27"/>
      <c r="L501" s="27"/>
      <c r="M501" s="27"/>
      <c r="N501" s="27"/>
      <c r="O501" s="43"/>
    </row>
    <row r="502" spans="3:15">
      <c r="C502" s="27"/>
      <c r="D502" s="27"/>
      <c r="E502" s="27"/>
      <c r="F502" s="27"/>
      <c r="G502" s="27"/>
      <c r="H502" s="27"/>
      <c r="I502" s="27"/>
      <c r="J502" s="27"/>
      <c r="K502" s="27"/>
      <c r="L502" s="27"/>
      <c r="M502" s="27"/>
      <c r="N502" s="27"/>
      <c r="O502" s="43"/>
    </row>
    <row r="503" spans="3:15">
      <c r="C503" s="27"/>
      <c r="D503" s="27"/>
      <c r="E503" s="27"/>
      <c r="F503" s="27"/>
      <c r="G503" s="27"/>
      <c r="H503" s="27"/>
      <c r="I503" s="27"/>
      <c r="J503" s="27"/>
      <c r="K503" s="27"/>
      <c r="L503" s="27"/>
      <c r="M503" s="27"/>
      <c r="N503" s="27"/>
      <c r="O503" s="43"/>
    </row>
    <row r="504" spans="3:15">
      <c r="C504" s="27"/>
      <c r="D504" s="27"/>
      <c r="E504" s="27"/>
      <c r="F504" s="27"/>
      <c r="G504" s="27"/>
      <c r="H504" s="27"/>
      <c r="I504" s="27"/>
      <c r="J504" s="27"/>
      <c r="K504" s="27"/>
      <c r="L504" s="27"/>
      <c r="M504" s="27"/>
      <c r="N504" s="27"/>
      <c r="O504" s="43"/>
    </row>
    <row r="505" spans="3:15">
      <c r="C505" s="27"/>
      <c r="D505" s="27"/>
      <c r="E505" s="27"/>
      <c r="F505" s="27"/>
      <c r="G505" s="27"/>
      <c r="H505" s="27"/>
      <c r="I505" s="27"/>
      <c r="J505" s="27"/>
      <c r="K505" s="27"/>
      <c r="L505" s="27"/>
      <c r="M505" s="27"/>
      <c r="N505" s="27"/>
      <c r="O505" s="43"/>
    </row>
    <row r="506" spans="3:15">
      <c r="C506" s="27"/>
      <c r="D506" s="27"/>
      <c r="E506" s="27"/>
      <c r="F506" s="27"/>
      <c r="G506" s="27"/>
      <c r="H506" s="27"/>
      <c r="I506" s="27"/>
      <c r="J506" s="27"/>
      <c r="K506" s="27"/>
      <c r="L506" s="27"/>
      <c r="M506" s="27"/>
      <c r="N506" s="27"/>
      <c r="O506" s="43"/>
    </row>
    <row r="507" spans="3:15">
      <c r="C507" s="27"/>
      <c r="D507" s="27"/>
      <c r="E507" s="27"/>
      <c r="F507" s="27"/>
      <c r="G507" s="27"/>
      <c r="H507" s="27"/>
      <c r="I507" s="27"/>
      <c r="J507" s="27"/>
      <c r="K507" s="27"/>
      <c r="L507" s="27"/>
      <c r="M507" s="27"/>
      <c r="N507" s="27"/>
      <c r="O507" s="43"/>
    </row>
    <row r="508" spans="3:15">
      <c r="C508" s="27"/>
      <c r="D508" s="27"/>
      <c r="E508" s="27"/>
      <c r="F508" s="27"/>
      <c r="G508" s="27"/>
      <c r="H508" s="27"/>
      <c r="I508" s="27"/>
      <c r="J508" s="27"/>
      <c r="K508" s="27"/>
      <c r="L508" s="27"/>
      <c r="M508" s="27"/>
      <c r="N508" s="27"/>
      <c r="O508" s="43"/>
    </row>
    <row r="509" spans="3:15">
      <c r="C509" s="27"/>
      <c r="D509" s="27"/>
      <c r="E509" s="27"/>
      <c r="F509" s="27"/>
      <c r="G509" s="27"/>
      <c r="H509" s="27"/>
      <c r="I509" s="27"/>
      <c r="J509" s="27"/>
      <c r="K509" s="27"/>
      <c r="L509" s="27"/>
      <c r="M509" s="27"/>
      <c r="N509" s="27"/>
      <c r="O509" s="43"/>
    </row>
    <row r="510" spans="3:15">
      <c r="C510" s="27"/>
      <c r="D510" s="27"/>
      <c r="E510" s="27"/>
      <c r="F510" s="27"/>
      <c r="G510" s="27"/>
      <c r="H510" s="27"/>
      <c r="I510" s="27"/>
      <c r="J510" s="27"/>
      <c r="K510" s="27"/>
      <c r="L510" s="27"/>
      <c r="M510" s="27"/>
      <c r="N510" s="27"/>
      <c r="O510" s="43"/>
    </row>
    <row r="511" spans="3:15">
      <c r="C511" s="27"/>
      <c r="D511" s="27"/>
      <c r="E511" s="27"/>
      <c r="F511" s="27"/>
      <c r="G511" s="27"/>
      <c r="H511" s="27"/>
      <c r="I511" s="27"/>
      <c r="J511" s="27"/>
      <c r="K511" s="27"/>
      <c r="L511" s="27"/>
      <c r="M511" s="27"/>
      <c r="N511" s="27"/>
      <c r="O511" s="43"/>
    </row>
    <row r="512" spans="3:15">
      <c r="C512" s="27"/>
      <c r="D512" s="27"/>
      <c r="E512" s="27"/>
      <c r="F512" s="27"/>
      <c r="G512" s="27"/>
      <c r="H512" s="27"/>
      <c r="I512" s="27"/>
      <c r="J512" s="27"/>
      <c r="K512" s="27"/>
      <c r="L512" s="27"/>
      <c r="M512" s="27"/>
      <c r="N512" s="27"/>
      <c r="O512" s="43"/>
    </row>
    <row r="513" spans="3:15">
      <c r="C513" s="27"/>
      <c r="D513" s="27"/>
      <c r="E513" s="27"/>
      <c r="F513" s="27"/>
      <c r="G513" s="27"/>
      <c r="H513" s="27"/>
      <c r="I513" s="27"/>
      <c r="J513" s="27"/>
      <c r="K513" s="27"/>
      <c r="L513" s="27"/>
      <c r="M513" s="27"/>
      <c r="N513" s="27"/>
      <c r="O513" s="43"/>
    </row>
    <row r="514" spans="3:15">
      <c r="C514" s="27"/>
      <c r="D514" s="27"/>
      <c r="E514" s="27"/>
      <c r="F514" s="27"/>
      <c r="G514" s="27"/>
      <c r="H514" s="27"/>
      <c r="I514" s="27"/>
      <c r="J514" s="27"/>
      <c r="K514" s="27"/>
      <c r="L514" s="27"/>
      <c r="M514" s="27"/>
      <c r="N514" s="27"/>
      <c r="O514" s="43"/>
    </row>
    <row r="515" spans="3:15">
      <c r="C515" s="27"/>
      <c r="D515" s="27"/>
      <c r="E515" s="27"/>
      <c r="F515" s="27"/>
      <c r="G515" s="27"/>
      <c r="H515" s="27"/>
      <c r="I515" s="27"/>
      <c r="J515" s="27"/>
      <c r="K515" s="27"/>
      <c r="L515" s="27"/>
      <c r="M515" s="27"/>
      <c r="N515" s="27"/>
      <c r="O515" s="43"/>
    </row>
    <row r="516" spans="3:15">
      <c r="C516" s="27"/>
      <c r="D516" s="27"/>
      <c r="E516" s="27"/>
      <c r="F516" s="27"/>
      <c r="G516" s="27"/>
      <c r="H516" s="27"/>
      <c r="I516" s="27"/>
      <c r="J516" s="27"/>
      <c r="K516" s="27"/>
      <c r="L516" s="27"/>
      <c r="M516" s="27"/>
      <c r="N516" s="27"/>
      <c r="O516" s="43"/>
    </row>
    <row r="517" spans="3:15">
      <c r="C517" s="27"/>
      <c r="D517" s="27"/>
      <c r="E517" s="27"/>
      <c r="F517" s="27"/>
      <c r="G517" s="27"/>
      <c r="H517" s="27"/>
      <c r="I517" s="27"/>
      <c r="J517" s="27"/>
      <c r="K517" s="27"/>
      <c r="L517" s="27"/>
      <c r="M517" s="27"/>
      <c r="N517" s="27"/>
      <c r="O517" s="43"/>
    </row>
    <row r="518" spans="3:15">
      <c r="C518" s="27"/>
      <c r="D518" s="27"/>
      <c r="E518" s="27"/>
      <c r="F518" s="27"/>
      <c r="G518" s="27"/>
      <c r="H518" s="27"/>
      <c r="I518" s="27"/>
      <c r="J518" s="27"/>
      <c r="K518" s="27"/>
      <c r="L518" s="27"/>
      <c r="M518" s="27"/>
      <c r="N518" s="27"/>
      <c r="O518" s="43"/>
    </row>
    <row r="519" spans="3:15">
      <c r="C519" s="27"/>
      <c r="D519" s="27"/>
      <c r="E519" s="27"/>
      <c r="F519" s="27"/>
      <c r="G519" s="27"/>
      <c r="H519" s="27"/>
      <c r="I519" s="27"/>
      <c r="J519" s="27"/>
      <c r="K519" s="27"/>
      <c r="L519" s="27"/>
      <c r="M519" s="27"/>
      <c r="N519" s="27"/>
      <c r="O519" s="43"/>
    </row>
    <row r="520" spans="3:15">
      <c r="C520" s="27"/>
      <c r="D520" s="27"/>
      <c r="E520" s="27"/>
      <c r="F520" s="27"/>
      <c r="G520" s="27"/>
      <c r="H520" s="27"/>
      <c r="I520" s="27"/>
      <c r="J520" s="27"/>
      <c r="K520" s="27"/>
      <c r="L520" s="27"/>
      <c r="M520" s="27"/>
      <c r="N520" s="27"/>
      <c r="O520" s="43"/>
    </row>
    <row r="521" spans="3:15">
      <c r="C521" s="27"/>
      <c r="D521" s="27"/>
      <c r="E521" s="27"/>
      <c r="F521" s="27"/>
      <c r="G521" s="27"/>
      <c r="H521" s="27"/>
      <c r="I521" s="27"/>
      <c r="J521" s="27"/>
      <c r="K521" s="27"/>
      <c r="L521" s="27"/>
      <c r="M521" s="27"/>
      <c r="N521" s="27"/>
      <c r="O521" s="43"/>
    </row>
    <row r="522" spans="3:15">
      <c r="C522" s="27"/>
      <c r="D522" s="27"/>
      <c r="E522" s="27"/>
      <c r="F522" s="27"/>
      <c r="G522" s="27"/>
      <c r="H522" s="27"/>
      <c r="I522" s="27"/>
      <c r="J522" s="27"/>
      <c r="K522" s="27"/>
      <c r="L522" s="27"/>
      <c r="M522" s="27"/>
      <c r="N522" s="27"/>
      <c r="O522" s="43"/>
    </row>
    <row r="523" spans="3:15">
      <c r="C523" s="27"/>
      <c r="D523" s="27"/>
      <c r="E523" s="27"/>
      <c r="F523" s="27"/>
      <c r="G523" s="27"/>
      <c r="H523" s="27"/>
      <c r="I523" s="27"/>
      <c r="J523" s="27"/>
      <c r="K523" s="27"/>
      <c r="L523" s="27"/>
      <c r="M523" s="27"/>
      <c r="N523" s="27"/>
      <c r="O523" s="43"/>
    </row>
    <row r="524" spans="3:15">
      <c r="C524" s="27"/>
      <c r="D524" s="27"/>
      <c r="E524" s="27"/>
      <c r="F524" s="27"/>
      <c r="G524" s="27"/>
      <c r="H524" s="27"/>
      <c r="I524" s="27"/>
      <c r="J524" s="27"/>
      <c r="K524" s="27"/>
      <c r="L524" s="27"/>
      <c r="M524" s="27"/>
      <c r="N524" s="27"/>
      <c r="O524" s="43"/>
    </row>
    <row r="525" spans="3:15">
      <c r="C525" s="27"/>
      <c r="D525" s="27"/>
      <c r="E525" s="27"/>
      <c r="F525" s="27"/>
      <c r="G525" s="27"/>
      <c r="H525" s="27"/>
      <c r="I525" s="27"/>
      <c r="J525" s="27"/>
      <c r="K525" s="27"/>
      <c r="L525" s="27"/>
      <c r="M525" s="27"/>
      <c r="N525" s="27"/>
      <c r="O525" s="43"/>
    </row>
    <row r="526" spans="3:15">
      <c r="C526" s="27"/>
      <c r="D526" s="27"/>
      <c r="E526" s="27"/>
      <c r="F526" s="27"/>
      <c r="G526" s="27"/>
      <c r="H526" s="27"/>
      <c r="I526" s="27"/>
      <c r="J526" s="27"/>
      <c r="K526" s="27"/>
      <c r="L526" s="27"/>
      <c r="M526" s="27"/>
      <c r="N526" s="27"/>
      <c r="O526" s="43"/>
    </row>
    <row r="527" spans="3:15">
      <c r="C527" s="27"/>
      <c r="D527" s="27"/>
      <c r="E527" s="27"/>
      <c r="F527" s="27"/>
      <c r="G527" s="27"/>
      <c r="H527" s="27"/>
      <c r="I527" s="27"/>
      <c r="J527" s="27"/>
      <c r="K527" s="27"/>
      <c r="L527" s="27"/>
      <c r="M527" s="27"/>
      <c r="N527" s="27"/>
      <c r="O527" s="43"/>
    </row>
    <row r="528" spans="3:15">
      <c r="C528" s="27"/>
      <c r="D528" s="27"/>
      <c r="E528" s="27"/>
      <c r="F528" s="27"/>
      <c r="G528" s="27"/>
      <c r="H528" s="27"/>
      <c r="I528" s="27"/>
      <c r="J528" s="27"/>
      <c r="K528" s="27"/>
      <c r="L528" s="27"/>
      <c r="M528" s="27"/>
      <c r="N528" s="27"/>
      <c r="O528" s="43"/>
    </row>
    <row r="529" spans="3:15">
      <c r="C529" s="27"/>
      <c r="D529" s="27"/>
      <c r="E529" s="27"/>
      <c r="F529" s="27"/>
      <c r="G529" s="27"/>
      <c r="H529" s="27"/>
      <c r="I529" s="27"/>
      <c r="J529" s="27"/>
      <c r="K529" s="27"/>
      <c r="L529" s="27"/>
      <c r="M529" s="27"/>
      <c r="N529" s="27"/>
      <c r="O529" s="43"/>
    </row>
    <row r="530" spans="3:15">
      <c r="C530" s="27"/>
      <c r="D530" s="27"/>
      <c r="E530" s="27"/>
      <c r="F530" s="27"/>
      <c r="G530" s="27"/>
      <c r="H530" s="27"/>
      <c r="I530" s="27"/>
      <c r="J530" s="27"/>
      <c r="K530" s="27"/>
      <c r="L530" s="27"/>
      <c r="M530" s="27"/>
      <c r="N530" s="27"/>
      <c r="O530" s="43"/>
    </row>
    <row r="531" spans="3:15">
      <c r="C531" s="27"/>
      <c r="D531" s="27"/>
      <c r="E531" s="27"/>
      <c r="F531" s="27"/>
      <c r="G531" s="27"/>
      <c r="H531" s="27"/>
      <c r="I531" s="27"/>
      <c r="J531" s="27"/>
      <c r="K531" s="27"/>
      <c r="L531" s="27"/>
      <c r="M531" s="27"/>
      <c r="N531" s="27"/>
      <c r="O531" s="43"/>
    </row>
    <row r="532" spans="3:15">
      <c r="C532" s="27"/>
      <c r="D532" s="27"/>
      <c r="E532" s="27"/>
      <c r="F532" s="27"/>
      <c r="G532" s="27"/>
      <c r="H532" s="27"/>
      <c r="I532" s="27"/>
      <c r="J532" s="27"/>
      <c r="K532" s="27"/>
      <c r="L532" s="27"/>
      <c r="M532" s="27"/>
      <c r="N532" s="27"/>
      <c r="O532" s="43"/>
    </row>
    <row r="533" spans="3:15">
      <c r="C533" s="27"/>
      <c r="D533" s="27"/>
      <c r="E533" s="27"/>
      <c r="F533" s="27"/>
      <c r="G533" s="27"/>
      <c r="H533" s="27"/>
      <c r="I533" s="27"/>
      <c r="J533" s="27"/>
      <c r="K533" s="27"/>
      <c r="L533" s="27"/>
      <c r="M533" s="27"/>
      <c r="N533" s="27"/>
      <c r="O533" s="43"/>
    </row>
    <row r="534" spans="3:15">
      <c r="C534" s="27"/>
      <c r="D534" s="27"/>
      <c r="E534" s="27"/>
      <c r="F534" s="27"/>
      <c r="G534" s="27"/>
      <c r="H534" s="27"/>
      <c r="I534" s="27"/>
      <c r="J534" s="27"/>
      <c r="K534" s="27"/>
      <c r="L534" s="27"/>
      <c r="M534" s="27"/>
      <c r="N534" s="27"/>
      <c r="O534" s="43"/>
    </row>
    <row r="535" spans="3:15">
      <c r="C535" s="27"/>
      <c r="D535" s="27"/>
      <c r="E535" s="27"/>
      <c r="F535" s="27"/>
      <c r="G535" s="27"/>
      <c r="H535" s="27"/>
      <c r="I535" s="27"/>
      <c r="J535" s="27"/>
      <c r="K535" s="27"/>
      <c r="L535" s="27"/>
      <c r="M535" s="27"/>
      <c r="N535" s="27"/>
      <c r="O535" s="43"/>
    </row>
    <row r="536" spans="3:15">
      <c r="C536" s="27"/>
      <c r="D536" s="27"/>
      <c r="E536" s="27"/>
      <c r="F536" s="27"/>
      <c r="G536" s="27"/>
      <c r="H536" s="27"/>
      <c r="I536" s="27"/>
      <c r="J536" s="27"/>
      <c r="K536" s="27"/>
      <c r="L536" s="27"/>
      <c r="M536" s="27"/>
      <c r="N536" s="27"/>
      <c r="O536" s="43"/>
    </row>
    <row r="537" spans="3:15">
      <c r="C537" s="27"/>
      <c r="D537" s="27"/>
      <c r="E537" s="27"/>
      <c r="F537" s="27"/>
      <c r="G537" s="27"/>
      <c r="H537" s="27"/>
      <c r="I537" s="27"/>
      <c r="J537" s="27"/>
      <c r="K537" s="27"/>
      <c r="L537" s="27"/>
      <c r="M537" s="27"/>
      <c r="N537" s="27"/>
      <c r="O537" s="43"/>
    </row>
    <row r="538" spans="3:15">
      <c r="C538" s="27"/>
      <c r="D538" s="27"/>
      <c r="E538" s="27"/>
      <c r="F538" s="27"/>
      <c r="G538" s="27"/>
      <c r="H538" s="27"/>
      <c r="I538" s="27"/>
      <c r="J538" s="27"/>
      <c r="K538" s="27"/>
      <c r="L538" s="27"/>
      <c r="M538" s="27"/>
      <c r="N538" s="27"/>
      <c r="O538" s="43"/>
    </row>
    <row r="539" spans="3:15">
      <c r="C539" s="27"/>
      <c r="D539" s="27"/>
      <c r="E539" s="27"/>
      <c r="F539" s="27"/>
      <c r="G539" s="27"/>
      <c r="H539" s="27"/>
      <c r="I539" s="27"/>
      <c r="J539" s="27"/>
      <c r="K539" s="27"/>
      <c r="L539" s="27"/>
      <c r="M539" s="27"/>
      <c r="N539" s="27"/>
      <c r="O539" s="43"/>
    </row>
    <row r="540" spans="3:15">
      <c r="C540" s="27"/>
      <c r="D540" s="27"/>
      <c r="E540" s="27"/>
      <c r="F540" s="27"/>
      <c r="G540" s="27"/>
      <c r="H540" s="27"/>
      <c r="I540" s="27"/>
      <c r="J540" s="27"/>
      <c r="K540" s="27"/>
      <c r="L540" s="27"/>
      <c r="M540" s="27"/>
      <c r="N540" s="27"/>
      <c r="O540" s="43"/>
    </row>
    <row r="541" spans="3:15">
      <c r="C541" s="27"/>
      <c r="D541" s="27"/>
      <c r="E541" s="27"/>
      <c r="F541" s="27"/>
      <c r="G541" s="27"/>
      <c r="H541" s="27"/>
      <c r="I541" s="27"/>
      <c r="J541" s="27"/>
      <c r="K541" s="27"/>
      <c r="L541" s="27"/>
      <c r="M541" s="27"/>
      <c r="N541" s="27"/>
      <c r="O541" s="43"/>
    </row>
    <row r="542" spans="3:15">
      <c r="C542" s="27"/>
      <c r="D542" s="27"/>
      <c r="E542" s="27"/>
      <c r="F542" s="27"/>
      <c r="G542" s="27"/>
      <c r="H542" s="27"/>
      <c r="I542" s="27"/>
      <c r="J542" s="27"/>
      <c r="K542" s="27"/>
      <c r="L542" s="27"/>
      <c r="M542" s="27"/>
      <c r="N542" s="27"/>
      <c r="O542" s="43"/>
    </row>
    <row r="543" spans="3:15">
      <c r="C543" s="27"/>
      <c r="D543" s="27"/>
      <c r="E543" s="27"/>
      <c r="F543" s="27"/>
      <c r="G543" s="27"/>
      <c r="H543" s="27"/>
      <c r="I543" s="27"/>
      <c r="J543" s="27"/>
      <c r="K543" s="27"/>
      <c r="L543" s="27"/>
      <c r="M543" s="27"/>
      <c r="N543" s="27"/>
      <c r="O543" s="43"/>
    </row>
    <row r="544" spans="3:15">
      <c r="C544" s="27"/>
      <c r="D544" s="27"/>
      <c r="E544" s="27"/>
      <c r="F544" s="27"/>
      <c r="G544" s="27"/>
      <c r="H544" s="27"/>
      <c r="I544" s="27"/>
      <c r="J544" s="27"/>
      <c r="K544" s="27"/>
      <c r="L544" s="27"/>
      <c r="M544" s="27"/>
      <c r="N544" s="27"/>
      <c r="O544" s="43"/>
    </row>
    <row r="545" spans="3:15">
      <c r="C545" s="27"/>
      <c r="D545" s="27"/>
      <c r="E545" s="27"/>
      <c r="F545" s="27"/>
      <c r="G545" s="27"/>
      <c r="H545" s="27"/>
      <c r="I545" s="27"/>
      <c r="J545" s="27"/>
      <c r="K545" s="27"/>
      <c r="L545" s="27"/>
      <c r="M545" s="27"/>
      <c r="N545" s="27"/>
      <c r="O545" s="43"/>
    </row>
    <row r="546" spans="3:15">
      <c r="C546" s="27"/>
      <c r="D546" s="27"/>
      <c r="E546" s="27"/>
      <c r="F546" s="27"/>
      <c r="G546" s="27"/>
      <c r="H546" s="27"/>
      <c r="I546" s="27"/>
      <c r="J546" s="27"/>
      <c r="K546" s="27"/>
      <c r="L546" s="27"/>
      <c r="M546" s="27"/>
      <c r="N546" s="27"/>
      <c r="O546" s="43"/>
    </row>
    <row r="547" spans="3:15">
      <c r="C547" s="27"/>
      <c r="D547" s="27"/>
      <c r="E547" s="27"/>
      <c r="F547" s="27"/>
      <c r="G547" s="27"/>
      <c r="H547" s="27"/>
      <c r="I547" s="27"/>
      <c r="J547" s="27"/>
      <c r="K547" s="27"/>
      <c r="L547" s="27"/>
      <c r="M547" s="27"/>
      <c r="N547" s="27"/>
      <c r="O547" s="43"/>
    </row>
    <row r="548" spans="3:15">
      <c r="C548" s="27"/>
      <c r="D548" s="27"/>
      <c r="E548" s="27"/>
      <c r="F548" s="27"/>
      <c r="G548" s="27"/>
      <c r="H548" s="27"/>
      <c r="I548" s="27"/>
      <c r="J548" s="27"/>
      <c r="K548" s="27"/>
      <c r="L548" s="27"/>
      <c r="M548" s="27"/>
      <c r="N548" s="27"/>
      <c r="O548" s="43"/>
    </row>
    <row r="549" spans="3:15">
      <c r="C549" s="27"/>
      <c r="D549" s="27"/>
      <c r="E549" s="27"/>
      <c r="F549" s="27"/>
      <c r="G549" s="27"/>
      <c r="H549" s="27"/>
      <c r="I549" s="27"/>
      <c r="J549" s="27"/>
      <c r="K549" s="27"/>
      <c r="L549" s="27"/>
      <c r="M549" s="27"/>
      <c r="N549" s="27"/>
      <c r="O549" s="43"/>
    </row>
    <row r="550" spans="3:15">
      <c r="C550" s="27"/>
      <c r="D550" s="27"/>
      <c r="E550" s="27"/>
      <c r="F550" s="27"/>
      <c r="G550" s="27"/>
      <c r="H550" s="27"/>
      <c r="I550" s="27"/>
      <c r="J550" s="27"/>
      <c r="K550" s="27"/>
      <c r="L550" s="27"/>
      <c r="M550" s="27"/>
      <c r="N550" s="27"/>
      <c r="O550" s="43"/>
    </row>
    <row r="551" spans="3:15">
      <c r="C551" s="27"/>
      <c r="D551" s="27"/>
      <c r="E551" s="27"/>
      <c r="F551" s="27"/>
      <c r="G551" s="27"/>
      <c r="H551" s="27"/>
      <c r="I551" s="27"/>
      <c r="J551" s="27"/>
      <c r="K551" s="27"/>
      <c r="L551" s="27"/>
      <c r="M551" s="27"/>
      <c r="N551" s="27"/>
      <c r="O551" s="43"/>
    </row>
    <row r="552" spans="3:15">
      <c r="C552" s="27"/>
      <c r="D552" s="27"/>
      <c r="E552" s="27"/>
      <c r="F552" s="27"/>
      <c r="G552" s="27"/>
      <c r="H552" s="27"/>
      <c r="I552" s="27"/>
      <c r="J552" s="27"/>
      <c r="K552" s="27"/>
      <c r="L552" s="27"/>
      <c r="M552" s="27"/>
      <c r="N552" s="27"/>
      <c r="O552" s="43"/>
    </row>
    <row r="553" spans="3:15">
      <c r="C553" s="27"/>
      <c r="D553" s="27"/>
      <c r="E553" s="27"/>
      <c r="F553" s="27"/>
      <c r="G553" s="27"/>
      <c r="H553" s="27"/>
      <c r="I553" s="27"/>
      <c r="J553" s="27"/>
      <c r="K553" s="27"/>
      <c r="L553" s="27"/>
      <c r="M553" s="27"/>
      <c r="N553" s="27"/>
      <c r="O553" s="43"/>
    </row>
    <row r="554" spans="3:15">
      <c r="C554" s="27"/>
      <c r="D554" s="27"/>
      <c r="E554" s="27"/>
      <c r="F554" s="27"/>
      <c r="G554" s="27"/>
      <c r="H554" s="27"/>
      <c r="I554" s="27"/>
      <c r="J554" s="27"/>
      <c r="K554" s="27"/>
      <c r="L554" s="27"/>
      <c r="M554" s="27"/>
      <c r="N554" s="27"/>
      <c r="O554" s="43"/>
    </row>
    <row r="555" spans="3:15">
      <c r="C555" s="27"/>
      <c r="D555" s="27"/>
      <c r="E555" s="27"/>
      <c r="F555" s="27"/>
      <c r="G555" s="27"/>
      <c r="H555" s="27"/>
      <c r="I555" s="27"/>
      <c r="J555" s="27"/>
      <c r="K555" s="27"/>
      <c r="L555" s="27"/>
      <c r="M555" s="27"/>
      <c r="N555" s="27"/>
      <c r="O555" s="43"/>
    </row>
    <row r="556" spans="3:15">
      <c r="C556" s="27"/>
      <c r="D556" s="27"/>
      <c r="E556" s="27"/>
      <c r="F556" s="27"/>
      <c r="G556" s="27"/>
      <c r="H556" s="27"/>
      <c r="I556" s="27"/>
      <c r="J556" s="27"/>
      <c r="K556" s="27"/>
      <c r="L556" s="27"/>
      <c r="M556" s="27"/>
      <c r="N556" s="27"/>
      <c r="O556" s="43"/>
    </row>
    <row r="557" spans="3:15">
      <c r="C557" s="27"/>
      <c r="D557" s="27"/>
      <c r="E557" s="27"/>
      <c r="F557" s="27"/>
      <c r="G557" s="27"/>
      <c r="H557" s="27"/>
      <c r="I557" s="27"/>
      <c r="J557" s="27"/>
      <c r="K557" s="27"/>
      <c r="L557" s="27"/>
      <c r="M557" s="27"/>
      <c r="N557" s="27"/>
      <c r="O557" s="43"/>
    </row>
    <row r="558" spans="3:15">
      <c r="C558" s="27"/>
      <c r="D558" s="27"/>
      <c r="E558" s="27"/>
      <c r="F558" s="27"/>
      <c r="G558" s="27"/>
      <c r="H558" s="27"/>
      <c r="I558" s="27"/>
      <c r="J558" s="27"/>
      <c r="K558" s="27"/>
      <c r="L558" s="27"/>
      <c r="M558" s="27"/>
      <c r="N558" s="27"/>
      <c r="O558" s="43"/>
    </row>
    <row r="559" spans="3:15">
      <c r="C559" s="27"/>
      <c r="D559" s="27"/>
      <c r="E559" s="27"/>
      <c r="F559" s="27"/>
      <c r="G559" s="27"/>
      <c r="H559" s="27"/>
      <c r="I559" s="27"/>
      <c r="J559" s="27"/>
      <c r="K559" s="27"/>
      <c r="L559" s="27"/>
      <c r="M559" s="27"/>
      <c r="N559" s="27"/>
      <c r="O559" s="43"/>
    </row>
    <row r="560" spans="3:15">
      <c r="C560" s="27"/>
      <c r="D560" s="27"/>
      <c r="E560" s="27"/>
      <c r="F560" s="27"/>
      <c r="G560" s="27"/>
      <c r="H560" s="27"/>
      <c r="I560" s="27"/>
      <c r="J560" s="27"/>
      <c r="K560" s="27"/>
      <c r="L560" s="27"/>
      <c r="M560" s="27"/>
      <c r="N560" s="27"/>
      <c r="O560" s="43"/>
    </row>
    <row r="561" spans="3:15">
      <c r="C561" s="27"/>
      <c r="D561" s="27"/>
      <c r="E561" s="27"/>
      <c r="F561" s="27"/>
      <c r="G561" s="27"/>
      <c r="H561" s="27"/>
      <c r="I561" s="27"/>
      <c r="J561" s="27"/>
      <c r="K561" s="27"/>
      <c r="L561" s="27"/>
      <c r="M561" s="27"/>
      <c r="N561" s="27"/>
      <c r="O561" s="43"/>
    </row>
    <row r="562" spans="3:15">
      <c r="C562" s="27"/>
      <c r="D562" s="27"/>
      <c r="E562" s="27"/>
      <c r="F562" s="27"/>
      <c r="G562" s="27"/>
      <c r="H562" s="27"/>
      <c r="I562" s="27"/>
      <c r="J562" s="27"/>
      <c r="K562" s="27"/>
      <c r="L562" s="27"/>
      <c r="M562" s="27"/>
      <c r="N562" s="27"/>
      <c r="O562" s="43"/>
    </row>
    <row r="563" spans="3:15">
      <c r="C563" s="27"/>
      <c r="D563" s="27"/>
      <c r="E563" s="27"/>
      <c r="F563" s="27"/>
      <c r="G563" s="27"/>
      <c r="H563" s="27"/>
      <c r="I563" s="27"/>
      <c r="J563" s="27"/>
      <c r="K563" s="27"/>
      <c r="L563" s="27"/>
      <c r="M563" s="27"/>
      <c r="N563" s="27"/>
      <c r="O563" s="43"/>
    </row>
    <row r="564" spans="3:15">
      <c r="C564" s="27"/>
      <c r="D564" s="27"/>
      <c r="E564" s="27"/>
      <c r="F564" s="27"/>
      <c r="G564" s="27"/>
      <c r="H564" s="27"/>
      <c r="I564" s="27"/>
      <c r="J564" s="27"/>
      <c r="K564" s="27"/>
      <c r="L564" s="27"/>
      <c r="M564" s="27"/>
      <c r="N564" s="27"/>
      <c r="O564" s="43"/>
    </row>
    <row r="565" spans="3:15">
      <c r="C565" s="27"/>
      <c r="D565" s="27"/>
      <c r="E565" s="27"/>
      <c r="F565" s="27"/>
      <c r="G565" s="27"/>
      <c r="H565" s="27"/>
      <c r="I565" s="27"/>
      <c r="J565" s="27"/>
      <c r="K565" s="27"/>
      <c r="L565" s="27"/>
      <c r="M565" s="27"/>
      <c r="N565" s="27"/>
      <c r="O565" s="43"/>
    </row>
    <row r="566" spans="3:15">
      <c r="C566" s="27"/>
      <c r="D566" s="27"/>
      <c r="E566" s="27"/>
      <c r="F566" s="27"/>
      <c r="G566" s="27"/>
      <c r="H566" s="27"/>
      <c r="I566" s="27"/>
      <c r="J566" s="27"/>
      <c r="K566" s="27"/>
      <c r="L566" s="27"/>
      <c r="M566" s="27"/>
      <c r="N566" s="27"/>
      <c r="O566" s="43"/>
    </row>
    <row r="567" spans="3:15">
      <c r="C567" s="27"/>
      <c r="D567" s="27"/>
      <c r="E567" s="27"/>
      <c r="F567" s="27"/>
      <c r="G567" s="27"/>
      <c r="H567" s="27"/>
      <c r="I567" s="27"/>
      <c r="J567" s="27"/>
      <c r="K567" s="27"/>
      <c r="L567" s="27"/>
      <c r="M567" s="27"/>
      <c r="N567" s="27"/>
      <c r="O567" s="43"/>
    </row>
    <row r="568" spans="3:15">
      <c r="C568" s="27"/>
      <c r="D568" s="27"/>
      <c r="E568" s="27"/>
      <c r="F568" s="27"/>
      <c r="G568" s="27"/>
      <c r="H568" s="27"/>
      <c r="I568" s="27"/>
      <c r="J568" s="27"/>
      <c r="K568" s="27"/>
      <c r="L568" s="27"/>
      <c r="M568" s="27"/>
      <c r="N568" s="27"/>
      <c r="O568" s="43"/>
    </row>
    <row r="569" spans="3:15">
      <c r="C569" s="27"/>
      <c r="D569" s="27"/>
      <c r="E569" s="27"/>
      <c r="F569" s="27"/>
      <c r="G569" s="27"/>
      <c r="H569" s="27"/>
      <c r="I569" s="27"/>
      <c r="J569" s="27"/>
      <c r="K569" s="27"/>
      <c r="L569" s="27"/>
      <c r="M569" s="27"/>
      <c r="N569" s="27"/>
      <c r="O569" s="43"/>
    </row>
    <row r="570" spans="3:15">
      <c r="C570" s="27"/>
      <c r="D570" s="27"/>
      <c r="E570" s="27"/>
      <c r="F570" s="27"/>
      <c r="G570" s="27"/>
      <c r="H570" s="27"/>
      <c r="I570" s="27"/>
      <c r="J570" s="27"/>
      <c r="K570" s="27"/>
      <c r="L570" s="27"/>
      <c r="M570" s="27"/>
      <c r="N570" s="27"/>
      <c r="O570" s="43"/>
    </row>
    <row r="571" spans="3:15">
      <c r="C571" s="27"/>
      <c r="D571" s="27"/>
      <c r="E571" s="27"/>
      <c r="F571" s="27"/>
      <c r="G571" s="27"/>
      <c r="H571" s="27"/>
      <c r="I571" s="27"/>
      <c r="J571" s="27"/>
      <c r="K571" s="27"/>
      <c r="L571" s="27"/>
      <c r="M571" s="27"/>
      <c r="N571" s="27"/>
      <c r="O571" s="43"/>
    </row>
    <row r="572" spans="3:15">
      <c r="C572" s="27"/>
      <c r="D572" s="27"/>
      <c r="E572" s="27"/>
      <c r="F572" s="27"/>
      <c r="G572" s="27"/>
      <c r="H572" s="27"/>
      <c r="I572" s="27"/>
      <c r="J572" s="27"/>
      <c r="K572" s="27"/>
      <c r="L572" s="27"/>
      <c r="M572" s="27"/>
      <c r="N572" s="27"/>
      <c r="O572" s="43"/>
    </row>
    <row r="573" spans="3:15">
      <c r="C573" s="27"/>
      <c r="D573" s="27"/>
      <c r="E573" s="27"/>
      <c r="F573" s="27"/>
      <c r="G573" s="27"/>
      <c r="H573" s="27"/>
      <c r="I573" s="27"/>
      <c r="J573" s="27"/>
      <c r="K573" s="27"/>
      <c r="L573" s="27"/>
      <c r="M573" s="27"/>
      <c r="N573" s="27"/>
      <c r="O573" s="43"/>
    </row>
    <row r="574" spans="3:15">
      <c r="C574" s="27"/>
      <c r="D574" s="27"/>
      <c r="E574" s="27"/>
      <c r="F574" s="27"/>
      <c r="G574" s="27"/>
      <c r="H574" s="27"/>
      <c r="I574" s="27"/>
      <c r="J574" s="27"/>
      <c r="K574" s="27"/>
      <c r="L574" s="27"/>
      <c r="M574" s="27"/>
      <c r="N574" s="27"/>
      <c r="O574" s="43"/>
    </row>
    <row r="575" spans="3:15">
      <c r="C575" s="27"/>
      <c r="D575" s="27"/>
      <c r="E575" s="27"/>
      <c r="F575" s="27"/>
      <c r="G575" s="27"/>
      <c r="H575" s="27"/>
      <c r="I575" s="27"/>
      <c r="J575" s="27"/>
      <c r="K575" s="27"/>
      <c r="L575" s="27"/>
      <c r="M575" s="27"/>
      <c r="N575" s="27"/>
      <c r="O575" s="43"/>
    </row>
    <row r="576" spans="3:15">
      <c r="C576" s="27"/>
      <c r="D576" s="27"/>
      <c r="E576" s="27"/>
      <c r="F576" s="27"/>
      <c r="G576" s="27"/>
      <c r="H576" s="27"/>
      <c r="I576" s="27"/>
      <c r="J576" s="27"/>
      <c r="K576" s="27"/>
      <c r="L576" s="27"/>
      <c r="M576" s="27"/>
      <c r="N576" s="27"/>
      <c r="O576" s="43"/>
    </row>
    <row r="577" spans="3:15">
      <c r="C577" s="27"/>
      <c r="D577" s="27"/>
      <c r="E577" s="27"/>
      <c r="F577" s="27"/>
      <c r="G577" s="27"/>
      <c r="H577" s="27"/>
      <c r="I577" s="27"/>
      <c r="J577" s="27"/>
      <c r="K577" s="27"/>
      <c r="L577" s="27"/>
      <c r="M577" s="27"/>
      <c r="N577" s="27"/>
      <c r="O577" s="43"/>
    </row>
    <row r="578" spans="3:15">
      <c r="C578" s="27"/>
      <c r="D578" s="27"/>
      <c r="E578" s="27"/>
      <c r="F578" s="27"/>
      <c r="G578" s="27"/>
      <c r="H578" s="27"/>
      <c r="I578" s="27"/>
      <c r="J578" s="27"/>
      <c r="K578" s="27"/>
      <c r="L578" s="27"/>
      <c r="M578" s="27"/>
      <c r="N578" s="27"/>
      <c r="O578" s="43"/>
    </row>
    <row r="579" spans="3:15">
      <c r="C579" s="27"/>
      <c r="D579" s="27"/>
      <c r="E579" s="27"/>
      <c r="F579" s="27"/>
      <c r="G579" s="27"/>
      <c r="H579" s="27"/>
      <c r="I579" s="27"/>
      <c r="J579" s="27"/>
      <c r="K579" s="27"/>
      <c r="L579" s="27"/>
      <c r="M579" s="27"/>
      <c r="N579" s="27"/>
      <c r="O579" s="43"/>
    </row>
    <row r="580" spans="3:15">
      <c r="C580" s="27"/>
      <c r="D580" s="27"/>
      <c r="E580" s="27"/>
      <c r="F580" s="27"/>
      <c r="G580" s="27"/>
      <c r="H580" s="27"/>
      <c r="I580" s="27"/>
      <c r="J580" s="27"/>
      <c r="K580" s="27"/>
      <c r="L580" s="27"/>
      <c r="M580" s="27"/>
      <c r="N580" s="27"/>
      <c r="O580" s="43"/>
    </row>
    <row r="581" spans="3:15">
      <c r="C581" s="27"/>
      <c r="D581" s="27"/>
      <c r="E581" s="27"/>
      <c r="F581" s="27"/>
      <c r="G581" s="27"/>
      <c r="H581" s="27"/>
      <c r="I581" s="27"/>
      <c r="J581" s="27"/>
      <c r="K581" s="27"/>
      <c r="L581" s="27"/>
      <c r="M581" s="27"/>
      <c r="N581" s="27"/>
      <c r="O581" s="43"/>
    </row>
    <row r="582" spans="3:15">
      <c r="C582" s="27"/>
      <c r="D582" s="27"/>
      <c r="E582" s="27"/>
      <c r="F582" s="27"/>
      <c r="G582" s="27"/>
      <c r="H582" s="27"/>
      <c r="I582" s="27"/>
      <c r="J582" s="27"/>
      <c r="K582" s="27"/>
      <c r="L582" s="27"/>
      <c r="M582" s="27"/>
      <c r="N582" s="27"/>
      <c r="O582" s="43"/>
    </row>
    <row r="583" spans="3:15">
      <c r="C583" s="27"/>
      <c r="D583" s="27"/>
      <c r="E583" s="27"/>
      <c r="F583" s="27"/>
      <c r="G583" s="27"/>
      <c r="H583" s="27"/>
      <c r="I583" s="27"/>
      <c r="J583" s="27"/>
      <c r="K583" s="27"/>
      <c r="L583" s="27"/>
      <c r="M583" s="27"/>
      <c r="N583" s="27"/>
      <c r="O583" s="43"/>
    </row>
    <row r="584" spans="3:15">
      <c r="C584" s="27"/>
      <c r="D584" s="27"/>
      <c r="E584" s="27"/>
      <c r="F584" s="27"/>
      <c r="G584" s="27"/>
      <c r="H584" s="27"/>
      <c r="I584" s="27"/>
      <c r="J584" s="27"/>
      <c r="K584" s="27"/>
      <c r="L584" s="27"/>
      <c r="M584" s="27"/>
      <c r="N584" s="27"/>
      <c r="O584" s="43"/>
    </row>
    <row r="585" spans="3:15">
      <c r="C585" s="27"/>
      <c r="D585" s="27"/>
      <c r="E585" s="27"/>
      <c r="F585" s="27"/>
      <c r="G585" s="27"/>
      <c r="H585" s="27"/>
      <c r="I585" s="27"/>
      <c r="J585" s="27"/>
      <c r="K585" s="27"/>
      <c r="L585" s="27"/>
      <c r="M585" s="27"/>
      <c r="N585" s="27"/>
      <c r="O585" s="43"/>
    </row>
    <row r="586" spans="3:15">
      <c r="C586" s="27"/>
      <c r="D586" s="27"/>
      <c r="E586" s="27"/>
      <c r="F586" s="27"/>
      <c r="G586" s="27"/>
      <c r="H586" s="27"/>
      <c r="I586" s="27"/>
      <c r="J586" s="27"/>
      <c r="K586" s="27"/>
      <c r="L586" s="27"/>
      <c r="M586" s="27"/>
      <c r="N586" s="27"/>
      <c r="O586" s="43"/>
    </row>
    <row r="587" spans="3:15">
      <c r="C587" s="27"/>
      <c r="D587" s="27"/>
      <c r="E587" s="27"/>
      <c r="F587" s="27"/>
      <c r="G587" s="27"/>
      <c r="H587" s="27"/>
      <c r="I587" s="27"/>
      <c r="J587" s="27"/>
      <c r="K587" s="27"/>
      <c r="L587" s="27"/>
      <c r="M587" s="27"/>
      <c r="N587" s="27"/>
      <c r="O587" s="43"/>
    </row>
    <row r="588" spans="3:15">
      <c r="C588" s="27"/>
      <c r="D588" s="27"/>
      <c r="E588" s="27"/>
      <c r="F588" s="27"/>
      <c r="G588" s="27"/>
      <c r="H588" s="27"/>
      <c r="I588" s="27"/>
      <c r="J588" s="27"/>
      <c r="K588" s="27"/>
      <c r="L588" s="27"/>
      <c r="M588" s="27"/>
      <c r="N588" s="27"/>
      <c r="O588" s="43"/>
    </row>
    <row r="589" spans="3:15">
      <c r="C589" s="27"/>
      <c r="D589" s="27"/>
      <c r="E589" s="27"/>
      <c r="F589" s="27"/>
      <c r="G589" s="27"/>
      <c r="H589" s="27"/>
      <c r="I589" s="27"/>
      <c r="J589" s="27"/>
      <c r="K589" s="27"/>
      <c r="L589" s="27"/>
      <c r="M589" s="27"/>
      <c r="N589" s="27"/>
      <c r="O589" s="43"/>
    </row>
    <row r="590" spans="3:15">
      <c r="C590" s="27"/>
      <c r="D590" s="27"/>
      <c r="E590" s="27"/>
      <c r="F590" s="27"/>
      <c r="G590" s="27"/>
      <c r="H590" s="27"/>
      <c r="I590" s="27"/>
      <c r="J590" s="27"/>
      <c r="K590" s="27"/>
      <c r="L590" s="27"/>
      <c r="M590" s="27"/>
      <c r="N590" s="27"/>
      <c r="O590" s="43"/>
    </row>
    <row r="591" spans="3:15">
      <c r="C591" s="27"/>
      <c r="D591" s="27"/>
      <c r="E591" s="27"/>
      <c r="F591" s="27"/>
      <c r="G591" s="27"/>
      <c r="H591" s="27"/>
      <c r="I591" s="27"/>
      <c r="J591" s="27"/>
      <c r="K591" s="27"/>
      <c r="L591" s="27"/>
      <c r="M591" s="27"/>
      <c r="N591" s="27"/>
      <c r="O591" s="43"/>
    </row>
    <row r="592" spans="3:15">
      <c r="C592" s="27"/>
      <c r="D592" s="27"/>
      <c r="E592" s="27"/>
      <c r="F592" s="27"/>
      <c r="G592" s="27"/>
      <c r="H592" s="27"/>
      <c r="I592" s="27"/>
      <c r="J592" s="27"/>
      <c r="K592" s="27"/>
      <c r="L592" s="27"/>
      <c r="M592" s="27"/>
      <c r="N592" s="27"/>
      <c r="O592" s="43"/>
    </row>
    <row r="593" spans="3:15">
      <c r="C593" s="27"/>
      <c r="D593" s="27"/>
      <c r="E593" s="27"/>
      <c r="F593" s="27"/>
      <c r="G593" s="27"/>
      <c r="H593" s="27"/>
      <c r="I593" s="27"/>
      <c r="J593" s="27"/>
      <c r="K593" s="27"/>
      <c r="L593" s="27"/>
      <c r="M593" s="27"/>
      <c r="N593" s="27"/>
      <c r="O593" s="43"/>
    </row>
    <row r="594" spans="3:15">
      <c r="C594" s="27"/>
      <c r="D594" s="27"/>
      <c r="E594" s="27"/>
      <c r="F594" s="27"/>
      <c r="G594" s="27"/>
      <c r="H594" s="27"/>
      <c r="I594" s="27"/>
      <c r="J594" s="27"/>
      <c r="K594" s="27"/>
      <c r="L594" s="27"/>
      <c r="M594" s="27"/>
      <c r="N594" s="27"/>
      <c r="O594" s="43"/>
    </row>
    <row r="595" spans="3:15">
      <c r="C595" s="27"/>
      <c r="D595" s="27"/>
      <c r="E595" s="27"/>
      <c r="F595" s="27"/>
      <c r="G595" s="27"/>
      <c r="H595" s="27"/>
      <c r="I595" s="27"/>
      <c r="J595" s="27"/>
      <c r="K595" s="27"/>
      <c r="L595" s="27"/>
      <c r="M595" s="27"/>
      <c r="N595" s="27"/>
      <c r="O595" s="43"/>
    </row>
    <row r="596" spans="3:15">
      <c r="C596" s="27"/>
      <c r="D596" s="27"/>
      <c r="E596" s="27"/>
      <c r="F596" s="27"/>
      <c r="G596" s="27"/>
      <c r="H596" s="27"/>
      <c r="I596" s="27"/>
      <c r="J596" s="27"/>
      <c r="K596" s="27"/>
      <c r="L596" s="27"/>
      <c r="M596" s="27"/>
      <c r="N596" s="27"/>
      <c r="O596" s="43"/>
    </row>
    <row r="597" spans="3:15">
      <c r="C597" s="27"/>
      <c r="D597" s="27"/>
      <c r="E597" s="27"/>
      <c r="F597" s="27"/>
      <c r="G597" s="27"/>
      <c r="H597" s="27"/>
      <c r="I597" s="27"/>
      <c r="J597" s="27"/>
      <c r="K597" s="27"/>
      <c r="L597" s="27"/>
      <c r="M597" s="27"/>
      <c r="N597" s="27"/>
      <c r="O597" s="43"/>
    </row>
    <row r="598" spans="3:15">
      <c r="C598" s="27"/>
      <c r="D598" s="27"/>
      <c r="E598" s="27"/>
      <c r="F598" s="27"/>
      <c r="G598" s="27"/>
      <c r="H598" s="27"/>
      <c r="I598" s="27"/>
      <c r="J598" s="27"/>
      <c r="K598" s="27"/>
      <c r="L598" s="27"/>
      <c r="M598" s="27"/>
      <c r="N598" s="27"/>
      <c r="O598" s="43"/>
    </row>
    <row r="599" spans="3:15">
      <c r="C599" s="27"/>
      <c r="D599" s="27"/>
      <c r="E599" s="27"/>
      <c r="F599" s="27"/>
      <c r="G599" s="27"/>
      <c r="H599" s="27"/>
      <c r="I599" s="27"/>
      <c r="J599" s="27"/>
      <c r="K599" s="27"/>
      <c r="L599" s="27"/>
      <c r="M599" s="27"/>
      <c r="N599" s="27"/>
      <c r="O599" s="43"/>
    </row>
    <row r="600" spans="3:15">
      <c r="C600" s="27"/>
      <c r="D600" s="27"/>
      <c r="E600" s="27"/>
      <c r="F600" s="27"/>
      <c r="G600" s="27"/>
      <c r="H600" s="27"/>
      <c r="I600" s="27"/>
      <c r="J600" s="27"/>
      <c r="K600" s="27"/>
      <c r="L600" s="27"/>
      <c r="M600" s="27"/>
      <c r="N600" s="27"/>
      <c r="O600" s="43"/>
    </row>
    <row r="601" spans="3:15">
      <c r="C601" s="27"/>
      <c r="D601" s="27"/>
      <c r="E601" s="27"/>
      <c r="F601" s="27"/>
      <c r="G601" s="27"/>
      <c r="H601" s="27"/>
      <c r="I601" s="27"/>
      <c r="J601" s="27"/>
      <c r="K601" s="27"/>
      <c r="L601" s="27"/>
      <c r="M601" s="27"/>
      <c r="N601" s="27"/>
      <c r="O601" s="43"/>
    </row>
    <row r="602" spans="3:15">
      <c r="C602" s="27"/>
      <c r="D602" s="27"/>
      <c r="E602" s="27"/>
      <c r="F602" s="27"/>
      <c r="G602" s="27"/>
      <c r="H602" s="27"/>
      <c r="I602" s="27"/>
      <c r="J602" s="27"/>
      <c r="K602" s="27"/>
      <c r="L602" s="27"/>
      <c r="M602" s="27"/>
      <c r="N602" s="27"/>
      <c r="O602" s="43"/>
    </row>
    <row r="603" spans="3:15">
      <c r="C603" s="27"/>
      <c r="D603" s="27"/>
      <c r="E603" s="27"/>
      <c r="F603" s="27"/>
      <c r="G603" s="27"/>
      <c r="H603" s="27"/>
      <c r="I603" s="27"/>
      <c r="J603" s="27"/>
      <c r="K603" s="27"/>
      <c r="L603" s="27"/>
      <c r="M603" s="27"/>
      <c r="N603" s="27"/>
      <c r="O603" s="43"/>
    </row>
    <row r="604" spans="3:15">
      <c r="C604" s="27"/>
      <c r="D604" s="27"/>
      <c r="E604" s="27"/>
      <c r="F604" s="27"/>
      <c r="G604" s="27"/>
      <c r="H604" s="27"/>
      <c r="I604" s="27"/>
      <c r="J604" s="27"/>
      <c r="K604" s="27"/>
      <c r="L604" s="27"/>
      <c r="M604" s="27"/>
      <c r="N604" s="27"/>
      <c r="O604" s="43"/>
    </row>
    <row r="605" spans="3:15">
      <c r="C605" s="27"/>
      <c r="D605" s="27"/>
      <c r="E605" s="27"/>
      <c r="F605" s="27"/>
      <c r="G605" s="27"/>
      <c r="H605" s="27"/>
      <c r="I605" s="27"/>
      <c r="J605" s="27"/>
      <c r="K605" s="27"/>
      <c r="L605" s="27"/>
      <c r="M605" s="27"/>
      <c r="N605" s="27"/>
      <c r="O605" s="43"/>
    </row>
    <row r="606" spans="3:15">
      <c r="C606" s="27"/>
      <c r="D606" s="27"/>
      <c r="E606" s="27"/>
      <c r="F606" s="27"/>
      <c r="G606" s="27"/>
      <c r="H606" s="27"/>
      <c r="I606" s="27"/>
      <c r="J606" s="27"/>
      <c r="K606" s="27"/>
      <c r="L606" s="27"/>
      <c r="M606" s="27"/>
      <c r="N606" s="27"/>
      <c r="O606" s="43"/>
    </row>
    <row r="607" spans="3:15">
      <c r="C607" s="27"/>
      <c r="D607" s="27"/>
      <c r="E607" s="27"/>
      <c r="F607" s="27"/>
      <c r="G607" s="27"/>
      <c r="H607" s="27"/>
      <c r="I607" s="27"/>
      <c r="J607" s="27"/>
      <c r="K607" s="27"/>
      <c r="L607" s="27"/>
      <c r="M607" s="27"/>
      <c r="N607" s="27"/>
      <c r="O607" s="43"/>
    </row>
    <row r="608" spans="3:15">
      <c r="C608" s="27"/>
      <c r="D608" s="27"/>
      <c r="E608" s="27"/>
      <c r="F608" s="27"/>
      <c r="G608" s="27"/>
      <c r="H608" s="27"/>
      <c r="I608" s="27"/>
      <c r="J608" s="27"/>
      <c r="K608" s="27"/>
      <c r="L608" s="27"/>
      <c r="M608" s="27"/>
      <c r="N608" s="27"/>
      <c r="O608" s="43"/>
    </row>
    <row r="609" spans="3:15">
      <c r="C609" s="27"/>
      <c r="D609" s="27"/>
      <c r="E609" s="27"/>
      <c r="F609" s="27"/>
      <c r="G609" s="27"/>
      <c r="H609" s="27"/>
      <c r="I609" s="27"/>
      <c r="J609" s="27"/>
      <c r="K609" s="27"/>
      <c r="L609" s="27"/>
      <c r="M609" s="27"/>
      <c r="N609" s="27"/>
      <c r="O609" s="43"/>
    </row>
    <row r="610" spans="3:15">
      <c r="C610" s="27"/>
      <c r="D610" s="27"/>
      <c r="E610" s="27"/>
      <c r="F610" s="27"/>
      <c r="G610" s="27"/>
      <c r="H610" s="27"/>
      <c r="I610" s="27"/>
      <c r="J610" s="27"/>
      <c r="K610" s="27"/>
      <c r="L610" s="27"/>
      <c r="M610" s="27"/>
      <c r="N610" s="27"/>
      <c r="O610" s="43"/>
    </row>
    <row r="611" spans="3:15">
      <c r="O611" s="43"/>
    </row>
    <row r="612" spans="3:15">
      <c r="O612" s="43"/>
    </row>
  </sheetData>
  <mergeCells count="29">
    <mergeCell ref="E3:N3"/>
    <mergeCell ref="T2:AE2"/>
    <mergeCell ref="R3:S3"/>
    <mergeCell ref="B7:D7"/>
    <mergeCell ref="E7:H7"/>
    <mergeCell ref="R7:S7"/>
    <mergeCell ref="R4:S4"/>
    <mergeCell ref="B5:D5"/>
    <mergeCell ref="B6:D6"/>
    <mergeCell ref="R5:S5"/>
    <mergeCell ref="R6:S6"/>
    <mergeCell ref="E5:G5"/>
    <mergeCell ref="E6:G6"/>
    <mergeCell ref="B2:D3"/>
    <mergeCell ref="E2:N2"/>
    <mergeCell ref="R16:S16"/>
    <mergeCell ref="R17:S17"/>
    <mergeCell ref="R18:S18"/>
    <mergeCell ref="R9:S9"/>
    <mergeCell ref="B13:B14"/>
    <mergeCell ref="C13:N13"/>
    <mergeCell ref="O13:O14"/>
    <mergeCell ref="R10:S10"/>
    <mergeCell ref="R11:S11"/>
    <mergeCell ref="B8:D8"/>
    <mergeCell ref="B9:D9"/>
    <mergeCell ref="R8:S8"/>
    <mergeCell ref="R12:S12"/>
    <mergeCell ref="T15:AE15"/>
  </mergeCells>
  <pageMargins left="0.44" right="0.35433070866141736" top="0.78740157480314965" bottom="1" header="0" footer="0"/>
  <pageSetup paperSize="9" scale="92" orientation="landscape"/>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0">
    <pageSetUpPr fitToPage="1"/>
  </sheetPr>
  <dimension ref="A1:Z40"/>
  <sheetViews>
    <sheetView showGridLines="0" zoomScale="75" zoomScaleNormal="75" workbookViewId="0">
      <selection activeCell="D3" sqref="D3:H3"/>
    </sheetView>
  </sheetViews>
  <sheetFormatPr baseColWidth="10" defaultRowHeight="12.5"/>
  <cols>
    <col min="1" max="1" width="3.453125" customWidth="1"/>
    <col min="2" max="2" width="14.1796875" customWidth="1"/>
    <col min="3" max="3" width="18" customWidth="1"/>
    <col min="4" max="8" width="14.1796875" customWidth="1"/>
    <col min="10" max="10" width="24.6328125" customWidth="1"/>
    <col min="11" max="11" width="21.81640625" customWidth="1"/>
    <col min="12" max="12" width="12.1796875" customWidth="1"/>
  </cols>
  <sheetData>
    <row r="1" spans="1:26">
      <c r="A1" s="84"/>
      <c r="B1" s="84"/>
      <c r="C1" s="84"/>
      <c r="D1" s="83"/>
      <c r="E1" s="83"/>
      <c r="F1" s="83"/>
      <c r="G1" s="83"/>
      <c r="H1" s="83"/>
    </row>
    <row r="2" spans="1:26" ht="18">
      <c r="A2" s="84"/>
      <c r="B2" s="638" t="s">
        <v>267</v>
      </c>
      <c r="C2" s="638"/>
      <c r="D2" s="626" t="str">
        <f>UPPER(REPORTS!$AB$2)</f>
        <v>ALTERED FLOW</v>
      </c>
      <c r="E2" s="626"/>
      <c r="F2" s="626"/>
      <c r="G2" s="626"/>
      <c r="H2" s="626"/>
      <c r="S2" s="297"/>
      <c r="T2" s="297"/>
      <c r="U2" s="297"/>
      <c r="V2" s="297"/>
      <c r="W2" s="297"/>
      <c r="X2" s="297"/>
      <c r="Y2" s="297"/>
      <c r="Z2" s="297"/>
    </row>
    <row r="3" spans="1:26" ht="18">
      <c r="A3" s="84"/>
      <c r="B3" s="638"/>
      <c r="C3" s="638"/>
      <c r="D3" s="627" t="s">
        <v>230</v>
      </c>
      <c r="E3" s="626"/>
      <c r="F3" s="626"/>
      <c r="G3" s="626"/>
      <c r="H3" s="626"/>
      <c r="S3" s="297"/>
      <c r="T3" s="665" t="s">
        <v>268</v>
      </c>
      <c r="U3" s="665"/>
      <c r="V3" s="665" t="s">
        <v>269</v>
      </c>
      <c r="W3" s="665"/>
      <c r="X3" s="665" t="s">
        <v>270</v>
      </c>
      <c r="Y3" s="665"/>
      <c r="Z3" s="297"/>
    </row>
    <row r="4" spans="1:26">
      <c r="S4" s="297"/>
      <c r="T4" s="297" t="str">
        <f>UPPER(REPORTS!$AA$2)</f>
        <v>ALT_F</v>
      </c>
      <c r="U4" s="297" t="str">
        <f>UPPER(REPORTS!$AA$1)</f>
        <v>NAT_F</v>
      </c>
      <c r="V4" s="297" t="str">
        <f>UPPER(REPORTS!$AA$2)</f>
        <v>ALT_F</v>
      </c>
      <c r="W4" s="297" t="str">
        <f>UPPER(REPORTS!$AA$1)</f>
        <v>NAT_F</v>
      </c>
      <c r="X4" s="297" t="s">
        <v>271</v>
      </c>
      <c r="Y4" s="297" t="str">
        <f>UPPER(REPORTS!$AA$1)</f>
        <v>NAT_F</v>
      </c>
      <c r="Z4" s="297"/>
    </row>
    <row r="5" spans="1:26" ht="15.75" customHeight="1">
      <c r="B5" s="593" t="s">
        <v>1</v>
      </c>
      <c r="C5" s="593"/>
      <c r="D5" s="593"/>
      <c r="E5" s="495" t="str">
        <f>REPORTS!E7</f>
        <v>Natural Flow (Nat_F)</v>
      </c>
      <c r="F5" s="293"/>
      <c r="S5" s="297">
        <f t="shared" ref="S5:S6" si="0">B15</f>
        <v>0</v>
      </c>
      <c r="T5" s="298" t="str">
        <f t="shared" ref="T5:T6" si="1">C15</f>
        <v>WET</v>
      </c>
      <c r="U5" s="298">
        <f t="array" ref="U5">'Informe nº2a'!$C$17:$C$28</f>
        <v>18.099506378173828</v>
      </c>
      <c r="V5" s="298" t="str">
        <f t="array" ref="V5">D15:D26</f>
        <v>AVERAGE</v>
      </c>
      <c r="W5" s="298">
        <f t="array" ref="W5">'Informe nº2a'!$D$17:$D$28</f>
        <v>14.37298583984375</v>
      </c>
      <c r="X5" s="298" t="str">
        <f t="array" ref="X5">E15:E26</f>
        <v>DRY</v>
      </c>
      <c r="Y5" s="298">
        <f t="array" ref="Y5">'Informe nº2a'!$E$17:$E$28</f>
        <v>11.507701873779297</v>
      </c>
      <c r="Z5" s="297"/>
    </row>
    <row r="6" spans="1:26" ht="15.75" customHeight="1">
      <c r="B6" s="593" t="s">
        <v>2</v>
      </c>
      <c r="C6" s="593"/>
      <c r="D6" s="593"/>
      <c r="E6" s="495" t="str">
        <f>REPORTS!E8</f>
        <v>Altered Flow (Alt_F)</v>
      </c>
      <c r="F6" s="293"/>
      <c r="S6" s="297">
        <f t="shared" si="0"/>
        <v>0</v>
      </c>
      <c r="T6" s="298">
        <f t="shared" si="1"/>
        <v>0</v>
      </c>
      <c r="U6" s="298">
        <f t="array" ref="U6">'Informe nº2a'!$C$17:$C$28</f>
        <v>18.099506378173828</v>
      </c>
      <c r="V6" s="298">
        <f t="array" ref="V6">D16:D27</f>
        <v>0</v>
      </c>
      <c r="W6" s="298">
        <f t="array" ref="W6">'Informe nº2a'!$D$17:$D$28</f>
        <v>14.37298583984375</v>
      </c>
      <c r="X6" s="298">
        <f t="array" ref="X6">E16:E27</f>
        <v>0</v>
      </c>
      <c r="Y6" s="298">
        <f t="array" ref="Y6">'Informe nº2a'!$E$17:$E$28</f>
        <v>11.507701873779297</v>
      </c>
      <c r="Z6" s="297"/>
    </row>
    <row r="7" spans="1:26" ht="15.75" customHeight="1">
      <c r="B7" s="593" t="s">
        <v>3</v>
      </c>
      <c r="C7" s="593"/>
      <c r="D7" s="593"/>
      <c r="E7" s="495" t="s">
        <v>4</v>
      </c>
      <c r="F7" s="293"/>
      <c r="S7" s="297" t="str">
        <f t="shared" ref="S7:S18" si="2">B17</f>
        <v>Jan</v>
      </c>
      <c r="T7" s="298">
        <f t="shared" ref="T7:T18" si="3">C17</f>
        <v>14.778029441833496</v>
      </c>
      <c r="U7" s="298">
        <f t="array" ref="U7:U18">'Informe nº2a'!$C$17:$C$28</f>
        <v>18.099506378173828</v>
      </c>
      <c r="V7" s="298">
        <f t="array" ref="V7:V18">D17:D28</f>
        <v>11.134283065795898</v>
      </c>
      <c r="W7" s="298">
        <f t="array" ref="W7:W18">'Informe nº2a'!$D$17:$D$28</f>
        <v>14.37298583984375</v>
      </c>
      <c r="X7" s="298">
        <f t="array" ref="X7:X18">E17:E28</f>
        <v>6.6452136039733887</v>
      </c>
      <c r="Y7" s="298">
        <f t="array" ref="Y7:Y18">'Informe nº2a'!$E$17:$E$28</f>
        <v>11.507701873779297</v>
      </c>
      <c r="Z7" s="297"/>
    </row>
    <row r="8" spans="1:26" ht="15.75" customHeight="1">
      <c r="B8" s="593"/>
      <c r="C8" s="593"/>
      <c r="D8" s="593"/>
      <c r="E8" s="293"/>
      <c r="F8" s="293"/>
      <c r="S8" s="297" t="str">
        <f t="shared" si="2"/>
        <v>Feb</v>
      </c>
      <c r="T8" s="298">
        <f t="shared" si="3"/>
        <v>15.621118545532227</v>
      </c>
      <c r="U8" s="298">
        <v>13.573872566223145</v>
      </c>
      <c r="V8" s="298">
        <v>10.854950904846191</v>
      </c>
      <c r="W8" s="298">
        <v>12.314159393310547</v>
      </c>
      <c r="X8" s="298">
        <v>8.7422113418579102</v>
      </c>
      <c r="Y8" s="298">
        <v>9.3760404586791992</v>
      </c>
      <c r="Z8" s="297"/>
    </row>
    <row r="9" spans="1:26" ht="14">
      <c r="B9" s="602"/>
      <c r="C9" s="602"/>
      <c r="D9" s="602"/>
      <c r="E9" s="293"/>
      <c r="F9" s="293"/>
      <c r="S9" s="297" t="str">
        <f t="shared" si="2"/>
        <v>Mar</v>
      </c>
      <c r="T9" s="298">
        <f t="shared" si="3"/>
        <v>12.376887321472168</v>
      </c>
      <c r="U9" s="298">
        <v>15.863386154174805</v>
      </c>
      <c r="V9" s="298">
        <v>9.3216094970703125</v>
      </c>
      <c r="W9" s="298">
        <v>11.537077903747559</v>
      </c>
      <c r="X9" s="298">
        <v>6.0758213996887207</v>
      </c>
      <c r="Y9" s="298">
        <v>9.1410341262817383</v>
      </c>
      <c r="Z9" s="297"/>
    </row>
    <row r="10" spans="1:26">
      <c r="S10" s="297" t="str">
        <f t="shared" si="2"/>
        <v>Apr</v>
      </c>
      <c r="T10" s="298">
        <f t="shared" si="3"/>
        <v>8.3007078170776367</v>
      </c>
      <c r="U10" s="298">
        <v>15.218755722045898</v>
      </c>
      <c r="V10" s="298">
        <v>6.4912319183349609</v>
      </c>
      <c r="W10" s="298">
        <v>13.178936004638672</v>
      </c>
      <c r="X10" s="298">
        <v>3.5284464359283447</v>
      </c>
      <c r="Y10" s="298">
        <v>10.590134620666504</v>
      </c>
      <c r="Z10" s="297"/>
    </row>
    <row r="11" spans="1:26">
      <c r="S11" s="297" t="str">
        <f t="shared" si="2"/>
        <v>May</v>
      </c>
      <c r="T11" s="298">
        <f t="shared" si="3"/>
        <v>5.1668405532836914</v>
      </c>
      <c r="U11" s="298">
        <v>17.46221923828125</v>
      </c>
      <c r="V11" s="298">
        <v>3.027153491973877</v>
      </c>
      <c r="W11" s="298">
        <v>13.49222469329834</v>
      </c>
      <c r="X11" s="298">
        <v>1.6329257488250732</v>
      </c>
      <c r="Y11" s="298">
        <v>10.689840316772461</v>
      </c>
      <c r="Z11" s="297"/>
    </row>
    <row r="12" spans="1:26" ht="18">
      <c r="B12" s="637" t="s">
        <v>156</v>
      </c>
      <c r="C12" s="637"/>
      <c r="D12" s="637"/>
      <c r="E12" s="637"/>
      <c r="F12" s="637"/>
      <c r="G12" s="637"/>
      <c r="H12" s="637"/>
      <c r="S12" s="297" t="str">
        <f t="shared" si="2"/>
        <v>Jun</v>
      </c>
      <c r="T12" s="298">
        <f t="shared" si="3"/>
        <v>0.95200705528259277</v>
      </c>
      <c r="U12" s="298">
        <v>6.6775097846984863</v>
      </c>
      <c r="V12" s="298">
        <v>0.640647292137146</v>
      </c>
      <c r="W12" s="298">
        <v>4.8620734214782715</v>
      </c>
      <c r="X12" s="298">
        <v>0.4144693911075592</v>
      </c>
      <c r="Y12" s="298">
        <v>3.933758020401001</v>
      </c>
      <c r="Z12" s="297"/>
    </row>
    <row r="13" spans="1:26">
      <c r="B13" s="83"/>
      <c r="C13" s="83"/>
      <c r="D13" s="83"/>
      <c r="E13" s="83"/>
      <c r="F13" s="83"/>
      <c r="G13" s="83"/>
      <c r="H13" s="83"/>
      <c r="S13" s="297" t="str">
        <f t="shared" si="2"/>
        <v>Jul</v>
      </c>
      <c r="T13" s="298">
        <f t="shared" si="3"/>
        <v>0.3779049813747406</v>
      </c>
      <c r="U13" s="298">
        <v>1.5369611978530884</v>
      </c>
      <c r="V13" s="298">
        <v>0.32523810863494873</v>
      </c>
      <c r="W13" s="298">
        <v>1.1413267850875854</v>
      </c>
      <c r="X13" s="298">
        <v>0.21630929410457611</v>
      </c>
      <c r="Y13" s="298">
        <v>0.92626851797103882</v>
      </c>
      <c r="Z13" s="297"/>
    </row>
    <row r="14" spans="1:26" ht="13.25" customHeight="1">
      <c r="B14" s="632" t="s">
        <v>231</v>
      </c>
      <c r="C14" s="656" t="s">
        <v>232</v>
      </c>
      <c r="D14" s="657"/>
      <c r="E14" s="658"/>
      <c r="F14" s="659" t="s">
        <v>233</v>
      </c>
      <c r="G14" s="660"/>
      <c r="H14" s="661"/>
      <c r="J14" s="648" t="s">
        <v>234</v>
      </c>
      <c r="K14" s="649"/>
      <c r="L14" s="645" t="s">
        <v>235</v>
      </c>
      <c r="S14" s="297" t="str">
        <f t="shared" si="2"/>
        <v>Aug</v>
      </c>
      <c r="T14" s="298">
        <f t="shared" si="3"/>
        <v>0.23978069424629211</v>
      </c>
      <c r="U14" s="298">
        <v>0.61138373613357544</v>
      </c>
      <c r="V14" s="298">
        <v>0.19344787299633026</v>
      </c>
      <c r="W14" s="298">
        <v>0.4883846640586853</v>
      </c>
      <c r="X14" s="298">
        <v>0.15357428789138794</v>
      </c>
      <c r="Y14" s="298">
        <v>0.4232650101184845</v>
      </c>
      <c r="Z14" s="297"/>
    </row>
    <row r="15" spans="1:26" ht="13.75" customHeight="1">
      <c r="B15" s="633"/>
      <c r="C15" s="654" t="s">
        <v>162</v>
      </c>
      <c r="D15" s="630" t="s">
        <v>163</v>
      </c>
      <c r="E15" s="635" t="s">
        <v>164</v>
      </c>
      <c r="F15" s="628" t="s">
        <v>162</v>
      </c>
      <c r="G15" s="630" t="s">
        <v>163</v>
      </c>
      <c r="H15" s="635" t="s">
        <v>164</v>
      </c>
      <c r="J15" s="650" t="s">
        <v>236</v>
      </c>
      <c r="K15" s="652" t="s">
        <v>237</v>
      </c>
      <c r="L15" s="646"/>
      <c r="S15" s="297" t="str">
        <f t="shared" si="2"/>
        <v>Sep</v>
      </c>
      <c r="T15" s="298">
        <f t="shared" si="3"/>
        <v>0.2156284898519516</v>
      </c>
      <c r="U15" s="298">
        <v>0.8791201114654541</v>
      </c>
      <c r="V15" s="298">
        <v>0.1700049489736557</v>
      </c>
      <c r="W15" s="298">
        <v>0.55524098873138428</v>
      </c>
      <c r="X15" s="298">
        <v>0.14149037003517151</v>
      </c>
      <c r="Y15" s="298">
        <v>0.37693983316421509</v>
      </c>
      <c r="Z15" s="297"/>
    </row>
    <row r="16" spans="1:26">
      <c r="B16" s="634"/>
      <c r="C16" s="655"/>
      <c r="D16" s="631"/>
      <c r="E16" s="636"/>
      <c r="F16" s="629"/>
      <c r="G16" s="631"/>
      <c r="H16" s="636"/>
      <c r="J16" s="651"/>
      <c r="K16" s="653"/>
      <c r="L16" s="647"/>
      <c r="S16" s="297" t="str">
        <f t="shared" si="2"/>
        <v>Oct</v>
      </c>
      <c r="T16" s="298">
        <f t="shared" si="3"/>
        <v>2.0616016387939453</v>
      </c>
      <c r="U16" s="298">
        <v>4.2686614990234375</v>
      </c>
      <c r="V16" s="298">
        <v>0.7970806360244751</v>
      </c>
      <c r="W16" s="298">
        <v>2.9164323806762695</v>
      </c>
      <c r="X16" s="298">
        <v>0.46813070774078369</v>
      </c>
      <c r="Y16" s="298">
        <v>2.1859288215637207</v>
      </c>
      <c r="Z16" s="297"/>
    </row>
    <row r="17" spans="2:26">
      <c r="B17" s="82" t="str">
        <f>'Informe nº3'!$C14</f>
        <v>Jan</v>
      </c>
      <c r="C17" s="81">
        <v>14.778029441833496</v>
      </c>
      <c r="D17" s="352">
        <v>11.134283065795898</v>
      </c>
      <c r="E17" s="79">
        <v>6.6452136039733887</v>
      </c>
      <c r="F17" s="74" t="str">
        <f>IF($B17="OCT",C17*0.373, IF($B17="NOV",C17*0.386,IF($B17="DIC",C17*0.373,IF($B17="ENE",C17*0.373,IF($B17="FEB",C17*0.413,IF($B17="MAR",C17*0.373,IF($B17="ABR",C17*0.386,IF($B17="MAY",C17*0.373,IF($B17="JUN",C17*0.386,IF($B17="JUL",C17*0.373,IF($B17="AGO",C17*0.373,IF($B17="SEP",C17*0.386,""))))))))))))</f>
        <v/>
      </c>
      <c r="G17" s="73" t="str">
        <f t="shared" ref="G17:G28" si="4">IF($D17="#","#",IF($B17="OCT",D17*0.373, IF($B17="NOV",D17*0.386,IF($B17="DIC",D17*0.373,IF($B17="ENE",D17*0.373,IF($B17="FEB",D17*0.413,IF($B17="MAR",D17*0.373,IF($B17="ABR",D17*0.386,IF($B17="MAY",D17*0.373,IF($B17="JUN",D17*0.386,IF($B17="JUL",D17*0.373,IF($B17="AGO",D17*0.373,IF($B17="SEP",D17*0.386,"")))))))))))))</f>
        <v/>
      </c>
      <c r="H17" s="72" t="str">
        <f t="shared" ref="H17:H28" si="5">IF($B17="OCT",E17*0.373, IF($B17="NOV",E17*0.386,IF($B17="DIC",E17*0.373,IF($B17="ENE",E17*0.373,IF($B17="FEB",E17*0.413,IF($B17="MAR",E17*0.373,IF($B17="ABR",E17*0.386,IF($B17="MAY",E17*0.373,IF($B17="JUN",E17*0.386,IF($B17="JUL",E17*0.373,IF($B17="AGO",E17*0.373,IF($B17="SEP",E17*0.386,""))))))))))))</f>
        <v/>
      </c>
      <c r="J17" s="353"/>
      <c r="K17" s="356" t="str">
        <f t="shared" ref="K17:K28" si="6">IF($B17="OCT",J17*0.373, IF($B17="NOV",J17*0.386,IF($B17="DIC",J17*0.373,IF($B17="ENE",J17*0.373,IF($B17="FEB",J17*0.413,IF($B17="MAR",J17*0.373,IF($B17="ABR",J17*0.386,IF($B17="MAY",J17*0.373,IF($B17="JUN",J17*0.386,IF($B17="JUL",J17*0.373,IF($B17="AGO",J17*0.373,IF($B17="SEP",J17*0.386,""))))))))))))</f>
        <v/>
      </c>
      <c r="L17" s="416"/>
      <c r="S17" s="297" t="str">
        <f t="shared" si="2"/>
        <v>Nov</v>
      </c>
      <c r="T17" s="298">
        <f t="shared" si="3"/>
        <v>4.9483094215393066</v>
      </c>
      <c r="U17" s="298">
        <v>10.988697052001953</v>
      </c>
      <c r="V17" s="298">
        <v>3.5252237319946289</v>
      </c>
      <c r="W17" s="298">
        <v>7.0796847343444824</v>
      </c>
      <c r="X17" s="298">
        <v>2.7863051891326904</v>
      </c>
      <c r="Y17" s="298">
        <v>3.999110221862793</v>
      </c>
      <c r="Z17" s="297"/>
    </row>
    <row r="18" spans="2:26">
      <c r="B18" s="82" t="str">
        <f>'Informe nº3'!$D14</f>
        <v>Feb</v>
      </c>
      <c r="C18" s="77">
        <v>15.621118545532227</v>
      </c>
      <c r="D18" s="350">
        <v>10.854950904846191</v>
      </c>
      <c r="E18" s="75">
        <v>8.7422113418579102</v>
      </c>
      <c r="F18" s="74">
        <f t="shared" ref="F18:F28" si="7">IF($B18="OCT",C18*0.373, IF($B18="NOV",C18*0.386,IF($B18="DIC",C18*0.373,IF($B18="ENE",C18*0.373,IF($B18="FEB",C18*0.413,IF($B18="MAR",C18*0.373,IF($B18="ABR",C18*0.386,IF($B18="MAY",C18*0.373,IF($B18="JUN",C18*0.386,IF($B18="JUL",C18*0.373,IF($B18="AGO",C18*0.373,IF($B18="SEP",C18*0.386,""))))))))))))</f>
        <v>6.4515219593048094</v>
      </c>
      <c r="G18" s="73">
        <f t="shared" si="4"/>
        <v>4.4830947237014769</v>
      </c>
      <c r="H18" s="72">
        <f t="shared" si="5"/>
        <v>3.6105332841873166</v>
      </c>
      <c r="J18" s="354"/>
      <c r="K18" s="357">
        <f t="shared" si="6"/>
        <v>0</v>
      </c>
      <c r="L18" s="417"/>
      <c r="S18" s="297" t="str">
        <f t="shared" si="2"/>
        <v>Dec</v>
      </c>
      <c r="T18" s="298">
        <f t="shared" si="3"/>
        <v>9.3898658752441406</v>
      </c>
      <c r="U18" s="298">
        <v>18.874856948852539</v>
      </c>
      <c r="V18" s="298">
        <v>6.6811389923095703</v>
      </c>
      <c r="W18" s="298">
        <v>14.289956092834473</v>
      </c>
      <c r="X18" s="298">
        <v>4.6937408447265625</v>
      </c>
      <c r="Y18" s="298">
        <v>11.012543678283691</v>
      </c>
      <c r="Z18" s="297"/>
    </row>
    <row r="19" spans="2:26">
      <c r="B19" s="82" t="str">
        <f>'Informe nº3'!$E14</f>
        <v>Mar</v>
      </c>
      <c r="C19" s="77">
        <v>12.376887321472168</v>
      </c>
      <c r="D19" s="350">
        <v>9.3216094970703125</v>
      </c>
      <c r="E19" s="75">
        <v>6.0758213996887207</v>
      </c>
      <c r="F19" s="74">
        <f t="shared" si="7"/>
        <v>4.616578970909119</v>
      </c>
      <c r="G19" s="73">
        <f t="shared" si="4"/>
        <v>3.4769603424072266</v>
      </c>
      <c r="H19" s="72">
        <f t="shared" si="5"/>
        <v>2.2662813820838927</v>
      </c>
      <c r="J19" s="354"/>
      <c r="K19" s="357">
        <f t="shared" si="6"/>
        <v>0</v>
      </c>
      <c r="L19" s="417"/>
      <c r="S19" s="297"/>
      <c r="T19" s="297"/>
      <c r="U19" s="297"/>
      <c r="V19" s="297"/>
      <c r="W19" s="297"/>
      <c r="X19" s="297"/>
      <c r="Y19" s="297"/>
      <c r="Z19" s="297"/>
    </row>
    <row r="20" spans="2:26">
      <c r="B20" s="82" t="str">
        <f>'Informe nº3'!$F14</f>
        <v>Apr</v>
      </c>
      <c r="C20" s="77">
        <v>8.3007078170776367</v>
      </c>
      <c r="D20" s="350">
        <v>6.4912319183349609</v>
      </c>
      <c r="E20" s="75">
        <v>3.5284464359283447</v>
      </c>
      <c r="F20" s="74" t="str">
        <f t="shared" si="7"/>
        <v/>
      </c>
      <c r="G20" s="73" t="str">
        <f t="shared" si="4"/>
        <v/>
      </c>
      <c r="H20" s="72" t="str">
        <f t="shared" si="5"/>
        <v/>
      </c>
      <c r="J20" s="354"/>
      <c r="K20" s="357" t="str">
        <f t="shared" si="6"/>
        <v/>
      </c>
      <c r="L20" s="417"/>
    </row>
    <row r="21" spans="2:26">
      <c r="B21" s="82" t="str">
        <f>'Informe nº3'!$G14</f>
        <v>May</v>
      </c>
      <c r="C21" s="77">
        <v>5.1668405532836914</v>
      </c>
      <c r="D21" s="350">
        <v>3.027153491973877</v>
      </c>
      <c r="E21" s="75">
        <v>1.6329257488250732</v>
      </c>
      <c r="F21" s="74">
        <f t="shared" si="7"/>
        <v>1.927231526374817</v>
      </c>
      <c r="G21" s="73">
        <f t="shared" si="4"/>
        <v>1.129128252506256</v>
      </c>
      <c r="H21" s="72">
        <f t="shared" si="5"/>
        <v>0.60908130431175234</v>
      </c>
      <c r="J21" s="354"/>
      <c r="K21" s="357">
        <f t="shared" si="6"/>
        <v>0</v>
      </c>
      <c r="L21" s="417"/>
    </row>
    <row r="22" spans="2:26">
      <c r="B22" s="82" t="str">
        <f>'Informe nº3'!$H14</f>
        <v>Jun</v>
      </c>
      <c r="C22" s="77">
        <v>0.95200705528259277</v>
      </c>
      <c r="D22" s="350">
        <v>0.640647292137146</v>
      </c>
      <c r="E22" s="75">
        <v>0.4144693911075592</v>
      </c>
      <c r="F22" s="74">
        <f t="shared" si="7"/>
        <v>0.36747472333908082</v>
      </c>
      <c r="G22" s="73">
        <f t="shared" si="4"/>
        <v>0.24728985476493837</v>
      </c>
      <c r="H22" s="72">
        <f t="shared" si="5"/>
        <v>0.15998518496751785</v>
      </c>
      <c r="J22" s="354"/>
      <c r="K22" s="357">
        <f t="shared" si="6"/>
        <v>0</v>
      </c>
      <c r="L22" s="417"/>
    </row>
    <row r="23" spans="2:26">
      <c r="B23" s="82" t="str">
        <f>'Informe nº3'!$I14</f>
        <v>Jul</v>
      </c>
      <c r="C23" s="77">
        <v>0.3779049813747406</v>
      </c>
      <c r="D23" s="350">
        <v>0.32523810863494873</v>
      </c>
      <c r="E23" s="75">
        <v>0.21630929410457611</v>
      </c>
      <c r="F23" s="74">
        <f t="shared" si="7"/>
        <v>0.14095855805277824</v>
      </c>
      <c r="G23" s="73">
        <f t="shared" si="4"/>
        <v>0.12131381452083588</v>
      </c>
      <c r="H23" s="72">
        <f t="shared" si="5"/>
        <v>8.0683366701006884E-2</v>
      </c>
      <c r="J23" s="354"/>
      <c r="K23" s="357">
        <f t="shared" si="6"/>
        <v>0</v>
      </c>
      <c r="L23" s="417"/>
    </row>
    <row r="24" spans="2:26">
      <c r="B24" s="82" t="str">
        <f>'Informe nº3'!$J14</f>
        <v>Aug</v>
      </c>
      <c r="C24" s="77">
        <v>0.23978069424629211</v>
      </c>
      <c r="D24" s="350">
        <v>0.19344787299633026</v>
      </c>
      <c r="E24" s="75">
        <v>0.15357428789138794</v>
      </c>
      <c r="F24" s="74" t="str">
        <f t="shared" si="7"/>
        <v/>
      </c>
      <c r="G24" s="73" t="str">
        <f t="shared" si="4"/>
        <v/>
      </c>
      <c r="H24" s="72" t="str">
        <f t="shared" si="5"/>
        <v/>
      </c>
      <c r="J24" s="354"/>
      <c r="K24" s="357" t="str">
        <f t="shared" si="6"/>
        <v/>
      </c>
      <c r="L24" s="417"/>
    </row>
    <row r="25" spans="2:26">
      <c r="B25" s="82" t="str">
        <f>'Informe nº3'!$K14</f>
        <v>Sep</v>
      </c>
      <c r="C25" s="77">
        <v>0.2156284898519516</v>
      </c>
      <c r="D25" s="350">
        <v>0.1700049489736557</v>
      </c>
      <c r="E25" s="75">
        <v>0.14149037003517151</v>
      </c>
      <c r="F25" s="74">
        <f t="shared" si="7"/>
        <v>8.3232597082853313E-2</v>
      </c>
      <c r="G25" s="73">
        <f t="shared" si="4"/>
        <v>6.5621910303831105E-2</v>
      </c>
      <c r="H25" s="72">
        <f t="shared" si="5"/>
        <v>5.4615282833576202E-2</v>
      </c>
      <c r="J25" s="354"/>
      <c r="K25" s="357">
        <f t="shared" si="6"/>
        <v>0</v>
      </c>
      <c r="L25" s="417"/>
    </row>
    <row r="26" spans="2:26">
      <c r="B26" s="82" t="str">
        <f>'Informe nº3'!$L14</f>
        <v>Oct</v>
      </c>
      <c r="C26" s="77">
        <v>2.0616016387939453</v>
      </c>
      <c r="D26" s="350">
        <v>0.7970806360244751</v>
      </c>
      <c r="E26" s="75">
        <v>0.46813070774078369</v>
      </c>
      <c r="F26" s="74">
        <f t="shared" si="7"/>
        <v>0.76897741127014163</v>
      </c>
      <c r="G26" s="73">
        <f t="shared" si="4"/>
        <v>0.29731107723712918</v>
      </c>
      <c r="H26" s="72">
        <f t="shared" si="5"/>
        <v>0.17461275398731232</v>
      </c>
      <c r="J26" s="354"/>
      <c r="K26" s="357">
        <f t="shared" si="6"/>
        <v>0</v>
      </c>
      <c r="L26" s="417"/>
    </row>
    <row r="27" spans="2:26">
      <c r="B27" s="82" t="str">
        <f>'Informe nº3'!$M14</f>
        <v>Nov</v>
      </c>
      <c r="C27" s="77">
        <v>4.9483094215393066</v>
      </c>
      <c r="D27" s="350">
        <v>3.5252237319946289</v>
      </c>
      <c r="E27" s="75">
        <v>2.7863051891326904</v>
      </c>
      <c r="F27" s="74">
        <f t="shared" si="7"/>
        <v>1.9100474367141724</v>
      </c>
      <c r="G27" s="73">
        <f t="shared" si="4"/>
        <v>1.3607363605499267</v>
      </c>
      <c r="H27" s="72">
        <f t="shared" si="5"/>
        <v>1.0755138030052185</v>
      </c>
      <c r="J27" s="354"/>
      <c r="K27" s="357">
        <f t="shared" si="6"/>
        <v>0</v>
      </c>
      <c r="L27" s="417"/>
    </row>
    <row r="28" spans="2:26">
      <c r="B28" s="205" t="str">
        <f>'Informe nº3'!$N14</f>
        <v>Dec</v>
      </c>
      <c r="C28" s="70">
        <v>9.3898658752441406</v>
      </c>
      <c r="D28" s="351">
        <v>6.6811389923095703</v>
      </c>
      <c r="E28" s="68">
        <v>4.6937408447265625</v>
      </c>
      <c r="F28" s="67" t="str">
        <f t="shared" si="7"/>
        <v/>
      </c>
      <c r="G28" s="66" t="str">
        <f t="shared" si="4"/>
        <v/>
      </c>
      <c r="H28" s="65" t="str">
        <f t="shared" si="5"/>
        <v/>
      </c>
      <c r="J28" s="355"/>
      <c r="K28" s="358" t="str">
        <f t="shared" si="6"/>
        <v/>
      </c>
      <c r="L28" s="418"/>
    </row>
    <row r="30" spans="2:26" ht="12.75" customHeight="1">
      <c r="B30" s="643" t="s">
        <v>272</v>
      </c>
      <c r="C30" s="643"/>
      <c r="D30" s="643"/>
      <c r="E30" s="643"/>
      <c r="F30" s="643"/>
      <c r="G30" s="643"/>
      <c r="H30" s="643"/>
      <c r="J30" s="644" t="s">
        <v>273</v>
      </c>
      <c r="K30" s="666"/>
      <c r="L30" s="666"/>
    </row>
    <row r="31" spans="2:26">
      <c r="B31" s="643"/>
      <c r="C31" s="643"/>
      <c r="D31" s="643"/>
      <c r="E31" s="643"/>
      <c r="F31" s="643"/>
      <c r="G31" s="643"/>
      <c r="H31" s="643"/>
      <c r="J31" s="666"/>
      <c r="K31" s="666"/>
      <c r="L31" s="666"/>
    </row>
    <row r="32" spans="2:26">
      <c r="B32" s="643"/>
      <c r="C32" s="643"/>
      <c r="D32" s="643"/>
      <c r="E32" s="643"/>
      <c r="F32" s="643"/>
      <c r="G32" s="643"/>
      <c r="H32" s="643"/>
      <c r="J32" s="666"/>
      <c r="K32" s="666"/>
      <c r="L32" s="666"/>
    </row>
    <row r="33" spans="2:12">
      <c r="B33" s="643"/>
      <c r="C33" s="643"/>
      <c r="D33" s="643"/>
      <c r="E33" s="643"/>
      <c r="F33" s="643"/>
      <c r="G33" s="643"/>
      <c r="H33" s="643"/>
      <c r="J33" s="666"/>
      <c r="K33" s="666"/>
      <c r="L33" s="666"/>
    </row>
    <row r="34" spans="2:12">
      <c r="B34" s="643"/>
      <c r="C34" s="643"/>
      <c r="D34" s="643"/>
      <c r="E34" s="643"/>
      <c r="F34" s="643"/>
      <c r="G34" s="643"/>
      <c r="H34" s="643"/>
      <c r="J34" s="666"/>
      <c r="K34" s="666"/>
      <c r="L34" s="666"/>
    </row>
    <row r="35" spans="2:12">
      <c r="B35" s="643"/>
      <c r="C35" s="643"/>
      <c r="D35" s="643"/>
      <c r="E35" s="643"/>
      <c r="F35" s="643"/>
      <c r="G35" s="643"/>
      <c r="H35" s="643"/>
      <c r="J35" s="666"/>
      <c r="K35" s="666"/>
      <c r="L35" s="666"/>
    </row>
    <row r="36" spans="2:12">
      <c r="B36" s="667" t="s">
        <v>241</v>
      </c>
      <c r="C36" s="667"/>
      <c r="D36" s="667"/>
      <c r="E36" s="667"/>
      <c r="F36" s="667"/>
      <c r="G36" s="667"/>
      <c r="H36" s="667"/>
      <c r="J36" s="666"/>
      <c r="K36" s="666"/>
      <c r="L36" s="666"/>
    </row>
    <row r="37" spans="2:12">
      <c r="B37" s="414"/>
      <c r="C37" s="414"/>
      <c r="D37" s="414"/>
      <c r="E37" s="414"/>
      <c r="F37" s="414"/>
      <c r="G37" s="414"/>
      <c r="H37" s="414"/>
      <c r="J37" s="666"/>
      <c r="K37" s="666"/>
      <c r="L37" s="666"/>
    </row>
    <row r="39" spans="2:12">
      <c r="B39" s="349"/>
      <c r="E39" s="225"/>
      <c r="J39" s="48" t="str">
        <f>CONCATENATE("MEDIAN CONTRIBUTIONS IN ",UPPER(REPORTS!$AB$2)," (hm³)")</f>
        <v>MEDIAN CONTRIBUTIONS IN ALTERED FLOW (hm³)</v>
      </c>
    </row>
    <row r="40" spans="2:12">
      <c r="E40" s="225"/>
    </row>
  </sheetData>
  <mergeCells count="28">
    <mergeCell ref="B30:H35"/>
    <mergeCell ref="B14:B16"/>
    <mergeCell ref="C14:E14"/>
    <mergeCell ref="F14:H14"/>
    <mergeCell ref="C15:C16"/>
    <mergeCell ref="D15:D16"/>
    <mergeCell ref="D2:H2"/>
    <mergeCell ref="D3:H3"/>
    <mergeCell ref="T3:U3"/>
    <mergeCell ref="B2:C3"/>
    <mergeCell ref="J30:L37"/>
    <mergeCell ref="L14:L16"/>
    <mergeCell ref="J14:K14"/>
    <mergeCell ref="J15:J16"/>
    <mergeCell ref="K15:K16"/>
    <mergeCell ref="B36:H36"/>
    <mergeCell ref="E15:E16"/>
    <mergeCell ref="F15:F16"/>
    <mergeCell ref="G15:G16"/>
    <mergeCell ref="H15:H16"/>
    <mergeCell ref="B5:D5"/>
    <mergeCell ref="B6:D6"/>
    <mergeCell ref="X3:Y3"/>
    <mergeCell ref="B7:D7"/>
    <mergeCell ref="B8:D8"/>
    <mergeCell ref="B9:D9"/>
    <mergeCell ref="B12:H12"/>
    <mergeCell ref="V3:W3"/>
  </mergeCells>
  <pageMargins left="0.43307086614173229" right="0.35433070866141736" top="0.78740157480314965" bottom="0.98425196850393704" header="0" footer="0"/>
  <pageSetup paperSize="9" scale="89" orientation="portrait"/>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1"/>
  <dimension ref="A1:AA87"/>
  <sheetViews>
    <sheetView showGridLines="0" zoomScale="75" zoomScaleNormal="75" workbookViewId="0">
      <selection activeCell="D3" sqref="D3:H3"/>
    </sheetView>
  </sheetViews>
  <sheetFormatPr baseColWidth="10" defaultRowHeight="12.5"/>
  <cols>
    <col min="1" max="1" width="3.453125" customWidth="1"/>
    <col min="2" max="8" width="14.1796875" customWidth="1"/>
  </cols>
  <sheetData>
    <row r="1" spans="1:27">
      <c r="A1" s="84"/>
      <c r="B1" s="84"/>
      <c r="C1" s="84"/>
      <c r="D1" s="83"/>
      <c r="E1" s="83"/>
      <c r="F1" s="83"/>
      <c r="G1" s="83"/>
      <c r="H1" s="83"/>
      <c r="T1" s="294"/>
      <c r="U1" s="294"/>
      <c r="V1" s="294"/>
      <c r="W1" s="294"/>
      <c r="X1" s="294"/>
      <c r="Y1" s="294"/>
      <c r="Z1" s="294"/>
    </row>
    <row r="2" spans="1:27" ht="18">
      <c r="A2" s="84"/>
      <c r="B2" s="638" t="s">
        <v>274</v>
      </c>
      <c r="C2" s="638"/>
      <c r="D2" s="626" t="str">
        <f>CONCATENATE(UPPER(REPORTS!$AB$1)," Y ",UPPER(REPORTS!$AB$2))</f>
        <v>NATURAL FLOW Y ALTERED FLOW</v>
      </c>
      <c r="E2" s="626"/>
      <c r="F2" s="626"/>
      <c r="G2" s="626"/>
      <c r="H2" s="626"/>
      <c r="L2" t="str">
        <f>UPPER(REPORTS!$AA$1)</f>
        <v>NAT_F</v>
      </c>
      <c r="M2" t="str">
        <f>UPPER(REPORTS!$AA$2)</f>
        <v>ALT_F</v>
      </c>
      <c r="S2" s="48"/>
      <c r="T2" s="48"/>
      <c r="U2" s="48"/>
      <c r="V2" s="48"/>
      <c r="W2" s="48"/>
      <c r="X2" s="48"/>
      <c r="Y2" s="48"/>
      <c r="Z2" s="48"/>
    </row>
    <row r="3" spans="1:27" ht="18">
      <c r="A3" s="84"/>
      <c r="B3" s="673" t="s">
        <v>275</v>
      </c>
      <c r="C3" s="673"/>
      <c r="D3" s="627" t="s">
        <v>230</v>
      </c>
      <c r="E3" s="626"/>
      <c r="F3" s="626"/>
      <c r="G3" s="626"/>
      <c r="H3" s="626"/>
      <c r="S3" s="48"/>
      <c r="T3" s="671" t="s">
        <v>268</v>
      </c>
      <c r="U3" s="671"/>
      <c r="V3" s="671" t="s">
        <v>269</v>
      </c>
      <c r="W3" s="671"/>
      <c r="X3" s="671" t="s">
        <v>270</v>
      </c>
      <c r="Y3" s="671"/>
      <c r="Z3" s="48"/>
      <c r="AA3" s="48"/>
    </row>
    <row r="4" spans="1:27">
      <c r="S4" s="48"/>
      <c r="T4" s="48" t="str">
        <f>UPPER(REPORTS!$AA$2)</f>
        <v>ALT_F</v>
      </c>
      <c r="U4" s="48" t="str">
        <f>UPPER(REPORTS!$AA$1)</f>
        <v>NAT_F</v>
      </c>
      <c r="V4" s="48" t="str">
        <f>UPPER(REPORTS!$AA$2)</f>
        <v>ALT_F</v>
      </c>
      <c r="W4" s="48" t="str">
        <f>UPPER(REPORTS!$AA$1)</f>
        <v>NAT_F</v>
      </c>
      <c r="X4" s="48" t="str">
        <f>UPPER(REPORTS!$AA$2)</f>
        <v>ALT_F</v>
      </c>
      <c r="Y4" s="48" t="str">
        <f>UPPER(REPORTS!$AA$1)</f>
        <v>NAT_F</v>
      </c>
      <c r="Z4" s="48"/>
      <c r="AA4" s="48"/>
    </row>
    <row r="5" spans="1:27" ht="14">
      <c r="B5" s="593" t="s">
        <v>1</v>
      </c>
      <c r="C5" s="593"/>
      <c r="D5" s="593"/>
      <c r="E5" s="33" t="str">
        <f>REPORTS!E7</f>
        <v>Natural Flow (Nat_F)</v>
      </c>
      <c r="S5" s="48"/>
      <c r="T5" s="48"/>
      <c r="U5" s="48"/>
      <c r="V5" s="48"/>
      <c r="W5" s="48"/>
      <c r="X5" s="48"/>
      <c r="Y5" s="48"/>
      <c r="Z5" s="48"/>
      <c r="AA5" s="48"/>
    </row>
    <row r="6" spans="1:27" ht="14">
      <c r="B6" s="593" t="s">
        <v>2</v>
      </c>
      <c r="C6" s="593"/>
      <c r="D6" s="593"/>
      <c r="E6" s="33" t="str">
        <f>REPORTS!E8</f>
        <v>Altered Flow (Alt_F)</v>
      </c>
      <c r="S6" s="48"/>
      <c r="T6" s="48"/>
      <c r="U6" s="48"/>
      <c r="V6" s="48"/>
      <c r="W6" s="48"/>
      <c r="X6" s="48"/>
      <c r="Y6" s="48"/>
      <c r="Z6" s="48"/>
      <c r="AA6" s="48"/>
    </row>
    <row r="7" spans="1:27" ht="14">
      <c r="B7" s="593" t="s">
        <v>3</v>
      </c>
      <c r="C7" s="593"/>
      <c r="D7" s="593"/>
      <c r="E7" s="495" t="s">
        <v>4</v>
      </c>
      <c r="F7" s="293"/>
      <c r="S7" s="48" t="str">
        <f t="shared" ref="S7:S18" si="0">B17</f>
        <v>Jan</v>
      </c>
      <c r="T7" s="206">
        <f t="shared" ref="T7:T18" si="1">C17</f>
        <v>18.099506378173828</v>
      </c>
      <c r="U7" s="206">
        <v>24.42817497253418</v>
      </c>
      <c r="V7" s="206" cm="1">
        <f t="array" ref="V7:V18">D17:D28</f>
        <v>14.37298583984375</v>
      </c>
      <c r="W7" s="206">
        <v>16.12025260925293</v>
      </c>
      <c r="X7" s="206" cm="1">
        <f t="array" ref="X7:X18">E17:E28</f>
        <v>11.507701873779297</v>
      </c>
      <c r="Y7" s="206">
        <v>9.2308025360107422</v>
      </c>
      <c r="Z7" s="48"/>
      <c r="AA7" s="48"/>
    </row>
    <row r="8" spans="1:27" ht="14">
      <c r="B8" s="593"/>
      <c r="C8" s="593"/>
      <c r="D8" s="593"/>
      <c r="E8" s="293"/>
      <c r="F8" s="293"/>
      <c r="S8" s="48" t="str">
        <f t="shared" si="0"/>
        <v>Feb</v>
      </c>
      <c r="T8" s="206">
        <f t="shared" si="1"/>
        <v>13.573872566223145</v>
      </c>
      <c r="U8" s="206">
        <v>27.131587982177734</v>
      </c>
      <c r="V8" s="206">
        <v>12.314159393310547</v>
      </c>
      <c r="W8" s="206">
        <v>16.483436584472656</v>
      </c>
      <c r="X8" s="206">
        <v>9.3760404586791992</v>
      </c>
      <c r="Y8" s="206">
        <v>11.614707946777344</v>
      </c>
      <c r="Z8" s="48"/>
      <c r="AA8" s="48"/>
    </row>
    <row r="9" spans="1:27" ht="14">
      <c r="B9" s="672"/>
      <c r="C9" s="672"/>
      <c r="D9" s="672"/>
      <c r="E9" s="293"/>
      <c r="F9" s="293"/>
      <c r="S9" s="48" t="str">
        <f t="shared" si="0"/>
        <v>Mar</v>
      </c>
      <c r="T9" s="206">
        <f t="shared" si="1"/>
        <v>15.863386154174805</v>
      </c>
      <c r="U9" s="206">
        <v>45.890972137451172</v>
      </c>
      <c r="V9" s="206">
        <v>11.537077903747559</v>
      </c>
      <c r="W9" s="206">
        <v>20.721918106079102</v>
      </c>
      <c r="X9" s="206">
        <v>9.1410341262817383</v>
      </c>
      <c r="Y9" s="206">
        <v>7.7368178367614746</v>
      </c>
      <c r="Z9" s="48"/>
      <c r="AA9" s="48"/>
    </row>
    <row r="10" spans="1:27">
      <c r="F10" s="460"/>
      <c r="S10" s="48" t="str">
        <f t="shared" si="0"/>
        <v>Apr</v>
      </c>
      <c r="T10" s="206">
        <f t="shared" si="1"/>
        <v>15.218755722045898</v>
      </c>
      <c r="U10" s="206">
        <v>60.775581359863281</v>
      </c>
      <c r="V10" s="206">
        <v>13.178936004638672</v>
      </c>
      <c r="W10" s="206">
        <v>20.451919555664063</v>
      </c>
      <c r="X10" s="206">
        <v>10.590134620666504</v>
      </c>
      <c r="Y10" s="206">
        <v>8.3807563781738281</v>
      </c>
      <c r="Z10" s="48"/>
      <c r="AA10" s="48"/>
    </row>
    <row r="11" spans="1:27">
      <c r="S11" s="48" t="str">
        <f t="shared" si="0"/>
        <v>May</v>
      </c>
      <c r="T11" s="206">
        <f t="shared" si="1"/>
        <v>17.46221923828125</v>
      </c>
      <c r="U11" s="206">
        <v>53.288280487060547</v>
      </c>
      <c r="V11" s="206">
        <v>13.49222469329834</v>
      </c>
      <c r="W11" s="206">
        <v>17.111782073974609</v>
      </c>
      <c r="X11" s="206">
        <v>10.689840316772461</v>
      </c>
      <c r="Y11" s="206">
        <v>10.669060707092285</v>
      </c>
      <c r="Z11" s="48"/>
      <c r="AA11" s="48"/>
    </row>
    <row r="12" spans="1:27" ht="18">
      <c r="B12" s="637" t="s">
        <v>156</v>
      </c>
      <c r="C12" s="637"/>
      <c r="D12" s="637"/>
      <c r="E12" s="637"/>
      <c r="F12" s="637"/>
      <c r="G12" s="637"/>
      <c r="H12" s="637"/>
      <c r="S12" s="48" t="str">
        <f t="shared" si="0"/>
        <v>Jun</v>
      </c>
      <c r="T12" s="206">
        <f t="shared" si="1"/>
        <v>6.6775097846984863</v>
      </c>
      <c r="U12" s="206">
        <v>48.993511199951172</v>
      </c>
      <c r="V12" s="206">
        <v>4.8620734214782715</v>
      </c>
      <c r="W12" s="206">
        <v>17.546974182128906</v>
      </c>
      <c r="X12" s="206">
        <v>3.933758020401001</v>
      </c>
      <c r="Y12" s="206">
        <v>12.805473327636719</v>
      </c>
      <c r="Z12" s="48"/>
      <c r="AA12" s="48"/>
    </row>
    <row r="13" spans="1:27">
      <c r="B13" s="83"/>
      <c r="C13" s="83"/>
      <c r="D13" s="83"/>
      <c r="E13" s="83"/>
      <c r="F13" s="83"/>
      <c r="G13" s="83"/>
      <c r="H13" s="83"/>
      <c r="S13" s="48" t="str">
        <f t="shared" si="0"/>
        <v>Jul</v>
      </c>
      <c r="T13" s="206">
        <f t="shared" si="1"/>
        <v>1.5369611978530884</v>
      </c>
      <c r="U13" s="206">
        <v>49.454273223876953</v>
      </c>
      <c r="V13" s="206">
        <v>1.1413267850875854</v>
      </c>
      <c r="W13" s="206">
        <v>24.751743316650391</v>
      </c>
      <c r="X13" s="206">
        <v>0.92626851797103882</v>
      </c>
      <c r="Y13" s="206">
        <v>11.667973518371582</v>
      </c>
      <c r="Z13" s="48"/>
      <c r="AA13" s="48"/>
    </row>
    <row r="14" spans="1:27">
      <c r="B14" s="668" t="str">
        <f>UPPER(REPORTS!$AA$1)</f>
        <v>NAT_F</v>
      </c>
      <c r="C14" s="656" t="s">
        <v>232</v>
      </c>
      <c r="D14" s="657"/>
      <c r="E14" s="658"/>
      <c r="F14" s="659" t="s">
        <v>233</v>
      </c>
      <c r="G14" s="660"/>
      <c r="H14" s="661"/>
      <c r="S14" s="48" t="str">
        <f t="shared" si="0"/>
        <v>Aug</v>
      </c>
      <c r="T14" s="206">
        <f t="shared" si="1"/>
        <v>0.61138373613357544</v>
      </c>
      <c r="U14" s="206">
        <v>58.883071899414063</v>
      </c>
      <c r="V14" s="206">
        <v>0.4883846640586853</v>
      </c>
      <c r="W14" s="206">
        <v>22.501064300537109</v>
      </c>
      <c r="X14" s="206">
        <v>0.4232650101184845</v>
      </c>
      <c r="Y14" s="206">
        <v>9.8713302612304688</v>
      </c>
      <c r="Z14" s="48"/>
      <c r="AA14" s="48"/>
    </row>
    <row r="15" spans="1:27">
      <c r="B15" s="669"/>
      <c r="C15" s="654" t="s">
        <v>162</v>
      </c>
      <c r="D15" s="630" t="s">
        <v>163</v>
      </c>
      <c r="E15" s="635" t="s">
        <v>164</v>
      </c>
      <c r="F15" s="628" t="s">
        <v>162</v>
      </c>
      <c r="G15" s="630" t="s">
        <v>163</v>
      </c>
      <c r="H15" s="635" t="s">
        <v>164</v>
      </c>
      <c r="S15" s="48" t="str">
        <f t="shared" si="0"/>
        <v>Sep</v>
      </c>
      <c r="T15" s="206">
        <f t="shared" si="1"/>
        <v>0.8791201114654541</v>
      </c>
      <c r="U15" s="206">
        <v>37.834087371826172</v>
      </c>
      <c r="V15" s="206">
        <v>0.55524098873138428</v>
      </c>
      <c r="W15" s="206">
        <v>16.900186538696289</v>
      </c>
      <c r="X15" s="206">
        <v>0.37693983316421509</v>
      </c>
      <c r="Y15" s="206">
        <v>8.7720193862915039</v>
      </c>
      <c r="Z15" s="48"/>
      <c r="AA15" s="48"/>
    </row>
    <row r="16" spans="1:27">
      <c r="B16" s="670"/>
      <c r="C16" s="655"/>
      <c r="D16" s="631"/>
      <c r="E16" s="636"/>
      <c r="F16" s="629"/>
      <c r="G16" s="631"/>
      <c r="H16" s="636"/>
      <c r="S16" s="48" t="str">
        <f t="shared" si="0"/>
        <v>Oct</v>
      </c>
      <c r="T16" s="206">
        <f t="shared" si="1"/>
        <v>4.2686614990234375</v>
      </c>
      <c r="U16" s="206">
        <v>26.923063278198242</v>
      </c>
      <c r="V16" s="206">
        <v>2.9164323806762695</v>
      </c>
      <c r="W16" s="206">
        <v>14.895833969116211</v>
      </c>
      <c r="X16" s="206">
        <v>2.1859288215637207</v>
      </c>
      <c r="Y16" s="206">
        <v>7.9460349082946777</v>
      </c>
      <c r="Z16" s="48"/>
      <c r="AA16" s="48"/>
    </row>
    <row r="17" spans="2:27">
      <c r="B17" s="82" t="str">
        <f>'Informe nº2a'!B17</f>
        <v>Jan</v>
      </c>
      <c r="C17" s="112">
        <f>'Informe nº2a'!C17</f>
        <v>18.099506378173828</v>
      </c>
      <c r="D17" s="113">
        <f>'Informe nº2a'!D17</f>
        <v>14.37298583984375</v>
      </c>
      <c r="E17" s="114">
        <f>'Informe nº2a'!E17</f>
        <v>11.507701873779297</v>
      </c>
      <c r="F17" s="112" t="str">
        <f>'Informe nº2a'!F17</f>
        <v/>
      </c>
      <c r="G17" s="113" t="str">
        <f>'Informe nº2a'!G17</f>
        <v/>
      </c>
      <c r="H17" s="114" t="str">
        <f>'Informe nº2a'!H17</f>
        <v/>
      </c>
      <c r="S17" s="48" t="str">
        <f t="shared" si="0"/>
        <v>Nov</v>
      </c>
      <c r="T17" s="206">
        <f t="shared" si="1"/>
        <v>10.988697052001953</v>
      </c>
      <c r="U17" s="206">
        <v>23.848129272460938</v>
      </c>
      <c r="V17" s="206">
        <v>7.0796847343444824</v>
      </c>
      <c r="W17" s="206">
        <v>13.79401969909668</v>
      </c>
      <c r="X17" s="206">
        <v>3.999110221862793</v>
      </c>
      <c r="Y17" s="206">
        <v>6.5255756378173828</v>
      </c>
      <c r="Z17" s="48"/>
      <c r="AA17" s="48"/>
    </row>
    <row r="18" spans="2:27">
      <c r="B18" s="82" t="str">
        <f>'Informe nº2a'!B18</f>
        <v>Feb</v>
      </c>
      <c r="C18" s="115">
        <f>'Informe nº2a'!C18</f>
        <v>13.573872566223145</v>
      </c>
      <c r="D18" s="116">
        <f>'Informe nº2a'!D18</f>
        <v>12.314159393310547</v>
      </c>
      <c r="E18" s="117">
        <f>'Informe nº2a'!E18</f>
        <v>9.3760404586791992</v>
      </c>
      <c r="F18" s="115">
        <f>'Informe nº2a'!F18</f>
        <v>5.6060093698501587</v>
      </c>
      <c r="G18" s="116">
        <f>'Informe nº2a'!G18</f>
        <v>5.0857478294372553</v>
      </c>
      <c r="H18" s="117">
        <f>'Informe nº2a'!H18</f>
        <v>3.8723047094345091</v>
      </c>
      <c r="S18" s="48" t="str">
        <f t="shared" si="0"/>
        <v>Dec</v>
      </c>
      <c r="T18" s="206">
        <f t="shared" si="1"/>
        <v>18.874856948852539</v>
      </c>
      <c r="U18" s="206">
        <v>21.877389907836914</v>
      </c>
      <c r="V18" s="206">
        <v>14.289956092834473</v>
      </c>
      <c r="W18" s="206">
        <v>14.361191749572754</v>
      </c>
      <c r="X18" s="206">
        <v>11.012543678283691</v>
      </c>
      <c r="Y18" s="206">
        <v>6.109344482421875</v>
      </c>
      <c r="Z18" s="48"/>
      <c r="AA18" s="48"/>
    </row>
    <row r="19" spans="2:27">
      <c r="B19" s="82" t="str">
        <f>'Informe nº2a'!B19</f>
        <v>Mar</v>
      </c>
      <c r="C19" s="115">
        <f>'Informe nº2a'!C19</f>
        <v>15.863386154174805</v>
      </c>
      <c r="D19" s="116">
        <f>'Informe nº2a'!D19</f>
        <v>11.537077903747559</v>
      </c>
      <c r="E19" s="117">
        <f>'Informe nº2a'!E19</f>
        <v>9.1410341262817383</v>
      </c>
      <c r="F19" s="115">
        <f>'Informe nº2a'!F19</f>
        <v>5.9170430355072021</v>
      </c>
      <c r="G19" s="116">
        <f>'Informe nº2a'!G19</f>
        <v>4.3033300580978393</v>
      </c>
      <c r="H19" s="117">
        <f>'Informe nº2a'!H19</f>
        <v>3.4096057291030886</v>
      </c>
      <c r="S19" s="48"/>
      <c r="T19" s="48"/>
      <c r="U19" s="48"/>
      <c r="V19" s="48"/>
      <c r="W19" s="48"/>
      <c r="X19" s="48"/>
      <c r="Y19" s="48"/>
      <c r="Z19" s="48"/>
      <c r="AA19" s="48"/>
    </row>
    <row r="20" spans="2:27">
      <c r="B20" s="82" t="str">
        <f>'Informe nº2a'!B20</f>
        <v>Apr</v>
      </c>
      <c r="C20" s="115">
        <f>'Informe nº2a'!C20</f>
        <v>15.218755722045898</v>
      </c>
      <c r="D20" s="116">
        <f>'Informe nº2a'!D20</f>
        <v>13.178936004638672</v>
      </c>
      <c r="E20" s="117">
        <f>'Informe nº2a'!E20</f>
        <v>10.590134620666504</v>
      </c>
      <c r="F20" s="115" t="str">
        <f>'Informe nº2a'!F20</f>
        <v/>
      </c>
      <c r="G20" s="116" t="str">
        <f>'Informe nº2a'!G20</f>
        <v/>
      </c>
      <c r="H20" s="117" t="str">
        <f>'Informe nº2a'!H20</f>
        <v/>
      </c>
      <c r="S20" s="48"/>
      <c r="T20" s="294"/>
      <c r="U20" s="294"/>
      <c r="V20" s="294"/>
      <c r="W20" s="294"/>
      <c r="X20" s="294"/>
      <c r="Y20" s="294"/>
      <c r="Z20" s="294"/>
      <c r="AA20" s="48"/>
    </row>
    <row r="21" spans="2:27">
      <c r="B21" s="82" t="str">
        <f>'Informe nº2a'!B21</f>
        <v>May</v>
      </c>
      <c r="C21" s="115">
        <f>'Informe nº2a'!C21</f>
        <v>17.46221923828125</v>
      </c>
      <c r="D21" s="116">
        <f>'Informe nº2a'!D21</f>
        <v>13.49222469329834</v>
      </c>
      <c r="E21" s="117">
        <f>'Informe nº2a'!E21</f>
        <v>10.689840316772461</v>
      </c>
      <c r="F21" s="115">
        <f>'Informe nº2a'!F21</f>
        <v>6.513407775878906</v>
      </c>
      <c r="G21" s="116">
        <f>'Informe nº2a'!G21</f>
        <v>5.0325998106002805</v>
      </c>
      <c r="H21" s="117">
        <f>'Informe nº2a'!H21</f>
        <v>3.9873104381561277</v>
      </c>
      <c r="T21" s="294"/>
      <c r="U21" s="294"/>
      <c r="V21" s="294"/>
      <c r="W21" s="294"/>
      <c r="X21" s="294"/>
      <c r="Y21" s="294"/>
      <c r="Z21" s="294"/>
      <c r="AA21" s="48"/>
    </row>
    <row r="22" spans="2:27">
      <c r="B22" s="82" t="str">
        <f>'Informe nº2a'!B22</f>
        <v>Jun</v>
      </c>
      <c r="C22" s="115">
        <f>'Informe nº2a'!C22</f>
        <v>6.6775097846984863</v>
      </c>
      <c r="D22" s="116">
        <f>'Informe nº2a'!D22</f>
        <v>4.8620734214782715</v>
      </c>
      <c r="E22" s="117">
        <f>'Informe nº2a'!E22</f>
        <v>3.933758020401001</v>
      </c>
      <c r="F22" s="115">
        <f>'Informe nº2a'!F22</f>
        <v>2.5775187768936156</v>
      </c>
      <c r="G22" s="116">
        <f>'Informe nº2a'!G22</f>
        <v>1.8767603406906128</v>
      </c>
      <c r="H22" s="117">
        <f>'Informe nº2a'!H22</f>
        <v>1.5184305958747863</v>
      </c>
      <c r="T22" s="294"/>
      <c r="U22" s="294"/>
      <c r="V22" s="294"/>
      <c r="W22" s="294"/>
      <c r="X22" s="294"/>
      <c r="Y22" s="294"/>
      <c r="Z22" s="294"/>
      <c r="AA22" s="48"/>
    </row>
    <row r="23" spans="2:27">
      <c r="B23" s="82" t="str">
        <f>'Informe nº2a'!B23</f>
        <v>Jul</v>
      </c>
      <c r="C23" s="115">
        <f>'Informe nº2a'!C23</f>
        <v>1.5369611978530884</v>
      </c>
      <c r="D23" s="116">
        <f>'Informe nº2a'!D23</f>
        <v>1.1413267850875854</v>
      </c>
      <c r="E23" s="117">
        <f>'Informe nº2a'!E23</f>
        <v>0.92626851797103882</v>
      </c>
      <c r="F23" s="115">
        <f>'Informe nº2a'!F23</f>
        <v>0.573286526799202</v>
      </c>
      <c r="G23" s="116">
        <f>'Informe nº2a'!G23</f>
        <v>0.42571489083766939</v>
      </c>
      <c r="H23" s="117">
        <f>'Informe nº2a'!H23</f>
        <v>0.34549815720319749</v>
      </c>
      <c r="T23" s="294"/>
      <c r="U23" s="294"/>
      <c r="V23" s="294"/>
      <c r="W23" s="294"/>
      <c r="X23" s="294"/>
      <c r="Y23" s="294"/>
      <c r="Z23" s="294"/>
      <c r="AA23" s="48"/>
    </row>
    <row r="24" spans="2:27">
      <c r="B24" s="82" t="str">
        <f>'Informe nº2a'!B24</f>
        <v>Aug</v>
      </c>
      <c r="C24" s="115">
        <f>'Informe nº2a'!C24</f>
        <v>0.61138373613357544</v>
      </c>
      <c r="D24" s="116">
        <f>'Informe nº2a'!D24</f>
        <v>0.4883846640586853</v>
      </c>
      <c r="E24" s="117">
        <f>'Informe nº2a'!E24</f>
        <v>0.4232650101184845</v>
      </c>
      <c r="F24" s="115" t="str">
        <f>'Informe nº2a'!F24</f>
        <v/>
      </c>
      <c r="G24" s="116" t="str">
        <f>'Informe nº2a'!G24</f>
        <v/>
      </c>
      <c r="H24" s="117" t="str">
        <f>'Informe nº2a'!H24</f>
        <v/>
      </c>
      <c r="T24" s="294"/>
      <c r="U24" s="294"/>
      <c r="V24" s="294"/>
      <c r="W24" s="294"/>
      <c r="X24" s="294"/>
      <c r="Y24" s="294"/>
      <c r="Z24" s="294"/>
      <c r="AA24" s="48"/>
    </row>
    <row r="25" spans="2:27">
      <c r="B25" s="82" t="str">
        <f>'Informe nº2a'!B25</f>
        <v>Sep</v>
      </c>
      <c r="C25" s="115">
        <f>'Informe nº2a'!C25</f>
        <v>0.8791201114654541</v>
      </c>
      <c r="D25" s="116">
        <f>'Informe nº2a'!D25</f>
        <v>0.55524098873138428</v>
      </c>
      <c r="E25" s="117">
        <f>'Informe nº2a'!E25</f>
        <v>0.37693983316421509</v>
      </c>
      <c r="F25" s="115">
        <f>'Informe nº2a'!F25</f>
        <v>0.33934036302566528</v>
      </c>
      <c r="G25" s="116">
        <f>'Informe nº2a'!G25</f>
        <v>0.21432302165031433</v>
      </c>
      <c r="H25" s="117">
        <f>'Informe nº2a'!H25</f>
        <v>0.14549877560138702</v>
      </c>
      <c r="T25" s="294"/>
      <c r="U25" s="294"/>
      <c r="V25" s="294"/>
      <c r="W25" s="294"/>
      <c r="X25" s="294"/>
      <c r="Y25" s="294"/>
      <c r="Z25" s="294"/>
      <c r="AA25" s="48"/>
    </row>
    <row r="26" spans="2:27">
      <c r="B26" s="82" t="str">
        <f>'Informe nº2a'!B26</f>
        <v>Oct</v>
      </c>
      <c r="C26" s="115">
        <f>'Informe nº2a'!C26</f>
        <v>4.2686614990234375</v>
      </c>
      <c r="D26" s="116">
        <f>'Informe nº2a'!D26</f>
        <v>2.9164323806762695</v>
      </c>
      <c r="E26" s="117">
        <f>'Informe nº2a'!E26</f>
        <v>2.1859288215637207</v>
      </c>
      <c r="F26" s="115">
        <f>'Informe nº2a'!F26</f>
        <v>1.5922107391357421</v>
      </c>
      <c r="G26" s="116">
        <f>'Informe nº2a'!G26</f>
        <v>1.0878292779922485</v>
      </c>
      <c r="H26" s="117">
        <f>'Informe nº2a'!H26</f>
        <v>0.81535145044326784</v>
      </c>
      <c r="T26" s="294"/>
      <c r="U26" s="294"/>
      <c r="V26" s="294"/>
      <c r="W26" s="294"/>
      <c r="X26" s="294"/>
      <c r="Y26" s="294"/>
      <c r="Z26" s="294"/>
      <c r="AA26" s="48"/>
    </row>
    <row r="27" spans="2:27">
      <c r="B27" s="82" t="str">
        <f>'Informe nº2a'!B27</f>
        <v>Nov</v>
      </c>
      <c r="C27" s="115">
        <f>'Informe nº2a'!C27</f>
        <v>10.988697052001953</v>
      </c>
      <c r="D27" s="116">
        <f>'Informe nº2a'!D27</f>
        <v>7.0796847343444824</v>
      </c>
      <c r="E27" s="117">
        <f>'Informe nº2a'!E27</f>
        <v>3.999110221862793</v>
      </c>
      <c r="F27" s="115">
        <f>'Informe nº2a'!F27</f>
        <v>4.2416370620727539</v>
      </c>
      <c r="G27" s="116">
        <f>'Informe nº2a'!G27</f>
        <v>2.7327583074569701</v>
      </c>
      <c r="H27" s="117">
        <f>'Informe nº2a'!H27</f>
        <v>1.5436565456390381</v>
      </c>
      <c r="T27" s="294"/>
      <c r="U27" s="294"/>
      <c r="V27" s="294"/>
      <c r="W27" s="294"/>
      <c r="X27" s="294"/>
      <c r="Y27" s="294"/>
      <c r="Z27" s="294"/>
      <c r="AA27" s="48"/>
    </row>
    <row r="28" spans="2:27">
      <c r="B28" s="111" t="str">
        <f>'Informe nº2a'!B28</f>
        <v>Dec</v>
      </c>
      <c r="C28" s="118">
        <f>'Informe nº2a'!C28</f>
        <v>18.874856948852539</v>
      </c>
      <c r="D28" s="119">
        <f>'Informe nº2a'!D28</f>
        <v>14.289956092834473</v>
      </c>
      <c r="E28" s="120">
        <f>'Informe nº2a'!E28</f>
        <v>11.012543678283691</v>
      </c>
      <c r="F28" s="118" t="str">
        <f>'Informe nº2a'!F28</f>
        <v/>
      </c>
      <c r="G28" s="119" t="str">
        <f>'Informe nº2a'!G28</f>
        <v/>
      </c>
      <c r="H28" s="120" t="str">
        <f>'Informe nº2a'!H28</f>
        <v/>
      </c>
      <c r="T28" s="294"/>
      <c r="U28" s="294"/>
      <c r="V28" s="294"/>
      <c r="W28" s="294"/>
      <c r="X28" s="294"/>
      <c r="Y28" s="294"/>
      <c r="Z28" s="294"/>
      <c r="AA28" s="48"/>
    </row>
    <row r="29" spans="2:27">
      <c r="T29" s="294"/>
      <c r="U29" s="294"/>
      <c r="V29" s="294"/>
      <c r="W29" s="294"/>
      <c r="X29" s="294"/>
      <c r="Y29" s="294"/>
      <c r="Z29" s="294"/>
      <c r="AA29" s="48"/>
    </row>
    <row r="30" spans="2:27">
      <c r="T30" s="294"/>
      <c r="U30" s="294"/>
      <c r="V30" s="294"/>
      <c r="W30" s="294"/>
      <c r="X30" s="294"/>
      <c r="Y30" s="294"/>
      <c r="Z30" s="294"/>
      <c r="AA30" s="48"/>
    </row>
    <row r="31" spans="2:27">
      <c r="T31" s="294"/>
      <c r="U31" s="294"/>
      <c r="V31" s="294"/>
      <c r="W31" s="294"/>
      <c r="X31" s="294"/>
      <c r="Y31" s="294"/>
      <c r="Z31" s="294"/>
      <c r="AA31" s="48"/>
    </row>
    <row r="32" spans="2:27">
      <c r="B32" s="668" t="str">
        <f>UPPER(REPORTS!$AA$2)</f>
        <v>ALT_F</v>
      </c>
      <c r="C32" s="656" t="s">
        <v>232</v>
      </c>
      <c r="D32" s="657"/>
      <c r="E32" s="658"/>
      <c r="F32" s="659" t="s">
        <v>233</v>
      </c>
      <c r="G32" s="660"/>
      <c r="H32" s="661"/>
      <c r="T32" s="294"/>
      <c r="U32" s="294"/>
      <c r="V32" s="294"/>
      <c r="W32" s="294"/>
      <c r="X32" s="294"/>
      <c r="Y32" s="294"/>
      <c r="Z32" s="294"/>
      <c r="AA32" s="48"/>
    </row>
    <row r="33" spans="2:27">
      <c r="B33" s="669"/>
      <c r="C33" s="654" t="s">
        <v>162</v>
      </c>
      <c r="D33" s="630" t="s">
        <v>163</v>
      </c>
      <c r="E33" s="635" t="s">
        <v>164</v>
      </c>
      <c r="F33" s="628" t="s">
        <v>162</v>
      </c>
      <c r="G33" s="630" t="s">
        <v>163</v>
      </c>
      <c r="H33" s="635" t="s">
        <v>164</v>
      </c>
      <c r="T33" s="294"/>
      <c r="U33" s="294"/>
      <c r="V33" s="294"/>
      <c r="W33" s="294"/>
      <c r="X33" s="294"/>
      <c r="Y33" s="294"/>
      <c r="Z33" s="294"/>
      <c r="AA33" s="48"/>
    </row>
    <row r="34" spans="2:27">
      <c r="B34" s="670"/>
      <c r="C34" s="655"/>
      <c r="D34" s="631"/>
      <c r="E34" s="636"/>
      <c r="F34" s="629"/>
      <c r="G34" s="631"/>
      <c r="H34" s="636"/>
      <c r="T34" s="294"/>
      <c r="U34" s="294"/>
      <c r="V34" s="294"/>
      <c r="W34" s="294"/>
      <c r="X34" s="294"/>
      <c r="Y34" s="294"/>
      <c r="Z34" s="294"/>
      <c r="AA34" s="48"/>
    </row>
    <row r="35" spans="2:27">
      <c r="B35" s="82" t="str">
        <f>'Informe nº3a'!B17</f>
        <v>Jan</v>
      </c>
      <c r="C35" s="316">
        <f>'Informe nº3a'!C17</f>
        <v>14.778029441833496</v>
      </c>
      <c r="D35" s="317">
        <f>'Informe nº3a'!D17</f>
        <v>11.134283065795898</v>
      </c>
      <c r="E35" s="318">
        <f>'Informe nº3a'!E17</f>
        <v>6.6452136039733887</v>
      </c>
      <c r="F35" s="316" t="str">
        <f>'Informe nº3a'!F17</f>
        <v/>
      </c>
      <c r="G35" s="317" t="str">
        <f>'Informe nº3a'!G17</f>
        <v/>
      </c>
      <c r="H35" s="318" t="str">
        <f>'Informe nº3a'!H17</f>
        <v/>
      </c>
      <c r="T35" s="294"/>
      <c r="U35" s="294"/>
      <c r="V35" s="294"/>
      <c r="W35" s="294"/>
      <c r="X35" s="294"/>
      <c r="Y35" s="294"/>
      <c r="Z35" s="294"/>
      <c r="AA35" s="48"/>
    </row>
    <row r="36" spans="2:27">
      <c r="B36" s="82" t="str">
        <f>'Informe nº3a'!B18</f>
        <v>Feb</v>
      </c>
      <c r="C36" s="319">
        <f>'Informe nº3a'!C18</f>
        <v>15.621118545532227</v>
      </c>
      <c r="D36" s="320">
        <f>'Informe nº3a'!D18</f>
        <v>10.854950904846191</v>
      </c>
      <c r="E36" s="321">
        <f>'Informe nº3a'!E18</f>
        <v>8.7422113418579102</v>
      </c>
      <c r="F36" s="319">
        <f>'Informe nº3a'!F18</f>
        <v>6.4515219593048094</v>
      </c>
      <c r="G36" s="320">
        <f>'Informe nº3a'!G18</f>
        <v>4.4830947237014769</v>
      </c>
      <c r="H36" s="321">
        <f>'Informe nº3a'!H18</f>
        <v>3.6105332841873166</v>
      </c>
      <c r="T36" s="294"/>
      <c r="U36" s="294"/>
      <c r="V36" s="294"/>
      <c r="W36" s="294"/>
      <c r="X36" s="294"/>
      <c r="Y36" s="294"/>
      <c r="Z36" s="294"/>
      <c r="AA36" s="48"/>
    </row>
    <row r="37" spans="2:27">
      <c r="B37" s="82" t="str">
        <f>'Informe nº3a'!B19</f>
        <v>Mar</v>
      </c>
      <c r="C37" s="319">
        <f>'Informe nº3a'!C19</f>
        <v>12.376887321472168</v>
      </c>
      <c r="D37" s="320">
        <f>'Informe nº3a'!D19</f>
        <v>9.3216094970703125</v>
      </c>
      <c r="E37" s="321">
        <f>'Informe nº3a'!E19</f>
        <v>6.0758213996887207</v>
      </c>
      <c r="F37" s="319">
        <f>'Informe nº3a'!F19</f>
        <v>4.616578970909119</v>
      </c>
      <c r="G37" s="320">
        <f>'Informe nº3a'!G19</f>
        <v>3.4769603424072266</v>
      </c>
      <c r="H37" s="321">
        <f>'Informe nº3a'!H19</f>
        <v>2.2662813820838927</v>
      </c>
      <c r="T37" s="294"/>
      <c r="U37" s="294"/>
      <c r="V37" s="294"/>
      <c r="W37" s="294"/>
      <c r="X37" s="294"/>
      <c r="Y37" s="294"/>
      <c r="Z37" s="294"/>
      <c r="AA37" s="48"/>
    </row>
    <row r="38" spans="2:27">
      <c r="B38" s="82" t="str">
        <f>'Informe nº3a'!B20</f>
        <v>Apr</v>
      </c>
      <c r="C38" s="319">
        <f>'Informe nº3a'!C20</f>
        <v>8.3007078170776367</v>
      </c>
      <c r="D38" s="320">
        <f>'Informe nº3a'!D20</f>
        <v>6.4912319183349609</v>
      </c>
      <c r="E38" s="321">
        <f>'Informe nº3a'!E20</f>
        <v>3.5284464359283447</v>
      </c>
      <c r="F38" s="319" t="str">
        <f>'Informe nº3a'!F20</f>
        <v/>
      </c>
      <c r="G38" s="320" t="str">
        <f>'Informe nº3a'!G20</f>
        <v/>
      </c>
      <c r="H38" s="321" t="str">
        <f>'Informe nº3a'!H20</f>
        <v/>
      </c>
      <c r="T38" s="294"/>
      <c r="U38" s="294"/>
      <c r="V38" s="294"/>
      <c r="W38" s="294"/>
      <c r="X38" s="294"/>
      <c r="Y38" s="294"/>
      <c r="Z38" s="294"/>
      <c r="AA38" s="48"/>
    </row>
    <row r="39" spans="2:27">
      <c r="B39" s="82" t="str">
        <f>'Informe nº3a'!B21</f>
        <v>May</v>
      </c>
      <c r="C39" s="319">
        <f>'Informe nº3a'!C21</f>
        <v>5.1668405532836914</v>
      </c>
      <c r="D39" s="320">
        <f>'Informe nº3a'!D21</f>
        <v>3.027153491973877</v>
      </c>
      <c r="E39" s="321">
        <f>'Informe nº3a'!E21</f>
        <v>1.6329257488250732</v>
      </c>
      <c r="F39" s="319">
        <f>'Informe nº3a'!F21</f>
        <v>1.927231526374817</v>
      </c>
      <c r="G39" s="320">
        <f>'Informe nº3a'!G21</f>
        <v>1.129128252506256</v>
      </c>
      <c r="H39" s="321">
        <f>'Informe nº3a'!H21</f>
        <v>0.60908130431175234</v>
      </c>
      <c r="T39" s="294"/>
      <c r="U39" s="294"/>
      <c r="V39" s="294"/>
      <c r="W39" s="294"/>
      <c r="X39" s="294"/>
      <c r="Y39" s="294"/>
      <c r="Z39" s="294"/>
      <c r="AA39" s="48"/>
    </row>
    <row r="40" spans="2:27">
      <c r="B40" s="82" t="str">
        <f>'Informe nº3a'!B22</f>
        <v>Jun</v>
      </c>
      <c r="C40" s="319">
        <f>'Informe nº3a'!C22</f>
        <v>0.95200705528259277</v>
      </c>
      <c r="D40" s="320">
        <f>'Informe nº3a'!D22</f>
        <v>0.640647292137146</v>
      </c>
      <c r="E40" s="321">
        <f>'Informe nº3a'!E22</f>
        <v>0.4144693911075592</v>
      </c>
      <c r="F40" s="319">
        <f>'Informe nº3a'!F22</f>
        <v>0.36747472333908082</v>
      </c>
      <c r="G40" s="320">
        <f>'Informe nº3a'!G22</f>
        <v>0.24728985476493837</v>
      </c>
      <c r="H40" s="321">
        <f>'Informe nº3a'!H22</f>
        <v>0.15998518496751785</v>
      </c>
      <c r="T40" s="294"/>
      <c r="U40" s="294"/>
      <c r="V40" s="294"/>
      <c r="W40" s="294"/>
      <c r="X40" s="294"/>
      <c r="Y40" s="294"/>
      <c r="Z40" s="294"/>
      <c r="AA40" s="48"/>
    </row>
    <row r="41" spans="2:27">
      <c r="B41" s="82" t="str">
        <f>'Informe nº3a'!B23</f>
        <v>Jul</v>
      </c>
      <c r="C41" s="319">
        <f>'Informe nº3a'!C23</f>
        <v>0.3779049813747406</v>
      </c>
      <c r="D41" s="320">
        <f>'Informe nº3a'!D23</f>
        <v>0.32523810863494873</v>
      </c>
      <c r="E41" s="321">
        <f>'Informe nº3a'!E23</f>
        <v>0.21630929410457611</v>
      </c>
      <c r="F41" s="319">
        <f>'Informe nº3a'!F23</f>
        <v>0.14095855805277824</v>
      </c>
      <c r="G41" s="320">
        <f>'Informe nº3a'!G23</f>
        <v>0.12131381452083588</v>
      </c>
      <c r="H41" s="321">
        <f>'Informe nº3a'!H23</f>
        <v>8.0683366701006884E-2</v>
      </c>
      <c r="T41" s="294"/>
      <c r="U41" s="294"/>
      <c r="V41" s="294"/>
      <c r="W41" s="294"/>
      <c r="X41" s="294"/>
      <c r="Y41" s="294"/>
      <c r="Z41" s="294"/>
      <c r="AA41" s="48"/>
    </row>
    <row r="42" spans="2:27">
      <c r="B42" s="82" t="str">
        <f>'Informe nº3a'!B24</f>
        <v>Aug</v>
      </c>
      <c r="C42" s="319">
        <f>'Informe nº3a'!C24</f>
        <v>0.23978069424629211</v>
      </c>
      <c r="D42" s="320">
        <f>'Informe nº3a'!D24</f>
        <v>0.19344787299633026</v>
      </c>
      <c r="E42" s="321">
        <f>'Informe nº3a'!E24</f>
        <v>0.15357428789138794</v>
      </c>
      <c r="F42" s="319" t="str">
        <f>'Informe nº3a'!F24</f>
        <v/>
      </c>
      <c r="G42" s="320" t="str">
        <f>'Informe nº3a'!G24</f>
        <v/>
      </c>
      <c r="H42" s="321" t="str">
        <f>'Informe nº3a'!H24</f>
        <v/>
      </c>
      <c r="T42" s="294"/>
      <c r="U42" s="294"/>
      <c r="V42" s="294"/>
      <c r="W42" s="294"/>
      <c r="X42" s="294"/>
      <c r="Y42" s="294"/>
      <c r="Z42" s="294"/>
      <c r="AA42" s="48"/>
    </row>
    <row r="43" spans="2:27">
      <c r="B43" s="82" t="str">
        <f>'Informe nº3a'!B25</f>
        <v>Sep</v>
      </c>
      <c r="C43" s="319">
        <f>'Informe nº3a'!C25</f>
        <v>0.2156284898519516</v>
      </c>
      <c r="D43" s="320">
        <f>'Informe nº3a'!D25</f>
        <v>0.1700049489736557</v>
      </c>
      <c r="E43" s="321">
        <f>'Informe nº3a'!E25</f>
        <v>0.14149037003517151</v>
      </c>
      <c r="F43" s="319">
        <f>'Informe nº3a'!F25</f>
        <v>8.3232597082853313E-2</v>
      </c>
      <c r="G43" s="320">
        <f>'Informe nº3a'!G25</f>
        <v>6.5621910303831105E-2</v>
      </c>
      <c r="H43" s="321">
        <f>'Informe nº3a'!H25</f>
        <v>5.4615282833576202E-2</v>
      </c>
      <c r="T43" s="294"/>
      <c r="U43" s="294"/>
      <c r="V43" s="294"/>
      <c r="W43" s="294"/>
      <c r="X43" s="294"/>
      <c r="Y43" s="294"/>
      <c r="Z43" s="294"/>
      <c r="AA43" s="48"/>
    </row>
    <row r="44" spans="2:27">
      <c r="B44" s="82" t="str">
        <f>'Informe nº3a'!B26</f>
        <v>Oct</v>
      </c>
      <c r="C44" s="319">
        <f>'Informe nº3a'!C26</f>
        <v>2.0616016387939453</v>
      </c>
      <c r="D44" s="320">
        <f>'Informe nº3a'!D26</f>
        <v>0.7970806360244751</v>
      </c>
      <c r="E44" s="321">
        <f>'Informe nº3a'!E26</f>
        <v>0.46813070774078369</v>
      </c>
      <c r="F44" s="319">
        <f>'Informe nº3a'!F26</f>
        <v>0.76897741127014163</v>
      </c>
      <c r="G44" s="320">
        <f>'Informe nº3a'!G26</f>
        <v>0.29731107723712918</v>
      </c>
      <c r="H44" s="321">
        <f>'Informe nº3a'!H26</f>
        <v>0.17461275398731232</v>
      </c>
      <c r="T44" s="294"/>
      <c r="U44" s="294"/>
      <c r="V44" s="294"/>
      <c r="W44" s="294"/>
      <c r="X44" s="294"/>
      <c r="Y44" s="294"/>
      <c r="Z44" s="294"/>
    </row>
    <row r="45" spans="2:27">
      <c r="B45" s="82" t="str">
        <f>'Informe nº3a'!B27</f>
        <v>Nov</v>
      </c>
      <c r="C45" s="319">
        <f>'Informe nº3a'!C27</f>
        <v>4.9483094215393066</v>
      </c>
      <c r="D45" s="320">
        <f>'Informe nº3a'!D27</f>
        <v>3.5252237319946289</v>
      </c>
      <c r="E45" s="321">
        <f>'Informe nº3a'!E27</f>
        <v>2.7863051891326904</v>
      </c>
      <c r="F45" s="319">
        <f>'Informe nº3a'!F27</f>
        <v>1.9100474367141724</v>
      </c>
      <c r="G45" s="320">
        <f>'Informe nº3a'!G27</f>
        <v>1.3607363605499267</v>
      </c>
      <c r="H45" s="321">
        <f>'Informe nº3a'!H27</f>
        <v>1.0755138030052185</v>
      </c>
      <c r="T45" s="294"/>
      <c r="U45" s="294"/>
      <c r="V45" s="294"/>
      <c r="W45" s="294"/>
      <c r="X45" s="294"/>
      <c r="Y45" s="294"/>
      <c r="Z45" s="294"/>
    </row>
    <row r="46" spans="2:27">
      <c r="B46" s="121" t="str">
        <f>'Informe nº3a'!B28</f>
        <v>Dec</v>
      </c>
      <c r="C46" s="322">
        <f>'Informe nº3a'!C28</f>
        <v>9.3898658752441406</v>
      </c>
      <c r="D46" s="323">
        <f>'Informe nº3a'!D28</f>
        <v>6.6811389923095703</v>
      </c>
      <c r="E46" s="324">
        <f>'Informe nº3a'!E28</f>
        <v>4.6937408447265625</v>
      </c>
      <c r="F46" s="322" t="str">
        <f>'Informe nº3a'!F28</f>
        <v/>
      </c>
      <c r="G46" s="323" t="str">
        <f>'Informe nº3a'!G28</f>
        <v/>
      </c>
      <c r="H46" s="324" t="str">
        <f>'Informe nº3a'!H28</f>
        <v/>
      </c>
      <c r="T46" s="294"/>
      <c r="U46" s="294"/>
      <c r="V46" s="294"/>
      <c r="W46" s="294"/>
      <c r="X46" s="294"/>
      <c r="Y46" s="294"/>
      <c r="Z46" s="294"/>
    </row>
    <row r="47" spans="2:27">
      <c r="T47" s="294"/>
      <c r="U47" s="294"/>
      <c r="V47" s="294"/>
      <c r="W47" s="294"/>
      <c r="X47" s="294"/>
      <c r="Y47" s="294"/>
      <c r="Z47" s="294"/>
    </row>
    <row r="48" spans="2:27">
      <c r="T48" s="294"/>
      <c r="U48" s="294"/>
      <c r="V48" s="294"/>
      <c r="W48" s="294"/>
      <c r="X48" s="294"/>
      <c r="Y48" s="294"/>
      <c r="Z48" s="294"/>
    </row>
    <row r="49" spans="2:26">
      <c r="T49" s="294"/>
      <c r="U49" s="294"/>
      <c r="V49" s="294"/>
      <c r="W49" s="294"/>
      <c r="X49" s="294"/>
      <c r="Y49" s="294"/>
      <c r="Z49" s="294"/>
    </row>
    <row r="50" spans="2:26">
      <c r="B50" s="668" t="str">
        <f>UPPER(REPORTS!$AA$2)</f>
        <v>ALT_F</v>
      </c>
      <c r="C50" s="674" t="str">
        <f>CONCATENATE("% ",REPORTS!$AA$2,"/",REPORTS!$AA$1," in MEDIAN CONTRIBUTIONS" )</f>
        <v>% Alt_F/Nat_F in MEDIAN CONTRIBUTIONS</v>
      </c>
      <c r="D50" s="675"/>
      <c r="E50" s="676"/>
      <c r="F50" s="677"/>
      <c r="G50" s="678"/>
      <c r="H50" s="678"/>
      <c r="T50" s="294"/>
      <c r="U50" s="294"/>
      <c r="V50" s="294"/>
      <c r="W50" s="294"/>
      <c r="X50" s="294"/>
      <c r="Y50" s="294"/>
      <c r="Z50" s="294"/>
    </row>
    <row r="51" spans="2:26">
      <c r="B51" s="669"/>
      <c r="C51" s="654" t="s">
        <v>162</v>
      </c>
      <c r="D51" s="630" t="s">
        <v>163</v>
      </c>
      <c r="E51" s="635" t="s">
        <v>164</v>
      </c>
      <c r="F51" s="679"/>
      <c r="G51" s="680"/>
      <c r="H51" s="681"/>
      <c r="I51" s="48"/>
      <c r="J51" s="48"/>
      <c r="T51" s="294"/>
      <c r="U51" s="294"/>
      <c r="V51" s="294"/>
      <c r="W51" s="294"/>
      <c r="X51" s="294"/>
      <c r="Y51" s="294"/>
      <c r="Z51" s="294"/>
    </row>
    <row r="52" spans="2:26">
      <c r="B52" s="670"/>
      <c r="C52" s="655"/>
      <c r="D52" s="631"/>
      <c r="E52" s="636"/>
      <c r="F52" s="679"/>
      <c r="G52" s="680"/>
      <c r="H52" s="681"/>
      <c r="I52" s="48" t="str">
        <f>CONCATENATE("no change from ",REPORTS!$AA$1)</f>
        <v>no change from Nat_F</v>
      </c>
      <c r="J52" s="48"/>
      <c r="T52" s="294"/>
      <c r="U52" s="294"/>
      <c r="V52" s="294"/>
      <c r="W52" s="294"/>
      <c r="X52" s="294"/>
      <c r="Y52" s="294"/>
      <c r="Z52" s="294"/>
    </row>
    <row r="53" spans="2:26">
      <c r="B53" s="82" t="str">
        <f>'Informe nº3a'!B17</f>
        <v>Jan</v>
      </c>
      <c r="C53" s="420">
        <f>IFERROR((C35/C17)*100,"*")</f>
        <v>81.648798221670305</v>
      </c>
      <c r="D53" s="420">
        <f t="shared" ref="D53:E53" si="2">IFERROR((D35/D17)*100,"*")</f>
        <v>77.466736486515174</v>
      </c>
      <c r="E53" s="506">
        <f t="shared" si="2"/>
        <v>57.745792138695748</v>
      </c>
      <c r="F53" s="428"/>
      <c r="G53" s="428"/>
      <c r="H53" s="439"/>
      <c r="I53" s="48">
        <v>100</v>
      </c>
      <c r="J53" s="48"/>
      <c r="T53" s="294"/>
      <c r="U53" s="294"/>
      <c r="V53" s="294"/>
      <c r="W53" s="294"/>
      <c r="X53" s="294"/>
      <c r="Y53" s="294"/>
      <c r="Z53" s="294"/>
    </row>
    <row r="54" spans="2:26">
      <c r="B54" s="82" t="str">
        <f>'Informe nº3a'!B18</f>
        <v>Feb</v>
      </c>
      <c r="C54" s="420">
        <f t="shared" ref="C54:E64" si="3">IFERROR((C36/C18)*100,"*")</f>
        <v>115.08225430378205</v>
      </c>
      <c r="D54" s="420">
        <f t="shared" si="3"/>
        <v>88.150157539319778</v>
      </c>
      <c r="E54" s="506">
        <f t="shared" si="3"/>
        <v>93.239906337706046</v>
      </c>
      <c r="F54" s="428"/>
      <c r="G54" s="428"/>
      <c r="H54" s="439"/>
      <c r="I54" s="48">
        <v>100</v>
      </c>
      <c r="J54" s="48"/>
      <c r="T54" s="294"/>
      <c r="U54" s="294"/>
      <c r="V54" s="294"/>
      <c r="W54" s="294"/>
      <c r="X54" s="294"/>
      <c r="Y54" s="294"/>
      <c r="Z54" s="294"/>
    </row>
    <row r="55" spans="2:26">
      <c r="B55" s="82" t="str">
        <f>'Informe nº3a'!B19</f>
        <v>Mar</v>
      </c>
      <c r="C55" s="420">
        <f t="shared" si="3"/>
        <v>78.021723742852416</v>
      </c>
      <c r="D55" s="420">
        <f t="shared" si="3"/>
        <v>80.796971077419869</v>
      </c>
      <c r="E55" s="506">
        <f t="shared" si="3"/>
        <v>66.467549685870807</v>
      </c>
      <c r="F55" s="428"/>
      <c r="G55" s="428"/>
      <c r="H55" s="439"/>
      <c r="I55" s="48">
        <v>100</v>
      </c>
      <c r="J55" s="48"/>
      <c r="T55" s="294"/>
      <c r="U55" s="294"/>
      <c r="V55" s="294"/>
      <c r="W55" s="294"/>
      <c r="X55" s="294"/>
      <c r="Y55" s="294"/>
      <c r="Z55" s="294"/>
    </row>
    <row r="56" spans="2:26">
      <c r="B56" s="82" t="str">
        <f>'Informe nº3a'!B20</f>
        <v>Apr</v>
      </c>
      <c r="C56" s="420">
        <f t="shared" si="3"/>
        <v>54.54261812648209</v>
      </c>
      <c r="D56" s="420">
        <f t="shared" si="3"/>
        <v>49.254597761535543</v>
      </c>
      <c r="E56" s="506">
        <f t="shared" si="3"/>
        <v>33.318239685476989</v>
      </c>
      <c r="F56" s="428"/>
      <c r="G56" s="428"/>
      <c r="H56" s="439"/>
      <c r="I56" s="48">
        <v>100</v>
      </c>
      <c r="J56" s="48"/>
      <c r="T56" s="294"/>
      <c r="U56" s="294"/>
      <c r="V56" s="294"/>
      <c r="W56" s="294"/>
      <c r="X56" s="294"/>
      <c r="Y56" s="294"/>
      <c r="Z56" s="294"/>
    </row>
    <row r="57" spans="2:26">
      <c r="B57" s="82" t="str">
        <f>'Informe nº3a'!B21</f>
        <v>May</v>
      </c>
      <c r="C57" s="420">
        <f t="shared" si="3"/>
        <v>29.588682187409344</v>
      </c>
      <c r="D57" s="420">
        <f t="shared" si="3"/>
        <v>22.436281345636651</v>
      </c>
      <c r="E57" s="506">
        <f t="shared" si="3"/>
        <v>15.275492434278902</v>
      </c>
      <c r="F57" s="428"/>
      <c r="G57" s="428"/>
      <c r="H57" s="439"/>
      <c r="I57" s="48">
        <v>100</v>
      </c>
      <c r="J57" s="48"/>
      <c r="S57" s="294"/>
      <c r="T57" s="294"/>
      <c r="U57" s="294"/>
      <c r="V57" s="294"/>
      <c r="W57" s="294"/>
      <c r="X57" s="294"/>
      <c r="Y57" s="294"/>
      <c r="Z57" s="294"/>
    </row>
    <row r="58" spans="2:26">
      <c r="B58" s="82" t="str">
        <f>'Informe nº3a'!B22</f>
        <v>Jun</v>
      </c>
      <c r="C58" s="420">
        <f t="shared" si="3"/>
        <v>14.256917413496225</v>
      </c>
      <c r="D58" s="420">
        <f t="shared" si="3"/>
        <v>13.176421592217805</v>
      </c>
      <c r="E58" s="506">
        <f t="shared" si="3"/>
        <v>10.536219791813958</v>
      </c>
      <c r="F58" s="428"/>
      <c r="G58" s="428"/>
      <c r="H58" s="439"/>
      <c r="I58" s="48">
        <v>100</v>
      </c>
      <c r="J58" s="48"/>
      <c r="S58" s="294"/>
      <c r="T58" s="294"/>
      <c r="U58" s="294"/>
      <c r="V58" s="294"/>
      <c r="W58" s="294"/>
      <c r="X58" s="294"/>
      <c r="Y58" s="294"/>
      <c r="Z58" s="294"/>
    </row>
    <row r="59" spans="2:26">
      <c r="B59" s="82" t="str">
        <f>'Informe nº3a'!B23</f>
        <v>Jul</v>
      </c>
      <c r="C59" s="420">
        <f t="shared" si="3"/>
        <v>24.58780234026851</v>
      </c>
      <c r="D59" s="420">
        <f t="shared" si="3"/>
        <v>28.496493106484834</v>
      </c>
      <c r="E59" s="506">
        <f t="shared" si="3"/>
        <v>23.352763254697958</v>
      </c>
      <c r="F59" s="428"/>
      <c r="G59" s="428"/>
      <c r="H59" s="439"/>
      <c r="I59" s="48">
        <v>100</v>
      </c>
      <c r="J59" s="48"/>
      <c r="S59" s="294"/>
      <c r="T59" s="294"/>
      <c r="U59" s="294"/>
      <c r="V59" s="294"/>
      <c r="W59" s="294"/>
      <c r="X59" s="294"/>
      <c r="Y59" s="294"/>
      <c r="Z59" s="294"/>
    </row>
    <row r="60" spans="2:26">
      <c r="B60" s="82" t="str">
        <f>'Informe nº3a'!B24</f>
        <v>Aug</v>
      </c>
      <c r="C60" s="420">
        <f t="shared" si="3"/>
        <v>39.219344590793085</v>
      </c>
      <c r="D60" s="420">
        <f t="shared" si="3"/>
        <v>39.609735364885488</v>
      </c>
      <c r="E60" s="506">
        <f t="shared" si="3"/>
        <v>36.283246717794583</v>
      </c>
      <c r="F60" s="428"/>
      <c r="G60" s="428"/>
      <c r="H60" s="439"/>
      <c r="I60" s="48">
        <v>100</v>
      </c>
      <c r="J60" s="48"/>
      <c r="S60" s="294"/>
      <c r="T60" s="294"/>
      <c r="U60" s="294"/>
      <c r="V60" s="294"/>
      <c r="W60" s="294"/>
      <c r="X60" s="294"/>
      <c r="Y60" s="294"/>
      <c r="Z60" s="294"/>
    </row>
    <row r="61" spans="2:26">
      <c r="B61" s="82" t="str">
        <f>'Informe nº3a'!B25</f>
        <v>Sep</v>
      </c>
      <c r="C61" s="420">
        <f t="shared" si="3"/>
        <v>24.527762138498744</v>
      </c>
      <c r="D61" s="420">
        <f t="shared" si="3"/>
        <v>30.618227476700405</v>
      </c>
      <c r="E61" s="506">
        <f t="shared" si="3"/>
        <v>37.536592736149153</v>
      </c>
      <c r="F61" s="428"/>
      <c r="G61" s="428"/>
      <c r="H61" s="439"/>
      <c r="I61" s="48">
        <v>100</v>
      </c>
      <c r="J61" s="48"/>
      <c r="S61" s="294"/>
      <c r="T61" s="294"/>
      <c r="U61" s="294"/>
      <c r="V61" s="294"/>
      <c r="W61" s="294"/>
      <c r="X61" s="294"/>
    </row>
    <row r="62" spans="2:26">
      <c r="B62" s="82" t="str">
        <f>'Informe nº3a'!B26</f>
        <v>Oct</v>
      </c>
      <c r="C62" s="420">
        <f t="shared" si="3"/>
        <v>48.296208056450205</v>
      </c>
      <c r="D62" s="420">
        <f t="shared" si="3"/>
        <v>27.330674330246126</v>
      </c>
      <c r="E62" s="506">
        <f t="shared" si="3"/>
        <v>21.415642774951056</v>
      </c>
      <c r="F62" s="428"/>
      <c r="G62" s="428"/>
      <c r="H62" s="439"/>
      <c r="I62" s="48">
        <v>100</v>
      </c>
      <c r="J62" s="48"/>
      <c r="S62" s="294"/>
      <c r="T62" s="294"/>
      <c r="U62" s="294"/>
      <c r="V62" s="294"/>
      <c r="W62" s="294"/>
      <c r="X62" s="294"/>
    </row>
    <row r="63" spans="2:26">
      <c r="B63" s="82" t="str">
        <f>'Informe nº3a'!B27</f>
        <v>Nov</v>
      </c>
      <c r="C63" s="420">
        <f t="shared" si="3"/>
        <v>45.030902190881754</v>
      </c>
      <c r="D63" s="420">
        <f t="shared" si="3"/>
        <v>49.793512907337586</v>
      </c>
      <c r="E63" s="506">
        <f t="shared" si="3"/>
        <v>69.673128134858558</v>
      </c>
      <c r="F63" s="428"/>
      <c r="G63" s="428"/>
      <c r="H63" s="439"/>
      <c r="I63" s="48">
        <v>100</v>
      </c>
      <c r="J63" s="48"/>
      <c r="S63" s="294"/>
      <c r="T63" s="294"/>
      <c r="U63" s="294"/>
      <c r="V63" s="294"/>
      <c r="W63" s="294"/>
      <c r="X63" s="294"/>
    </row>
    <row r="64" spans="2:26">
      <c r="B64" s="507" t="str">
        <f>'Informe nº3a'!B28</f>
        <v>Dec</v>
      </c>
      <c r="C64" s="508">
        <f t="shared" si="3"/>
        <v>49.748010809771884</v>
      </c>
      <c r="D64" s="508">
        <f t="shared" si="3"/>
        <v>46.754090417812741</v>
      </c>
      <c r="E64" s="503">
        <f t="shared" si="3"/>
        <v>42.621768247625091</v>
      </c>
      <c r="F64" s="428"/>
      <c r="G64" s="428"/>
      <c r="H64" s="439"/>
      <c r="I64" s="48">
        <v>100</v>
      </c>
      <c r="J64" s="48"/>
      <c r="S64" s="294"/>
      <c r="T64" s="294"/>
      <c r="U64" s="294"/>
      <c r="V64" s="294"/>
      <c r="W64" s="294"/>
      <c r="X64" s="294"/>
    </row>
    <row r="65" spans="2:24">
      <c r="S65" s="294"/>
      <c r="T65" s="294"/>
      <c r="U65" s="294"/>
      <c r="V65" s="294"/>
      <c r="W65" s="294"/>
      <c r="X65" s="294"/>
    </row>
    <row r="66" spans="2:24">
      <c r="B66" s="294" t="str">
        <f>CONCATENATE("* Undetermined value per contribution ",REPORTS!$AA$1," = 0" )</f>
        <v>* Undetermined value per contribution Nat_F = 0</v>
      </c>
      <c r="C66" s="294"/>
      <c r="D66" s="294"/>
      <c r="E66" s="294"/>
      <c r="F66" s="294"/>
      <c r="G66" s="294"/>
      <c r="H66" s="294"/>
      <c r="J66" s="294"/>
      <c r="K66" s="294"/>
      <c r="L66" s="294"/>
      <c r="M66" s="294"/>
      <c r="N66" s="294"/>
      <c r="O66" s="294"/>
      <c r="P66" s="294"/>
      <c r="S66" s="294"/>
      <c r="T66" s="294"/>
      <c r="U66" s="294"/>
      <c r="V66" s="294"/>
      <c r="W66" s="294"/>
      <c r="X66" s="294"/>
    </row>
    <row r="67" spans="2:24">
      <c r="B67" s="294"/>
      <c r="C67" s="294"/>
      <c r="D67" s="294"/>
      <c r="E67" s="294"/>
      <c r="F67" s="294"/>
      <c r="G67" s="294"/>
      <c r="H67" s="294"/>
      <c r="J67" s="294"/>
      <c r="K67" s="294"/>
      <c r="L67" s="294"/>
      <c r="M67" s="294"/>
      <c r="N67" s="294"/>
      <c r="O67" s="294"/>
      <c r="P67" s="294"/>
      <c r="S67" s="294"/>
      <c r="T67" s="294"/>
      <c r="U67" s="294"/>
      <c r="V67" s="294"/>
      <c r="W67" s="294"/>
      <c r="X67" s="294"/>
    </row>
    <row r="68" spans="2:24">
      <c r="B68" s="294"/>
      <c r="C68" s="294"/>
      <c r="D68" s="294"/>
      <c r="E68" s="294"/>
      <c r="F68" s="294"/>
      <c r="G68" s="294"/>
      <c r="H68" s="294"/>
      <c r="J68" s="294"/>
      <c r="K68" s="294"/>
      <c r="L68" s="294"/>
      <c r="M68" s="294"/>
      <c r="N68" s="294"/>
      <c r="O68" s="294"/>
      <c r="P68" s="294"/>
      <c r="S68" s="294"/>
      <c r="T68" s="294"/>
      <c r="U68" s="294"/>
      <c r="V68" s="294"/>
      <c r="W68" s="294"/>
      <c r="X68" s="294"/>
    </row>
    <row r="69" spans="2:24" ht="17.5">
      <c r="B69" s="294"/>
      <c r="C69" s="294"/>
      <c r="D69" s="499" t="str">
        <f>CONCATENATE("% ",REPORTS!$AA$2,"/",REPORTS!$AA$1," in median monthly contributions" )</f>
        <v>% Alt_F/Nat_F in median monthly contributions</v>
      </c>
      <c r="E69" s="294"/>
      <c r="F69" s="294"/>
      <c r="G69" s="294"/>
      <c r="H69" s="294"/>
      <c r="J69" s="294"/>
      <c r="K69" s="294"/>
      <c r="L69" s="294"/>
      <c r="M69" s="294"/>
      <c r="N69" s="294"/>
      <c r="O69" s="294"/>
      <c r="P69" s="294"/>
      <c r="S69" s="294"/>
      <c r="T69" s="294"/>
      <c r="U69" s="294"/>
      <c r="V69" s="294"/>
      <c r="W69" s="294"/>
      <c r="X69" s="294"/>
    </row>
    <row r="70" spans="2:24">
      <c r="B70" s="294"/>
      <c r="C70" s="294"/>
      <c r="D70" s="294"/>
      <c r="E70" s="294"/>
      <c r="F70" s="294"/>
      <c r="G70" s="294"/>
      <c r="H70" s="294"/>
      <c r="J70" s="294"/>
      <c r="K70" s="294"/>
      <c r="L70" s="294"/>
      <c r="M70" s="294"/>
      <c r="N70" s="294"/>
      <c r="O70" s="294"/>
      <c r="P70" s="294"/>
      <c r="S70" s="294"/>
      <c r="T70" s="294"/>
      <c r="U70" s="294"/>
      <c r="V70" s="294"/>
      <c r="W70" s="294"/>
      <c r="X70" s="294"/>
    </row>
    <row r="71" spans="2:24">
      <c r="B71" s="294"/>
      <c r="C71" s="294"/>
      <c r="D71" s="294"/>
      <c r="E71" s="294"/>
      <c r="F71" s="294"/>
      <c r="G71" s="294"/>
      <c r="H71" s="294"/>
      <c r="J71" s="294"/>
      <c r="K71" s="294"/>
      <c r="L71" s="294"/>
      <c r="M71" s="294"/>
      <c r="N71" s="294"/>
      <c r="O71" s="294"/>
      <c r="P71" s="294"/>
      <c r="S71" s="294"/>
      <c r="T71" s="294"/>
      <c r="U71" s="294"/>
      <c r="V71" s="294"/>
      <c r="W71" s="294"/>
      <c r="X71" s="294"/>
    </row>
    <row r="72" spans="2:24">
      <c r="B72" s="294"/>
      <c r="C72" s="294"/>
      <c r="D72" s="294"/>
      <c r="E72" s="294"/>
      <c r="F72" s="294"/>
      <c r="G72" s="294"/>
      <c r="H72" s="294"/>
      <c r="J72" s="294"/>
      <c r="K72" s="294"/>
      <c r="L72" s="294"/>
      <c r="M72" s="294"/>
      <c r="N72" s="294"/>
      <c r="O72" s="294"/>
      <c r="P72" s="294"/>
      <c r="S72" s="294"/>
      <c r="T72" s="294"/>
      <c r="U72" s="294"/>
      <c r="V72" s="294"/>
      <c r="W72" s="294"/>
      <c r="X72" s="294"/>
    </row>
    <row r="73" spans="2:24">
      <c r="B73" s="294"/>
      <c r="C73" s="294"/>
      <c r="D73" s="294"/>
      <c r="E73" s="294"/>
      <c r="F73" s="294"/>
      <c r="G73" s="294"/>
      <c r="H73" s="294"/>
      <c r="J73" s="294"/>
      <c r="K73" s="294"/>
      <c r="L73" s="294"/>
      <c r="M73" s="294"/>
      <c r="N73" s="294"/>
      <c r="O73" s="294"/>
      <c r="P73" s="294"/>
      <c r="S73" s="294"/>
      <c r="T73" s="294"/>
      <c r="U73" s="294"/>
      <c r="V73" s="294"/>
      <c r="W73" s="294"/>
      <c r="X73" s="294"/>
    </row>
    <row r="74" spans="2:24">
      <c r="B74" s="294"/>
      <c r="C74" s="294"/>
      <c r="D74" s="294"/>
      <c r="E74" s="294"/>
      <c r="F74" s="294"/>
      <c r="G74" s="294"/>
      <c r="H74" s="294"/>
      <c r="J74" s="294"/>
      <c r="K74" s="294"/>
      <c r="L74" s="294"/>
      <c r="M74" s="294"/>
      <c r="N74" s="294"/>
      <c r="O74" s="294"/>
      <c r="P74" s="294"/>
      <c r="S74" s="294"/>
      <c r="T74" s="294"/>
      <c r="U74" s="294"/>
      <c r="V74" s="294"/>
      <c r="W74" s="294"/>
      <c r="X74" s="294"/>
    </row>
    <row r="75" spans="2:24">
      <c r="B75" s="294"/>
      <c r="C75" s="294"/>
      <c r="D75" s="294"/>
      <c r="E75" s="294"/>
      <c r="F75" s="294"/>
      <c r="G75" s="294"/>
      <c r="H75" s="294"/>
      <c r="J75" s="294"/>
      <c r="K75" s="294"/>
      <c r="L75" s="294"/>
      <c r="M75" s="294"/>
      <c r="N75" s="294"/>
      <c r="O75" s="294"/>
      <c r="P75" s="294"/>
    </row>
    <row r="76" spans="2:24">
      <c r="B76" s="294"/>
      <c r="C76" s="294"/>
      <c r="D76" s="294"/>
      <c r="E76" s="294"/>
      <c r="F76" s="294"/>
      <c r="G76" s="294"/>
      <c r="H76" s="294"/>
      <c r="J76" s="294"/>
      <c r="K76" s="294"/>
      <c r="L76" s="294"/>
      <c r="M76" s="294"/>
      <c r="N76" s="294"/>
      <c r="O76" s="294"/>
      <c r="P76" s="294"/>
    </row>
    <row r="77" spans="2:24">
      <c r="B77" s="294"/>
      <c r="C77" s="294"/>
      <c r="D77" s="294"/>
      <c r="E77" s="294"/>
      <c r="F77" s="294"/>
      <c r="G77" s="294"/>
      <c r="H77" s="294"/>
      <c r="J77" s="294"/>
      <c r="K77" s="294"/>
      <c r="L77" s="294"/>
      <c r="M77" s="294"/>
      <c r="N77" s="294"/>
      <c r="O77" s="294"/>
      <c r="P77" s="294"/>
    </row>
    <row r="78" spans="2:24">
      <c r="B78" s="294"/>
      <c r="C78" s="294"/>
      <c r="D78" s="294"/>
      <c r="E78" s="294"/>
      <c r="F78" s="294"/>
      <c r="G78" s="294"/>
      <c r="H78" s="294"/>
      <c r="J78" s="294"/>
      <c r="K78" s="294"/>
      <c r="L78" s="294"/>
      <c r="M78" s="294"/>
      <c r="N78" s="294"/>
      <c r="O78" s="294"/>
      <c r="P78" s="294"/>
    </row>
    <row r="79" spans="2:24">
      <c r="B79" s="294"/>
      <c r="C79" s="294"/>
      <c r="D79" s="294"/>
      <c r="E79" s="294"/>
      <c r="F79" s="294"/>
      <c r="G79" s="294"/>
      <c r="H79" s="294"/>
      <c r="J79" s="294"/>
      <c r="K79" s="294"/>
      <c r="L79" s="294"/>
      <c r="M79" s="294"/>
      <c r="N79" s="294"/>
    </row>
    <row r="80" spans="2:24">
      <c r="B80" s="294"/>
      <c r="C80" s="294"/>
      <c r="D80" s="294"/>
      <c r="E80" s="294"/>
      <c r="F80" s="294"/>
      <c r="G80" s="294"/>
      <c r="H80" s="294"/>
    </row>
    <row r="81" spans="2:8">
      <c r="B81" s="294"/>
      <c r="C81" s="294"/>
      <c r="D81" s="294"/>
      <c r="E81" s="294"/>
      <c r="F81" s="294"/>
      <c r="G81" s="294"/>
      <c r="H81" s="294"/>
    </row>
    <row r="82" spans="2:8">
      <c r="B82" s="294"/>
      <c r="C82" s="294"/>
      <c r="D82" s="294"/>
      <c r="E82" s="294"/>
      <c r="F82" s="294"/>
      <c r="G82" s="294"/>
      <c r="H82" s="294"/>
    </row>
    <row r="83" spans="2:8">
      <c r="B83" s="294"/>
      <c r="C83" s="294"/>
      <c r="D83" s="294"/>
      <c r="E83" s="294"/>
      <c r="F83" s="294"/>
      <c r="G83" s="294"/>
      <c r="H83" s="294"/>
    </row>
    <row r="84" spans="2:8">
      <c r="B84" s="294"/>
      <c r="C84" s="294"/>
      <c r="D84" s="294"/>
      <c r="E84" s="294"/>
      <c r="F84" s="294"/>
      <c r="G84" s="294"/>
      <c r="H84" s="294"/>
    </row>
    <row r="85" spans="2:8">
      <c r="B85" s="294"/>
      <c r="C85" s="294"/>
      <c r="D85" s="294"/>
      <c r="E85" s="294"/>
      <c r="F85" s="294"/>
      <c r="G85" s="294"/>
      <c r="H85" s="294"/>
    </row>
    <row r="86" spans="2:8">
      <c r="B86" s="294"/>
      <c r="C86" s="294"/>
      <c r="D86" s="294"/>
      <c r="E86" s="294"/>
      <c r="F86" s="294"/>
      <c r="G86" s="294"/>
      <c r="H86" s="294"/>
    </row>
    <row r="87" spans="2:8">
      <c r="B87" s="294"/>
      <c r="C87" s="294"/>
      <c r="D87" s="294"/>
      <c r="E87" s="294"/>
      <c r="F87" s="294"/>
      <c r="G87" s="294"/>
      <c r="H87" s="294"/>
    </row>
  </sheetData>
  <mergeCells count="40">
    <mergeCell ref="B50:B52"/>
    <mergeCell ref="C50:E50"/>
    <mergeCell ref="F50:H50"/>
    <mergeCell ref="C51:C52"/>
    <mergeCell ref="D51:D52"/>
    <mergeCell ref="E51:E52"/>
    <mergeCell ref="F51:F52"/>
    <mergeCell ref="G51:G52"/>
    <mergeCell ref="H51:H52"/>
    <mergeCell ref="B2:C2"/>
    <mergeCell ref="D2:H2"/>
    <mergeCell ref="B3:C3"/>
    <mergeCell ref="D3:H3"/>
    <mergeCell ref="T3:U3"/>
    <mergeCell ref="B14:B16"/>
    <mergeCell ref="C14:E14"/>
    <mergeCell ref="F14:H14"/>
    <mergeCell ref="C15:C16"/>
    <mergeCell ref="D15:D16"/>
    <mergeCell ref="E15:E16"/>
    <mergeCell ref="F15:F16"/>
    <mergeCell ref="G15:G16"/>
    <mergeCell ref="H15:H16"/>
    <mergeCell ref="X3:Y3"/>
    <mergeCell ref="B7:D7"/>
    <mergeCell ref="B8:D8"/>
    <mergeCell ref="B9:D9"/>
    <mergeCell ref="B12:H12"/>
    <mergeCell ref="V3:W3"/>
    <mergeCell ref="B5:D5"/>
    <mergeCell ref="B6:D6"/>
    <mergeCell ref="B32:B34"/>
    <mergeCell ref="C32:E32"/>
    <mergeCell ref="F32:H32"/>
    <mergeCell ref="C33:C34"/>
    <mergeCell ref="D33:D34"/>
    <mergeCell ref="E33:E34"/>
    <mergeCell ref="F33:F34"/>
    <mergeCell ref="G33:G34"/>
    <mergeCell ref="H33:H34"/>
  </mergeCells>
  <pageMargins left="0.7" right="0.7" top="0.75" bottom="0.75" header="0.3" footer="0.3"/>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3"/>
  <dimension ref="A1:X14"/>
  <sheetViews>
    <sheetView showGridLines="0" zoomScale="75" zoomScaleNormal="75" workbookViewId="0">
      <selection activeCell="D3" sqref="D3:H3"/>
    </sheetView>
  </sheetViews>
  <sheetFormatPr baseColWidth="10" defaultRowHeight="12.5"/>
  <cols>
    <col min="1" max="1" width="3.81640625" customWidth="1"/>
    <col min="2" max="2" width="14.1796875" customWidth="1"/>
    <col min="3" max="3" width="17.1796875" customWidth="1"/>
    <col min="4" max="7" width="14.1796875" customWidth="1"/>
    <col min="8" max="8" width="22.54296875" customWidth="1"/>
    <col min="9" max="9" width="14.1796875" customWidth="1"/>
    <col min="11" max="11" width="19.453125" customWidth="1"/>
    <col min="12" max="12" width="25.1796875" customWidth="1"/>
    <col min="13" max="13" width="12.1796875" bestFit="1" customWidth="1"/>
  </cols>
  <sheetData>
    <row r="1" spans="1:24">
      <c r="A1" s="84"/>
      <c r="B1" s="84"/>
      <c r="C1" s="84"/>
      <c r="D1" s="83"/>
      <c r="E1" s="83"/>
      <c r="F1" s="83"/>
      <c r="G1" s="83"/>
      <c r="H1" s="83"/>
    </row>
    <row r="2" spans="1:24" ht="18">
      <c r="A2" s="84"/>
      <c r="B2" s="638" t="s">
        <v>274</v>
      </c>
      <c r="C2" s="638"/>
      <c r="D2" s="626" t="str">
        <f>CONCATENATE(UPPER(REPORTS!$AB$1)," Y ",UPPER(REPORTS!$AB$2))</f>
        <v>NATURAL FLOW Y ALTERED FLOW</v>
      </c>
      <c r="E2" s="626"/>
      <c r="F2" s="626"/>
      <c r="G2" s="626"/>
      <c r="H2" s="626"/>
      <c r="J2" s="441"/>
      <c r="K2" s="684" t="s">
        <v>188</v>
      </c>
      <c r="L2" s="684"/>
      <c r="M2" s="684"/>
      <c r="N2" s="684"/>
      <c r="O2" s="684"/>
      <c r="P2" s="684"/>
      <c r="Q2" s="684"/>
      <c r="R2" s="684"/>
      <c r="S2" s="684"/>
      <c r="T2" s="684"/>
      <c r="U2" s="684"/>
      <c r="V2" s="684"/>
      <c r="W2" s="684"/>
      <c r="X2" s="684"/>
    </row>
    <row r="3" spans="1:24" ht="18">
      <c r="A3" s="84"/>
      <c r="B3" s="673" t="s">
        <v>276</v>
      </c>
      <c r="C3" s="673"/>
      <c r="D3" s="627" t="s">
        <v>277</v>
      </c>
      <c r="E3" s="626"/>
      <c r="F3" s="626"/>
      <c r="G3" s="626"/>
      <c r="H3" s="626"/>
      <c r="K3" s="442" t="s">
        <v>278</v>
      </c>
      <c r="L3" s="442" t="s">
        <v>190</v>
      </c>
      <c r="M3" s="443" t="str">
        <f>'Informe nº 2'!C14</f>
        <v>Jan</v>
      </c>
      <c r="N3" s="443" t="str">
        <f>'Informe nº 2'!D14</f>
        <v>Feb</v>
      </c>
      <c r="O3" s="443" t="str">
        <f>'Informe nº 2'!E14</f>
        <v>Mar</v>
      </c>
      <c r="P3" s="443" t="str">
        <f>'Informe nº 2'!F14</f>
        <v>Apr</v>
      </c>
      <c r="Q3" s="443" t="str">
        <f>'Informe nº 2'!G14</f>
        <v>May</v>
      </c>
      <c r="R3" s="443" t="str">
        <f>'Informe nº 2'!H14</f>
        <v>Jun</v>
      </c>
      <c r="S3" s="443" t="str">
        <f>'Informe nº 2'!I14</f>
        <v>Jul</v>
      </c>
      <c r="T3" s="443" t="str">
        <f>'Informe nº 2'!J14</f>
        <v>Aug</v>
      </c>
      <c r="U3" s="443" t="str">
        <f>'Informe nº 2'!K14</f>
        <v>Sep</v>
      </c>
      <c r="V3" s="443" t="str">
        <f>'Informe nº 2'!L14</f>
        <v>Oct</v>
      </c>
      <c r="W3" s="443" t="str">
        <f>'Informe nº 2'!M14</f>
        <v>Nov</v>
      </c>
      <c r="X3" s="443" t="str">
        <f>'Informe nº 2'!N14</f>
        <v>Dec</v>
      </c>
    </row>
    <row r="4" spans="1:24" ht="14">
      <c r="K4" s="682" t="str">
        <f>UPPER(REPORTS!$AA$1)</f>
        <v>NAT_F</v>
      </c>
      <c r="L4" s="445" t="s">
        <v>279</v>
      </c>
      <c r="M4" s="446">
        <f>_xlfn.PERCENTILE.EXC('Informe nº 2'!C12:C612,0.9)</f>
        <v>18.408330535888673</v>
      </c>
      <c r="N4" s="446">
        <f>_xlfn.PERCENTILE.EXC('Informe nº 2'!D12:D612,0.9)</f>
        <v>13.638981819152832</v>
      </c>
      <c r="O4" s="446">
        <f>_xlfn.PERCENTILE.EXC('Informe nº 2'!E12:E612,0.9)</f>
        <v>16.254813766479494</v>
      </c>
      <c r="P4" s="446">
        <f>_xlfn.PERCENTILE.EXC('Informe nº 2'!F12:F612,0.9)</f>
        <v>16.015778732299804</v>
      </c>
      <c r="Q4" s="446">
        <f>_xlfn.PERCENTILE.EXC('Informe nº 2'!G12:G612,0.9)</f>
        <v>17.673725891113282</v>
      </c>
      <c r="R4" s="446">
        <f>_xlfn.PERCENTILE.EXC('Informe nº 2'!H12:H612,0.9)</f>
        <v>6.9379540443420415</v>
      </c>
      <c r="S4" s="446">
        <f>_xlfn.PERCENTILE.EXC('Informe nº 2'!I12:I612,0.9)</f>
        <v>1.5648924112319946</v>
      </c>
      <c r="T4" s="446">
        <f>_xlfn.PERCENTILE.EXC('Informe nº 2'!J12:J612,0.9)</f>
        <v>0.62932039499282844</v>
      </c>
      <c r="U4" s="446">
        <f>_xlfn.PERCENTILE.EXC('Informe nº 2'!K12:K612,0.9)</f>
        <v>0.93631687164306643</v>
      </c>
      <c r="V4" s="446">
        <f>_xlfn.PERCENTILE.EXC('Informe nº 2'!L12:L612,0.9)</f>
        <v>5.2382213592529308</v>
      </c>
      <c r="W4" s="446">
        <f>_xlfn.PERCENTILE.EXC('Informe nº 2'!M12:M612,0.9)</f>
        <v>12.767155456542969</v>
      </c>
      <c r="X4" s="446">
        <f>_xlfn.PERCENTILE.EXC('Informe nº 2'!N12:N612,0.9)</f>
        <v>19.509172439575195</v>
      </c>
    </row>
    <row r="5" spans="1:24" ht="14.5">
      <c r="B5" s="593" t="s">
        <v>1</v>
      </c>
      <c r="C5" s="593"/>
      <c r="D5" s="593"/>
      <c r="E5" s="495" t="str">
        <f>REPORTS!E7</f>
        <v>Natural Flow (Nat_F)</v>
      </c>
      <c r="F5" s="293"/>
      <c r="K5" s="683"/>
      <c r="L5" s="448" t="s">
        <v>280</v>
      </c>
      <c r="M5" s="449">
        <f>_xlfn.PERCENTILE.EXC('Informe nº 2'!C12:C612,0.1)</f>
        <v>10.637412261962892</v>
      </c>
      <c r="N5" s="449">
        <f>_xlfn.PERCENTILE.EXC('Informe nº 2'!D12:D612,0.1)</f>
        <v>9.2117437362670902</v>
      </c>
      <c r="O5" s="449">
        <f>_xlfn.PERCENTILE.EXC('Informe nº 2'!E12:E612,0.1)</f>
        <v>8.6295450210571296</v>
      </c>
      <c r="P5" s="449">
        <f>_xlfn.PERCENTILE.EXC('Informe nº 2'!F12:F612,0.1)</f>
        <v>10.558616065979004</v>
      </c>
      <c r="Q5" s="449">
        <f>_xlfn.PERCENTILE.EXC('Informe nº 2'!G12:G612,0.1)</f>
        <v>9.843812179565429</v>
      </c>
      <c r="R5" s="449">
        <f>_xlfn.PERCENTILE.EXC('Informe nº 2'!H12:H612,0.1)</f>
        <v>3.6979895114898684</v>
      </c>
      <c r="S5" s="449">
        <f>_xlfn.PERCENTILE.EXC('Informe nº 2'!I12:I612,0.1)</f>
        <v>0.91059907674789431</v>
      </c>
      <c r="T5" s="449">
        <f>_xlfn.PERCENTILE.EXC('Informe nº 2'!J12:J612,0.1)</f>
        <v>0.42211068272590635</v>
      </c>
      <c r="U5" s="449">
        <f>_xlfn.PERCENTILE.EXC('Informe nº 2'!K12:K612,0.1)</f>
        <v>0.36377109289169313</v>
      </c>
      <c r="V5" s="449">
        <f>_xlfn.PERCENTILE.EXC('Informe nº 2'!L12:L612,0.1)</f>
        <v>1.7517235755920411</v>
      </c>
      <c r="W5" s="449">
        <f>_xlfn.PERCENTILE.EXC('Informe nº 2'!M12:M612,0.1)</f>
        <v>3.8849176406860351</v>
      </c>
      <c r="X5" s="449">
        <f>_xlfn.PERCENTILE.EXC('Informe nº 2'!N12:N612,0.1)</f>
        <v>10.518405342102051</v>
      </c>
    </row>
    <row r="6" spans="1:24" ht="14.5">
      <c r="B6" s="593" t="s">
        <v>2</v>
      </c>
      <c r="C6" s="593"/>
      <c r="D6" s="593"/>
      <c r="E6" s="495" t="str">
        <f>REPORTS!E8</f>
        <v>Altered Flow (Alt_F)</v>
      </c>
      <c r="F6" s="293"/>
      <c r="K6" s="685" t="str">
        <f>UPPER(REPORTS!$AA$2)</f>
        <v>ALT_F</v>
      </c>
      <c r="L6" s="445" t="s">
        <v>281</v>
      </c>
      <c r="M6" s="450">
        <f>_xlfn.PERCENTILE.EXC('Informe nº3'!C12:C612,0.9)</f>
        <v>15.777227592468263</v>
      </c>
      <c r="N6" s="450">
        <f>_xlfn.PERCENTILE.EXC('Informe nº3'!D12:D612,0.9)</f>
        <v>17.172586441040039</v>
      </c>
      <c r="O6" s="450">
        <f>_xlfn.PERCENTILE.EXC('Informe nº3'!E12:E612,0.9)</f>
        <v>12.732991600036621</v>
      </c>
      <c r="P6" s="450">
        <f>_xlfn.PERCENTILE.EXC('Informe nº3'!F12:F612,0.9)</f>
        <v>9.3411008834838878</v>
      </c>
      <c r="Q6" s="450">
        <f>_xlfn.PERCENTILE.EXC('Informe nº3'!G12:G612,0.9)</f>
        <v>5.8304349899292003</v>
      </c>
      <c r="R6" s="450">
        <f>_xlfn.PERCENTILE.EXC('Informe nº3'!H12:H612,0.9)</f>
        <v>1.2011085987091066</v>
      </c>
      <c r="S6" s="450">
        <f>_xlfn.PERCENTILE.EXC('Informe nº3'!I12:I612,0.9)</f>
        <v>0.41919726729393009</v>
      </c>
      <c r="T6" s="450">
        <f>_xlfn.PERCENTILE.EXC('Informe nº3'!J12:J612,0.9)</f>
        <v>0.24347030520439147</v>
      </c>
      <c r="U6" s="450">
        <f>_xlfn.PERCENTILE.EXC('Informe nº3'!K12:K612,0.9)</f>
        <v>0.25065712630748749</v>
      </c>
      <c r="V6" s="450">
        <f>_xlfn.PERCENTILE.EXC('Informe nº3'!L12:L612,0.9)</f>
        <v>2.1289564132690431</v>
      </c>
      <c r="W6" s="450">
        <f>_xlfn.PERCENTILE.EXC('Informe nº3'!M12:M612,0.9)</f>
        <v>4.9694394111633304</v>
      </c>
      <c r="X6" s="450">
        <f>_xlfn.PERCENTILE.EXC('Informe nº3'!N12:N612,0.9)</f>
        <v>10.070185852050782</v>
      </c>
    </row>
    <row r="7" spans="1:24" ht="14.5">
      <c r="B7" s="593" t="s">
        <v>3</v>
      </c>
      <c r="C7" s="593"/>
      <c r="D7" s="593"/>
      <c r="E7" s="495"/>
      <c r="F7" s="293"/>
      <c r="K7" s="683"/>
      <c r="L7" s="451" t="s">
        <v>282</v>
      </c>
      <c r="M7" s="452">
        <f>_xlfn.PERCENTILE.EXC('Informe nº3'!C12:C612,0.1)</f>
        <v>6.1626036643981932</v>
      </c>
      <c r="N7" s="452">
        <f>_xlfn.PERCENTILE.EXC('Informe nº3'!D12:D612,0.1)</f>
        <v>6.806920051574707</v>
      </c>
      <c r="O7" s="452">
        <f>_xlfn.PERCENTILE.EXC('Informe nº3'!E12:E612,0.1)</f>
        <v>5.994397449493408</v>
      </c>
      <c r="P7" s="452">
        <f>_xlfn.PERCENTILE.EXC('Informe nº3'!F12:F612,0.1)</f>
        <v>3.3355598926544188</v>
      </c>
      <c r="Q7" s="452">
        <f>_xlfn.PERCENTILE.EXC('Informe nº3'!G12:G612,0.1)</f>
        <v>1.384639596939087</v>
      </c>
      <c r="R7" s="452">
        <f>_xlfn.PERCENTILE.EXC('Informe nº3'!H12:H612,0.1)</f>
        <v>0.38648136258125304</v>
      </c>
      <c r="S7" s="452">
        <f>_xlfn.PERCENTILE.EXC('Informe nº3'!I12:I612,0.1)</f>
        <v>0.19966451823711395</v>
      </c>
      <c r="T7" s="452">
        <f>_xlfn.PERCENTILE.EXC('Informe nº3'!J12:J612,0.1)</f>
        <v>0.1401214599609375</v>
      </c>
      <c r="U7" s="452">
        <f>_xlfn.PERCENTILE.EXC('Informe nº3'!K12:K612,0.1)</f>
        <v>0.1327563464641571</v>
      </c>
      <c r="V7" s="452">
        <f>_xlfn.PERCENTILE.EXC('Informe nº3'!L12:L612,0.1)</f>
        <v>0.35272521972656251</v>
      </c>
      <c r="W7" s="452">
        <f>_xlfn.PERCENTILE.EXC('Informe nº3'!M12:M612,0.1)</f>
        <v>2.3546849727630614</v>
      </c>
      <c r="X7" s="452">
        <f>_xlfn.PERCENTILE.EXC('Informe nº3'!N12:N612,0.1)</f>
        <v>4.4821788787841799</v>
      </c>
    </row>
    <row r="8" spans="1:24" ht="21" customHeight="1">
      <c r="B8" s="602"/>
      <c r="C8" s="602"/>
      <c r="D8" s="602"/>
      <c r="E8" s="477"/>
      <c r="L8" s="453"/>
    </row>
    <row r="9" spans="1:24" ht="14">
      <c r="B9" s="602"/>
      <c r="C9" s="602"/>
      <c r="D9" s="602"/>
    </row>
    <row r="10" spans="1:24">
      <c r="J10" s="441"/>
      <c r="K10" s="686" t="s">
        <v>283</v>
      </c>
      <c r="L10" s="686"/>
      <c r="M10" s="686"/>
      <c r="N10" s="686"/>
      <c r="O10" s="686"/>
      <c r="P10" s="686"/>
      <c r="Q10" s="686"/>
      <c r="R10" s="686"/>
      <c r="S10" s="686"/>
      <c r="T10" s="686"/>
      <c r="U10" s="686"/>
      <c r="V10" s="686"/>
      <c r="W10" s="686"/>
      <c r="X10" s="686"/>
    </row>
    <row r="11" spans="1:24" ht="25">
      <c r="B11" s="637" t="s">
        <v>156</v>
      </c>
      <c r="C11" s="637"/>
      <c r="D11" s="637"/>
      <c r="E11" s="637"/>
      <c r="F11" s="637"/>
      <c r="G11" s="637"/>
      <c r="H11" s="637"/>
      <c r="K11" s="454" t="s">
        <v>284</v>
      </c>
      <c r="L11" s="454" t="s">
        <v>285</v>
      </c>
      <c r="M11" s="455" t="str">
        <f>M3</f>
        <v>Jan</v>
      </c>
      <c r="N11" s="455" t="str">
        <f t="shared" ref="N11:X11" si="0">N3</f>
        <v>Feb</v>
      </c>
      <c r="O11" s="455" t="str">
        <f t="shared" si="0"/>
        <v>Mar</v>
      </c>
      <c r="P11" s="455" t="str">
        <f t="shared" si="0"/>
        <v>Apr</v>
      </c>
      <c r="Q11" s="455" t="str">
        <f t="shared" si="0"/>
        <v>May</v>
      </c>
      <c r="R11" s="455" t="str">
        <f t="shared" si="0"/>
        <v>Jun</v>
      </c>
      <c r="S11" s="455" t="str">
        <f t="shared" si="0"/>
        <v>Jul</v>
      </c>
      <c r="T11" s="455" t="str">
        <f t="shared" si="0"/>
        <v>Aug</v>
      </c>
      <c r="U11" s="455" t="str">
        <f t="shared" si="0"/>
        <v>Sep</v>
      </c>
      <c r="V11" s="455" t="str">
        <f t="shared" si="0"/>
        <v>Oct</v>
      </c>
      <c r="W11" s="455" t="str">
        <f t="shared" si="0"/>
        <v>Nov</v>
      </c>
      <c r="X11" s="455" t="str">
        <f t="shared" si="0"/>
        <v>Dec</v>
      </c>
    </row>
    <row r="12" spans="1:24" ht="44.25" customHeight="1">
      <c r="K12" s="444" t="s">
        <v>286</v>
      </c>
      <c r="L12" s="456"/>
      <c r="M12" s="446">
        <f>((M6-M4)/M4)*100</f>
        <v>-14.293001412001169</v>
      </c>
      <c r="N12" s="447">
        <f t="shared" ref="N12:X12" si="1">((N6-N4)/N4)*100</f>
        <v>25.90812619843123</v>
      </c>
      <c r="O12" s="447">
        <f t="shared" si="1"/>
        <v>-21.666333536872241</v>
      </c>
      <c r="P12" s="447">
        <f t="shared" si="1"/>
        <v>-41.675637259865276</v>
      </c>
      <c r="Q12" s="447">
        <f t="shared" si="1"/>
        <v>-67.010719608020722</v>
      </c>
      <c r="R12" s="447">
        <f t="shared" si="1"/>
        <v>-82.687855943804919</v>
      </c>
      <c r="S12" s="447">
        <f t="shared" si="1"/>
        <v>-73.212390558919751</v>
      </c>
      <c r="T12" s="447">
        <f t="shared" si="1"/>
        <v>-61.312185789375853</v>
      </c>
      <c r="U12" s="447">
        <f t="shared" si="1"/>
        <v>-73.229455337312288</v>
      </c>
      <c r="V12" s="447">
        <f t="shared" si="1"/>
        <v>-59.357265238354252</v>
      </c>
      <c r="W12" s="447">
        <f t="shared" si="1"/>
        <v>-61.076377364727939</v>
      </c>
      <c r="X12" s="502">
        <f t="shared" si="1"/>
        <v>-48.38230128294434</v>
      </c>
    </row>
    <row r="13" spans="1:24" ht="43.5" customHeight="1">
      <c r="K13" s="444" t="s">
        <v>287</v>
      </c>
      <c r="L13" s="457"/>
      <c r="M13" s="446">
        <f>((M7-M5)/M5)*100</f>
        <v>-42.066702759708349</v>
      </c>
      <c r="N13" s="447">
        <f t="shared" ref="N13:X13" si="2">((N7-N5)/N5)*100</f>
        <v>-26.106063667668845</v>
      </c>
      <c r="O13" s="447">
        <f t="shared" si="2"/>
        <v>-30.536344212048771</v>
      </c>
      <c r="P13" s="447">
        <f t="shared" si="2"/>
        <v>-68.409118469588535</v>
      </c>
      <c r="Q13" s="447">
        <f t="shared" si="2"/>
        <v>-85.933908818237796</v>
      </c>
      <c r="R13" s="447">
        <f t="shared" si="2"/>
        <v>-89.548878887286378</v>
      </c>
      <c r="S13" s="447">
        <f t="shared" si="2"/>
        <v>-78.073279082360358</v>
      </c>
      <c r="T13" s="447">
        <f t="shared" si="2"/>
        <v>-66.804569110627298</v>
      </c>
      <c r="U13" s="447">
        <f t="shared" si="2"/>
        <v>-63.505526123901454</v>
      </c>
      <c r="V13" s="447">
        <f t="shared" si="2"/>
        <v>-79.86410500827165</v>
      </c>
      <c r="W13" s="447">
        <f t="shared" si="2"/>
        <v>-39.389063281474115</v>
      </c>
      <c r="X13" s="502">
        <f t="shared" si="2"/>
        <v>-57.387277510181612</v>
      </c>
    </row>
    <row r="14" spans="1:24" ht="19.5" customHeight="1">
      <c r="K14" s="459"/>
      <c r="L14" s="458"/>
      <c r="M14" s="447"/>
      <c r="N14" s="447"/>
      <c r="O14" s="447"/>
      <c r="P14" s="447"/>
      <c r="Q14" s="447"/>
      <c r="R14" s="447"/>
      <c r="S14" s="447"/>
      <c r="T14" s="447"/>
      <c r="U14" s="447"/>
      <c r="V14" s="447"/>
      <c r="W14" s="447"/>
      <c r="X14" s="447"/>
    </row>
  </sheetData>
  <mergeCells count="14">
    <mergeCell ref="B6:D6"/>
    <mergeCell ref="K6:K7"/>
    <mergeCell ref="B7:D7"/>
    <mergeCell ref="B11:H11"/>
    <mergeCell ref="K10:X10"/>
    <mergeCell ref="B8:D8"/>
    <mergeCell ref="B9:D9"/>
    <mergeCell ref="K4:K5"/>
    <mergeCell ref="B5:D5"/>
    <mergeCell ref="B2:C2"/>
    <mergeCell ref="D2:H2"/>
    <mergeCell ref="K2:X2"/>
    <mergeCell ref="B3:C3"/>
    <mergeCell ref="D3:H3"/>
  </mergeCells>
  <pageMargins left="0.7" right="0.7" top="0.75" bottom="0.75" header="0.3" footer="0.3"/>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4"/>
  <dimension ref="B1:R50"/>
  <sheetViews>
    <sheetView showGridLines="0" zoomScale="70" zoomScaleNormal="70" workbookViewId="0">
      <selection activeCell="D3" sqref="D3:R3"/>
    </sheetView>
  </sheetViews>
  <sheetFormatPr baseColWidth="10" defaultRowHeight="12.5"/>
  <cols>
    <col min="1" max="1" width="2.81640625" customWidth="1"/>
    <col min="2" max="3" width="14.81640625" customWidth="1"/>
    <col min="4" max="4" width="18.81640625" customWidth="1"/>
    <col min="5" max="5" width="7.1796875" customWidth="1"/>
    <col min="6" max="6" width="5.81640625" customWidth="1"/>
    <col min="7" max="14" width="7.1796875" customWidth="1"/>
    <col min="15" max="15" width="11.81640625" customWidth="1"/>
    <col min="16" max="16" width="4.81640625" customWidth="1"/>
    <col min="17" max="17" width="6.1796875" customWidth="1"/>
    <col min="18" max="18" width="6.81640625" customWidth="1"/>
  </cols>
  <sheetData>
    <row r="1" spans="2:18">
      <c r="C1" s="3"/>
      <c r="D1" s="2"/>
      <c r="E1" s="2"/>
      <c r="F1" s="2"/>
      <c r="G1" s="2"/>
      <c r="H1" s="2"/>
      <c r="I1" s="2"/>
      <c r="J1" s="2"/>
      <c r="K1" s="2"/>
      <c r="L1" s="2"/>
      <c r="M1" s="3"/>
    </row>
    <row r="2" spans="2:18" ht="18">
      <c r="B2" s="687" t="s">
        <v>274</v>
      </c>
      <c r="C2" s="687"/>
      <c r="D2" s="688" t="str">
        <f>UPPER(REPORTS!$AB$1)</f>
        <v>NATURAL FLOW</v>
      </c>
      <c r="E2" s="688"/>
      <c r="F2" s="688"/>
      <c r="G2" s="688"/>
      <c r="H2" s="688"/>
      <c r="I2" s="688"/>
      <c r="J2" s="688"/>
      <c r="K2" s="688"/>
      <c r="L2" s="688"/>
      <c r="M2" s="688"/>
      <c r="N2" s="688"/>
      <c r="O2" s="688"/>
      <c r="P2" s="688"/>
      <c r="Q2" s="688"/>
      <c r="R2" s="688"/>
    </row>
    <row r="3" spans="2:18" ht="18">
      <c r="B3" s="687" t="s">
        <v>288</v>
      </c>
      <c r="C3" s="687"/>
      <c r="D3" s="689" t="s">
        <v>289</v>
      </c>
      <c r="E3" s="688"/>
      <c r="F3" s="688"/>
      <c r="G3" s="688"/>
      <c r="H3" s="688"/>
      <c r="I3" s="688"/>
      <c r="J3" s="688"/>
      <c r="K3" s="688"/>
      <c r="L3" s="688"/>
      <c r="M3" s="688"/>
      <c r="N3" s="688"/>
      <c r="O3" s="688"/>
      <c r="P3" s="688"/>
      <c r="Q3" s="688"/>
      <c r="R3" s="688"/>
    </row>
    <row r="5" spans="2:18" ht="15.75" customHeight="1">
      <c r="B5" s="556" t="s">
        <v>1</v>
      </c>
      <c r="C5" s="556"/>
      <c r="D5" s="556"/>
      <c r="E5" s="483" t="str">
        <f>REPORTS!E7</f>
        <v>Natural Flow (Nat_F)</v>
      </c>
      <c r="F5" s="488"/>
      <c r="G5" s="488"/>
      <c r="H5" s="488"/>
      <c r="I5" s="488"/>
      <c r="J5" s="33"/>
      <c r="K5" s="33"/>
      <c r="L5" s="33"/>
      <c r="M5" s="33"/>
      <c r="N5" s="33"/>
      <c r="O5" s="33"/>
      <c r="P5" s="33"/>
      <c r="Q5" s="33"/>
      <c r="R5" s="33"/>
    </row>
    <row r="6" spans="2:18" ht="15.75" customHeight="1">
      <c r="B6" s="556" t="s">
        <v>2</v>
      </c>
      <c r="C6" s="556"/>
      <c r="D6" s="556"/>
      <c r="E6" s="483" t="str">
        <f>REPORTS!E8</f>
        <v>Altered Flow (Alt_F)</v>
      </c>
      <c r="F6" s="488"/>
      <c r="G6" s="488"/>
      <c r="H6" s="488"/>
      <c r="I6" s="488"/>
      <c r="J6" s="33"/>
      <c r="K6" s="33"/>
      <c r="L6" s="33"/>
      <c r="M6" s="33"/>
      <c r="N6" s="33"/>
      <c r="O6" s="33"/>
      <c r="P6" s="33"/>
      <c r="Q6" s="33"/>
      <c r="R6" s="33"/>
    </row>
    <row r="7" spans="2:18" ht="13">
      <c r="B7" s="556" t="s">
        <v>3</v>
      </c>
      <c r="C7" s="556"/>
      <c r="D7" s="556"/>
      <c r="E7" s="483" t="s">
        <v>4</v>
      </c>
      <c r="F7" s="488"/>
      <c r="G7" s="488"/>
      <c r="H7" s="488"/>
      <c r="I7" s="488"/>
      <c r="J7" s="33"/>
      <c r="K7" s="33"/>
      <c r="L7" s="33"/>
      <c r="M7" s="33"/>
      <c r="N7" s="33"/>
      <c r="O7" s="33"/>
      <c r="P7" s="33"/>
      <c r="Q7" s="33"/>
      <c r="R7" s="33"/>
    </row>
    <row r="8" spans="2:18" ht="13">
      <c r="B8" s="482"/>
      <c r="C8" s="482"/>
      <c r="D8" s="482"/>
      <c r="E8" s="477"/>
      <c r="F8" s="483"/>
      <c r="G8" s="483"/>
      <c r="H8" s="483"/>
      <c r="I8" s="483"/>
      <c r="J8" s="33"/>
      <c r="K8" s="33"/>
      <c r="L8" s="33"/>
      <c r="M8" s="33"/>
      <c r="N8" s="33"/>
      <c r="O8" s="33"/>
      <c r="P8" s="33"/>
      <c r="Q8" s="33"/>
      <c r="R8" s="33"/>
    </row>
    <row r="9" spans="2:18" ht="13">
      <c r="B9" s="482"/>
      <c r="C9" s="482"/>
      <c r="D9" s="482"/>
      <c r="E9" s="483"/>
      <c r="F9" s="483"/>
      <c r="G9" s="483"/>
      <c r="H9" s="483"/>
      <c r="I9" s="483"/>
      <c r="J9" s="33"/>
      <c r="K9" s="33"/>
      <c r="L9" s="33"/>
      <c r="M9" s="33"/>
      <c r="N9" s="33"/>
      <c r="O9" s="33"/>
      <c r="P9" s="33"/>
      <c r="Q9" s="33"/>
      <c r="R9" s="33"/>
    </row>
    <row r="11" spans="2:18" ht="18">
      <c r="B11" s="690" t="s">
        <v>156</v>
      </c>
      <c r="C11" s="690"/>
      <c r="D11" s="690"/>
      <c r="E11" s="690"/>
      <c r="F11" s="690"/>
      <c r="G11" s="690"/>
      <c r="H11" s="690"/>
      <c r="I11" s="690"/>
      <c r="J11" s="690"/>
      <c r="K11" s="690"/>
      <c r="L11" s="690"/>
      <c r="M11" s="690"/>
      <c r="N11" s="690"/>
      <c r="O11" s="690"/>
      <c r="P11" s="690"/>
      <c r="Q11" s="690"/>
      <c r="R11" s="690"/>
    </row>
    <row r="13" spans="2:18" ht="15.5">
      <c r="B13" s="691" t="s">
        <v>290</v>
      </c>
      <c r="C13" s="691"/>
      <c r="D13" s="693" t="s">
        <v>291</v>
      </c>
      <c r="E13" s="694"/>
      <c r="F13" s="694"/>
      <c r="G13" s="697" t="s">
        <v>292</v>
      </c>
      <c r="H13" s="698"/>
      <c r="I13" s="698"/>
      <c r="J13" s="698"/>
      <c r="K13" s="698"/>
      <c r="L13" s="698"/>
      <c r="M13" s="698"/>
      <c r="N13" s="698"/>
      <c r="O13" s="698"/>
      <c r="P13" s="698"/>
      <c r="Q13" s="698"/>
      <c r="R13" s="698"/>
    </row>
    <row r="14" spans="2:18" ht="14">
      <c r="B14" s="692"/>
      <c r="C14" s="692"/>
      <c r="D14" s="695"/>
      <c r="E14" s="696"/>
      <c r="F14" s="696"/>
      <c r="G14" s="699" t="s">
        <v>293</v>
      </c>
      <c r="H14" s="699"/>
      <c r="I14" s="699"/>
      <c r="J14" s="699"/>
      <c r="K14" s="699"/>
      <c r="L14" s="699"/>
      <c r="M14" s="699"/>
      <c r="N14" s="699"/>
      <c r="O14" s="699" t="s">
        <v>294</v>
      </c>
      <c r="P14" s="699"/>
      <c r="Q14" s="699"/>
      <c r="R14" s="699"/>
    </row>
    <row r="15" spans="2:18" ht="13.25" customHeight="1">
      <c r="B15" s="700" t="s">
        <v>295</v>
      </c>
      <c r="C15" s="703" t="s">
        <v>296</v>
      </c>
      <c r="D15" s="706" t="s">
        <v>297</v>
      </c>
      <c r="E15" s="707"/>
      <c r="F15" s="707"/>
      <c r="G15" s="712" t="s">
        <v>298</v>
      </c>
      <c r="H15" s="713"/>
      <c r="I15" s="713"/>
      <c r="J15" s="713"/>
      <c r="K15" s="713"/>
      <c r="L15" s="713"/>
      <c r="M15" s="713"/>
      <c r="N15" s="713"/>
      <c r="O15" s="716" t="s">
        <v>299</v>
      </c>
      <c r="P15" s="716"/>
      <c r="Q15" s="717">
        <v>113.56325531005859</v>
      </c>
      <c r="R15" s="717"/>
    </row>
    <row r="16" spans="2:18">
      <c r="B16" s="701"/>
      <c r="C16" s="704"/>
      <c r="D16" s="708"/>
      <c r="E16" s="709"/>
      <c r="F16" s="709"/>
      <c r="G16" s="714"/>
      <c r="H16" s="714"/>
      <c r="I16" s="714"/>
      <c r="J16" s="714"/>
      <c r="K16" s="714"/>
      <c r="L16" s="714"/>
      <c r="M16" s="714"/>
      <c r="N16" s="714"/>
      <c r="O16" s="718" t="s">
        <v>300</v>
      </c>
      <c r="P16" s="718"/>
      <c r="Q16" s="719">
        <v>97.701026916503906</v>
      </c>
      <c r="R16" s="719"/>
    </row>
    <row r="17" spans="2:18">
      <c r="B17" s="701"/>
      <c r="C17" s="704"/>
      <c r="D17" s="708"/>
      <c r="E17" s="709"/>
      <c r="F17" s="709"/>
      <c r="G17" s="714"/>
      <c r="H17" s="714"/>
      <c r="I17" s="714"/>
      <c r="J17" s="714"/>
      <c r="K17" s="714"/>
      <c r="L17" s="714"/>
      <c r="M17" s="714"/>
      <c r="N17" s="714"/>
      <c r="O17" s="718" t="s">
        <v>301</v>
      </c>
      <c r="P17" s="718"/>
      <c r="Q17" s="719">
        <v>81.928031921386719</v>
      </c>
      <c r="R17" s="719"/>
    </row>
    <row r="18" spans="2:18">
      <c r="B18" s="701"/>
      <c r="C18" s="704"/>
      <c r="D18" s="710"/>
      <c r="E18" s="711"/>
      <c r="F18" s="711"/>
      <c r="G18" s="715"/>
      <c r="H18" s="715"/>
      <c r="I18" s="715"/>
      <c r="J18" s="715"/>
      <c r="K18" s="715"/>
      <c r="L18" s="715"/>
      <c r="M18" s="715"/>
      <c r="N18" s="715"/>
      <c r="O18" s="720" t="s">
        <v>302</v>
      </c>
      <c r="P18" s="720"/>
      <c r="Q18" s="721">
        <v>97.722274780273438</v>
      </c>
      <c r="R18" s="721"/>
    </row>
    <row r="19" spans="2:18">
      <c r="B19" s="701"/>
      <c r="C19" s="704"/>
      <c r="D19" s="722" t="s">
        <v>303</v>
      </c>
      <c r="E19" s="723"/>
      <c r="F19" s="723"/>
      <c r="G19" s="728" t="s">
        <v>304</v>
      </c>
      <c r="H19" s="729"/>
      <c r="I19" s="729"/>
      <c r="J19" s="729"/>
      <c r="K19" s="729"/>
      <c r="L19" s="729"/>
      <c r="M19" s="729"/>
      <c r="N19" s="729"/>
      <c r="O19" s="730" t="s">
        <v>299</v>
      </c>
      <c r="P19" s="730"/>
      <c r="Q19" s="731">
        <v>19.272205352783203</v>
      </c>
      <c r="R19" s="731"/>
    </row>
    <row r="20" spans="2:18">
      <c r="B20" s="701"/>
      <c r="C20" s="704"/>
      <c r="D20" s="724"/>
      <c r="E20" s="725"/>
      <c r="F20" s="725"/>
      <c r="G20" s="714"/>
      <c r="H20" s="714"/>
      <c r="I20" s="714"/>
      <c r="J20" s="714"/>
      <c r="K20" s="714"/>
      <c r="L20" s="714"/>
      <c r="M20" s="714"/>
      <c r="N20" s="714"/>
      <c r="O20" s="718" t="s">
        <v>300</v>
      </c>
      <c r="P20" s="718"/>
      <c r="Q20" s="719">
        <v>15.990584373474121</v>
      </c>
      <c r="R20" s="719"/>
    </row>
    <row r="21" spans="2:18">
      <c r="B21" s="701"/>
      <c r="C21" s="704"/>
      <c r="D21" s="724"/>
      <c r="E21" s="725"/>
      <c r="F21" s="725"/>
      <c r="G21" s="714"/>
      <c r="H21" s="714"/>
      <c r="I21" s="714"/>
      <c r="J21" s="714"/>
      <c r="K21" s="714"/>
      <c r="L21" s="714"/>
      <c r="M21" s="714"/>
      <c r="N21" s="714"/>
      <c r="O21" s="718" t="s">
        <v>301</v>
      </c>
      <c r="P21" s="718"/>
      <c r="Q21" s="719">
        <v>14.422540664672852</v>
      </c>
      <c r="R21" s="719"/>
    </row>
    <row r="22" spans="2:18">
      <c r="B22" s="701"/>
      <c r="C22" s="704"/>
      <c r="D22" s="726"/>
      <c r="E22" s="727"/>
      <c r="F22" s="727"/>
      <c r="G22" s="715"/>
      <c r="H22" s="715"/>
      <c r="I22" s="715"/>
      <c r="J22" s="715"/>
      <c r="K22" s="715"/>
      <c r="L22" s="715"/>
      <c r="M22" s="715"/>
      <c r="N22" s="715"/>
      <c r="O22" s="720" t="s">
        <v>302</v>
      </c>
      <c r="P22" s="720"/>
      <c r="Q22" s="721">
        <v>16.398578643798828</v>
      </c>
      <c r="R22" s="721"/>
    </row>
    <row r="23" spans="2:18">
      <c r="B23" s="701"/>
      <c r="C23" s="704"/>
      <c r="D23" s="724" t="s">
        <v>305</v>
      </c>
      <c r="E23" s="725"/>
      <c r="F23" s="725"/>
      <c r="G23" s="734" t="s">
        <v>306</v>
      </c>
      <c r="H23" s="714"/>
      <c r="I23" s="714"/>
      <c r="J23" s="714"/>
      <c r="K23" s="714"/>
      <c r="L23" s="714"/>
      <c r="M23" s="714"/>
      <c r="N23" s="714"/>
      <c r="O23" s="718" t="s">
        <v>299</v>
      </c>
      <c r="P23" s="718"/>
      <c r="Q23" s="738" t="s">
        <v>307</v>
      </c>
      <c r="R23" s="738"/>
    </row>
    <row r="24" spans="2:18">
      <c r="B24" s="701"/>
      <c r="C24" s="704"/>
      <c r="D24" s="724"/>
      <c r="E24" s="725"/>
      <c r="F24" s="725"/>
      <c r="G24" s="714"/>
      <c r="H24" s="714"/>
      <c r="I24" s="714"/>
      <c r="J24" s="714"/>
      <c r="K24" s="714"/>
      <c r="L24" s="714"/>
      <c r="M24" s="714"/>
      <c r="N24" s="714"/>
      <c r="O24" s="718" t="s">
        <v>300</v>
      </c>
      <c r="P24" s="718"/>
      <c r="Q24" s="738" t="s">
        <v>308</v>
      </c>
      <c r="R24" s="738"/>
    </row>
    <row r="25" spans="2:18">
      <c r="B25" s="701"/>
      <c r="C25" s="705"/>
      <c r="D25" s="726"/>
      <c r="E25" s="727"/>
      <c r="F25" s="727"/>
      <c r="G25" s="715"/>
      <c r="H25" s="715"/>
      <c r="I25" s="715"/>
      <c r="J25" s="715"/>
      <c r="K25" s="715"/>
      <c r="L25" s="715"/>
      <c r="M25" s="715"/>
      <c r="N25" s="715"/>
      <c r="O25" s="720" t="s">
        <v>301</v>
      </c>
      <c r="P25" s="720"/>
      <c r="Q25" s="739" t="s">
        <v>309</v>
      </c>
      <c r="R25" s="739"/>
    </row>
    <row r="26" spans="2:18">
      <c r="B26" s="701"/>
      <c r="C26" s="704" t="s">
        <v>310</v>
      </c>
      <c r="D26" s="724" t="s">
        <v>303</v>
      </c>
      <c r="E26" s="725"/>
      <c r="F26" s="725"/>
      <c r="G26" s="734" t="s">
        <v>311</v>
      </c>
      <c r="H26" s="714"/>
      <c r="I26" s="714"/>
      <c r="J26" s="714"/>
      <c r="K26" s="714"/>
      <c r="L26" s="714"/>
      <c r="M26" s="714"/>
      <c r="N26" s="714"/>
      <c r="O26" s="718" t="str">
        <f>CONCATENATE("Q 10%",REPORTS!$AA$1)</f>
        <v>Q 10%Nat_F</v>
      </c>
      <c r="P26" s="718"/>
      <c r="Q26" s="719">
        <v>6.1312146186828613</v>
      </c>
      <c r="R26" s="719"/>
    </row>
    <row r="27" spans="2:18">
      <c r="B27" s="702"/>
      <c r="C27" s="732"/>
      <c r="D27" s="733"/>
      <c r="E27" s="733"/>
      <c r="F27" s="733"/>
      <c r="G27" s="735"/>
      <c r="H27" s="735"/>
      <c r="I27" s="735"/>
      <c r="J27" s="735"/>
      <c r="K27" s="735"/>
      <c r="L27" s="735"/>
      <c r="M27" s="735"/>
      <c r="N27" s="735"/>
      <c r="O27" s="736" t="str">
        <f>CONCATENATE("Q 90%",REPORTS!$AA$1)</f>
        <v>Q 90%Nat_F</v>
      </c>
      <c r="P27" s="736"/>
      <c r="Q27" s="737">
        <v>0.1942238062620163</v>
      </c>
      <c r="R27" s="737"/>
    </row>
    <row r="28" spans="2:18" ht="12.75" customHeight="1">
      <c r="B28" s="700" t="s">
        <v>312</v>
      </c>
      <c r="C28" s="768" t="s">
        <v>313</v>
      </c>
      <c r="D28" s="753" t="s">
        <v>314</v>
      </c>
      <c r="E28" s="754"/>
      <c r="F28" s="754"/>
      <c r="G28" s="755" t="s">
        <v>315</v>
      </c>
      <c r="H28" s="713"/>
      <c r="I28" s="713"/>
      <c r="J28" s="713"/>
      <c r="K28" s="713"/>
      <c r="L28" s="713"/>
      <c r="M28" s="713"/>
      <c r="N28" s="713"/>
      <c r="O28" s="716" t="s">
        <v>316</v>
      </c>
      <c r="P28" s="716"/>
      <c r="Q28" s="717">
        <v>8.7547149658203125</v>
      </c>
      <c r="R28" s="717"/>
    </row>
    <row r="29" spans="2:18">
      <c r="B29" s="701"/>
      <c r="C29" s="704"/>
      <c r="D29" s="724"/>
      <c r="E29" s="725"/>
      <c r="F29" s="725"/>
      <c r="G29" s="734" t="s">
        <v>317</v>
      </c>
      <c r="H29" s="714"/>
      <c r="I29" s="714"/>
      <c r="J29" s="714"/>
      <c r="K29" s="714"/>
      <c r="L29" s="714"/>
      <c r="M29" s="714"/>
      <c r="N29" s="714"/>
      <c r="O29" s="718" t="s">
        <v>318</v>
      </c>
      <c r="P29" s="718"/>
      <c r="Q29" s="122">
        <v>6.8518204689025879</v>
      </c>
      <c r="R29" s="504">
        <v>1</v>
      </c>
    </row>
    <row r="30" spans="2:18">
      <c r="B30" s="701"/>
      <c r="C30" s="704"/>
      <c r="D30" s="724"/>
      <c r="E30" s="725"/>
      <c r="F30" s="725"/>
      <c r="G30" s="734" t="s">
        <v>319</v>
      </c>
      <c r="H30" s="714"/>
      <c r="I30" s="714"/>
      <c r="J30" s="714"/>
      <c r="K30" s="714"/>
      <c r="L30" s="714"/>
      <c r="M30" s="714"/>
      <c r="N30" s="714"/>
      <c r="O30" s="718" t="s">
        <v>320</v>
      </c>
      <c r="P30" s="718"/>
      <c r="Q30" s="122">
        <v>8.5760536193847656</v>
      </c>
      <c r="R30" s="504">
        <v>2</v>
      </c>
    </row>
    <row r="31" spans="2:18">
      <c r="B31" s="701"/>
      <c r="C31" s="704"/>
      <c r="D31" s="726"/>
      <c r="E31" s="727"/>
      <c r="F31" s="727"/>
      <c r="G31" s="745" t="s">
        <v>321</v>
      </c>
      <c r="H31" s="746"/>
      <c r="I31" s="746"/>
      <c r="J31" s="746"/>
      <c r="K31" s="746"/>
      <c r="L31" s="746"/>
      <c r="M31" s="746"/>
      <c r="N31" s="746"/>
      <c r="O31" s="747" t="str">
        <f>CONCATENATE("Q 5%",REPORTS!$AA$1)</f>
        <v>Q 5%Nat_F</v>
      </c>
      <c r="P31" s="747"/>
      <c r="Q31" s="748">
        <v>6.8856186866760254</v>
      </c>
      <c r="R31" s="748"/>
    </row>
    <row r="32" spans="2:18">
      <c r="B32" s="701"/>
      <c r="C32" s="704"/>
      <c r="D32" s="722" t="s">
        <v>303</v>
      </c>
      <c r="E32" s="723"/>
      <c r="F32" s="723"/>
      <c r="G32" s="749" t="s">
        <v>322</v>
      </c>
      <c r="H32" s="750"/>
      <c r="I32" s="750"/>
      <c r="J32" s="750"/>
      <c r="K32" s="750"/>
      <c r="L32" s="750"/>
      <c r="M32" s="750"/>
      <c r="N32" s="750"/>
      <c r="O32" s="751" t="s">
        <v>323</v>
      </c>
      <c r="P32" s="751"/>
      <c r="Q32" s="752">
        <v>0.13773912191390991</v>
      </c>
      <c r="R32" s="752"/>
    </row>
    <row r="33" spans="2:18">
      <c r="B33" s="701"/>
      <c r="C33" s="704"/>
      <c r="D33" s="726"/>
      <c r="E33" s="727"/>
      <c r="F33" s="727"/>
      <c r="G33" s="744" t="s">
        <v>324</v>
      </c>
      <c r="H33" s="715"/>
      <c r="I33" s="715"/>
      <c r="J33" s="715"/>
      <c r="K33" s="715"/>
      <c r="L33" s="715"/>
      <c r="M33" s="715"/>
      <c r="N33" s="715"/>
      <c r="O33" s="720" t="str">
        <f>CONCATENATE("CV(Q 5%",REPORTS!$AA$1,")")</f>
        <v>CV(Q 5%Nat_F)</v>
      </c>
      <c r="P33" s="720"/>
      <c r="Q33" s="721">
        <v>0.12792657315731049</v>
      </c>
      <c r="R33" s="721"/>
    </row>
    <row r="34" spans="2:18">
      <c r="B34" s="701"/>
      <c r="C34" s="756"/>
      <c r="D34" s="740" t="s">
        <v>305</v>
      </c>
      <c r="E34" s="740"/>
      <c r="F34" s="740"/>
      <c r="G34" s="741" t="s">
        <v>325</v>
      </c>
      <c r="H34" s="742"/>
      <c r="I34" s="742"/>
      <c r="J34" s="742"/>
      <c r="K34" s="742"/>
      <c r="L34" s="742"/>
      <c r="M34" s="742"/>
      <c r="N34" s="742"/>
      <c r="O34" s="743" t="s">
        <v>326</v>
      </c>
      <c r="P34" s="743"/>
      <c r="Q34" s="743"/>
      <c r="R34" s="743"/>
    </row>
    <row r="35" spans="2:18" ht="13.25" customHeight="1">
      <c r="B35" s="701"/>
      <c r="C35" s="769"/>
      <c r="D35" s="740" t="s">
        <v>327</v>
      </c>
      <c r="E35" s="740"/>
      <c r="F35" s="740"/>
      <c r="G35" s="744" t="s">
        <v>328</v>
      </c>
      <c r="H35" s="715"/>
      <c r="I35" s="715"/>
      <c r="J35" s="715"/>
      <c r="K35" s="715"/>
      <c r="L35" s="715"/>
      <c r="M35" s="715"/>
      <c r="N35" s="715"/>
      <c r="O35" s="720"/>
      <c r="P35" s="720"/>
      <c r="Q35" s="721">
        <v>10.238095283508301</v>
      </c>
      <c r="R35" s="721"/>
    </row>
    <row r="36" spans="2:18" ht="12.75" customHeight="1">
      <c r="B36" s="701"/>
      <c r="C36" s="704" t="s">
        <v>329</v>
      </c>
      <c r="D36" s="722" t="s">
        <v>314</v>
      </c>
      <c r="E36" s="723"/>
      <c r="F36" s="723"/>
      <c r="G36" s="728" t="s">
        <v>330</v>
      </c>
      <c r="H36" s="729"/>
      <c r="I36" s="729"/>
      <c r="J36" s="729"/>
      <c r="K36" s="729"/>
      <c r="L36" s="729"/>
      <c r="M36" s="729"/>
      <c r="N36" s="729"/>
      <c r="O36" s="730" t="s">
        <v>331</v>
      </c>
      <c r="P36" s="730"/>
      <c r="Q36" s="731">
        <v>0.11605095863342285</v>
      </c>
      <c r="R36" s="731"/>
    </row>
    <row r="37" spans="2:18">
      <c r="B37" s="701"/>
      <c r="C37" s="756"/>
      <c r="D37" s="726"/>
      <c r="E37" s="727"/>
      <c r="F37" s="727"/>
      <c r="G37" s="745" t="s">
        <v>332</v>
      </c>
      <c r="H37" s="746"/>
      <c r="I37" s="746"/>
      <c r="J37" s="746"/>
      <c r="K37" s="746"/>
      <c r="L37" s="746"/>
      <c r="M37" s="746"/>
      <c r="N37" s="746"/>
      <c r="O37" s="747" t="str">
        <f>CONCATENATE("Q 95%",REPORTS!$AA$1)</f>
        <v>Q 95%Nat_F</v>
      </c>
      <c r="P37" s="747"/>
      <c r="Q37" s="748">
        <v>0.15607382357120514</v>
      </c>
      <c r="R37" s="748"/>
    </row>
    <row r="38" spans="2:18">
      <c r="B38" s="701"/>
      <c r="C38" s="756"/>
      <c r="D38" s="722" t="s">
        <v>303</v>
      </c>
      <c r="E38" s="723"/>
      <c r="F38" s="723"/>
      <c r="G38" s="749" t="s">
        <v>333</v>
      </c>
      <c r="H38" s="750"/>
      <c r="I38" s="750"/>
      <c r="J38" s="750"/>
      <c r="K38" s="750"/>
      <c r="L38" s="750"/>
      <c r="M38" s="750"/>
      <c r="N38" s="750"/>
      <c r="O38" s="751" t="s">
        <v>334</v>
      </c>
      <c r="P38" s="751"/>
      <c r="Q38" s="752">
        <v>0.16636852920055389</v>
      </c>
      <c r="R38" s="752"/>
    </row>
    <row r="39" spans="2:18">
      <c r="B39" s="701"/>
      <c r="C39" s="756"/>
      <c r="D39" s="726"/>
      <c r="E39" s="727"/>
      <c r="F39" s="727"/>
      <c r="G39" s="744" t="s">
        <v>335</v>
      </c>
      <c r="H39" s="715"/>
      <c r="I39" s="715"/>
      <c r="J39" s="715"/>
      <c r="K39" s="715"/>
      <c r="L39" s="715"/>
      <c r="M39" s="715"/>
      <c r="N39" s="715"/>
      <c r="O39" s="720" t="str">
        <f>CONCATENATE("CV(Q 95%",REPORTS!$AA$1,")")</f>
        <v>CV(Q 95%Nat_F)</v>
      </c>
      <c r="P39" s="720"/>
      <c r="Q39" s="721">
        <v>0.14738418161869049</v>
      </c>
      <c r="R39" s="721"/>
    </row>
    <row r="40" spans="2:18">
      <c r="B40" s="701"/>
      <c r="C40" s="756"/>
      <c r="D40" s="770" t="s">
        <v>305</v>
      </c>
      <c r="E40" s="770"/>
      <c r="F40" s="770"/>
      <c r="G40" s="771" t="s">
        <v>336</v>
      </c>
      <c r="H40" s="772"/>
      <c r="I40" s="772"/>
      <c r="J40" s="772"/>
      <c r="K40" s="772"/>
      <c r="L40" s="772"/>
      <c r="M40" s="772"/>
      <c r="N40" s="772"/>
      <c r="O40" s="743" t="s">
        <v>326</v>
      </c>
      <c r="P40" s="743"/>
      <c r="Q40" s="743"/>
      <c r="R40" s="743"/>
    </row>
    <row r="41" spans="2:18">
      <c r="B41" s="701"/>
      <c r="C41" s="756"/>
      <c r="D41" s="724" t="s">
        <v>327</v>
      </c>
      <c r="E41" s="725"/>
      <c r="F41" s="725"/>
      <c r="G41" s="734" t="s">
        <v>337</v>
      </c>
      <c r="H41" s="714"/>
      <c r="I41" s="714"/>
      <c r="J41" s="714"/>
      <c r="K41" s="714"/>
      <c r="L41" s="714"/>
      <c r="M41" s="714"/>
      <c r="N41" s="714"/>
      <c r="O41" s="718"/>
      <c r="P41" s="718"/>
      <c r="Q41" s="719">
        <v>10.666666984558105</v>
      </c>
      <c r="R41" s="719"/>
    </row>
    <row r="42" spans="2:18">
      <c r="B42" s="702"/>
      <c r="C42" s="757"/>
      <c r="D42" s="765"/>
      <c r="E42" s="733"/>
      <c r="F42" s="733"/>
      <c r="G42" s="766" t="s">
        <v>338</v>
      </c>
      <c r="H42" s="735"/>
      <c r="I42" s="735"/>
      <c r="J42" s="735"/>
      <c r="K42" s="735"/>
      <c r="L42" s="735"/>
      <c r="M42" s="735"/>
      <c r="N42" s="735"/>
      <c r="O42" s="767" t="s">
        <v>326</v>
      </c>
      <c r="P42" s="767"/>
      <c r="Q42" s="767"/>
      <c r="R42" s="767"/>
    </row>
    <row r="43" spans="2:18">
      <c r="B43" s="123" t="s">
        <v>339</v>
      </c>
      <c r="C43" s="123"/>
      <c r="D43" s="123"/>
      <c r="E43" s="123"/>
      <c r="F43" s="123"/>
      <c r="G43" s="123"/>
      <c r="H43" s="123"/>
      <c r="I43" s="123"/>
      <c r="J43" s="123"/>
      <c r="K43" s="123"/>
      <c r="L43" s="123"/>
      <c r="M43" s="123"/>
      <c r="N43" s="123"/>
      <c r="O43" s="123"/>
      <c r="P43" s="123"/>
      <c r="Q43" s="123"/>
      <c r="R43" s="123"/>
    </row>
    <row r="44" spans="2:18">
      <c r="B44" s="123"/>
      <c r="C44" s="123"/>
      <c r="D44" s="123"/>
      <c r="E44" s="123"/>
      <c r="F44" s="123"/>
      <c r="G44" s="123"/>
      <c r="H44" s="123"/>
      <c r="I44" s="123"/>
      <c r="J44" s="123"/>
      <c r="K44" s="123"/>
      <c r="L44" s="123"/>
      <c r="M44" s="123"/>
      <c r="N44" s="123"/>
      <c r="O44" s="123"/>
      <c r="P44" s="123"/>
      <c r="Q44" s="123"/>
    </row>
    <row r="45" spans="2:18" ht="13">
      <c r="B45" s="760" t="s">
        <v>340</v>
      </c>
      <c r="C45" s="760"/>
      <c r="D45" s="760"/>
      <c r="E45" s="124" t="s">
        <v>193</v>
      </c>
      <c r="F45" s="124" t="s">
        <v>194</v>
      </c>
      <c r="G45" s="124" t="s">
        <v>195</v>
      </c>
      <c r="H45" s="124" t="s">
        <v>196</v>
      </c>
      <c r="I45" s="124" t="s">
        <v>197</v>
      </c>
      <c r="J45" s="124" t="s">
        <v>198</v>
      </c>
      <c r="K45" s="124" t="s">
        <v>199</v>
      </c>
      <c r="L45" s="124" t="s">
        <v>200</v>
      </c>
      <c r="M45" s="124" t="s">
        <v>201</v>
      </c>
      <c r="N45" s="124" t="s">
        <v>202</v>
      </c>
      <c r="O45" s="124" t="s">
        <v>203</v>
      </c>
      <c r="P45" s="761" t="s">
        <v>204</v>
      </c>
      <c r="Q45" s="761"/>
    </row>
    <row r="46" spans="2:18">
      <c r="B46" s="762" t="str">
        <f>CONCATENATE("AVERAGE Nº OF DAYS PER MONTH WITH Q≥Q5%",REPORTS!$AA$1)</f>
        <v>AVERAGE Nº OF DAYS PER MONTH WITH Q≥Q5%Nat_F</v>
      </c>
      <c r="C46" s="762"/>
      <c r="D46" s="762"/>
      <c r="E46" s="125">
        <v>4.3333334922790527</v>
      </c>
      <c r="F46" s="125">
        <v>0.4285714328289032</v>
      </c>
      <c r="G46" s="125">
        <v>0.4761904776096344</v>
      </c>
      <c r="H46" s="125">
        <v>1.7619047164916992</v>
      </c>
      <c r="I46" s="125">
        <v>3.7142856121063232</v>
      </c>
      <c r="J46" s="125">
        <v>0</v>
      </c>
      <c r="K46" s="125">
        <v>0</v>
      </c>
      <c r="L46" s="125">
        <v>0</v>
      </c>
      <c r="M46" s="125">
        <v>0</v>
      </c>
      <c r="N46" s="125">
        <v>0</v>
      </c>
      <c r="O46" s="125">
        <v>0.8095238208770752</v>
      </c>
      <c r="P46" s="763">
        <v>7</v>
      </c>
      <c r="Q46" s="763"/>
      <c r="R46" s="126"/>
    </row>
    <row r="47" spans="2:18">
      <c r="B47" s="762" t="str">
        <f>CONCATENATE("AVERAGE Nº OF DAYS PER MONTH WITH Q≤Q95%",REPORTS!$AA$1)</f>
        <v>AVERAGE Nº OF DAYS PER MONTH WITH Q≤Q95%Nat_F</v>
      </c>
      <c r="C47" s="762"/>
      <c r="D47" s="762"/>
      <c r="E47" s="127">
        <v>0</v>
      </c>
      <c r="F47" s="127">
        <v>0</v>
      </c>
      <c r="G47" s="127">
        <v>0</v>
      </c>
      <c r="H47" s="127">
        <v>0</v>
      </c>
      <c r="I47" s="127">
        <v>0</v>
      </c>
      <c r="J47" s="127">
        <v>0</v>
      </c>
      <c r="K47" s="127">
        <v>0</v>
      </c>
      <c r="L47" s="127">
        <v>7.4761905670166016</v>
      </c>
      <c r="M47" s="127">
        <v>13.333333015441895</v>
      </c>
      <c r="N47" s="127">
        <v>4.76190485060215E-2</v>
      </c>
      <c r="O47" s="127">
        <v>0</v>
      </c>
      <c r="P47" s="764">
        <v>0</v>
      </c>
      <c r="Q47" s="764"/>
      <c r="R47" s="128"/>
    </row>
    <row r="48" spans="2:18">
      <c r="B48" s="758" t="s">
        <v>341</v>
      </c>
      <c r="C48" s="758"/>
      <c r="D48" s="758"/>
      <c r="E48" s="129">
        <v>0</v>
      </c>
      <c r="F48" s="129">
        <v>0</v>
      </c>
      <c r="G48" s="129">
        <v>0</v>
      </c>
      <c r="H48" s="129">
        <v>0</v>
      </c>
      <c r="I48" s="129">
        <v>0</v>
      </c>
      <c r="J48" s="129">
        <v>0</v>
      </c>
      <c r="K48" s="129">
        <v>0</v>
      </c>
      <c r="L48" s="129">
        <v>0</v>
      </c>
      <c r="M48" s="129">
        <v>0</v>
      </c>
      <c r="N48" s="129">
        <v>0</v>
      </c>
      <c r="O48" s="129">
        <v>0</v>
      </c>
      <c r="P48" s="759">
        <v>0</v>
      </c>
      <c r="Q48" s="759"/>
      <c r="R48" s="126"/>
    </row>
    <row r="49" spans="2:17">
      <c r="B49" s="130"/>
      <c r="C49" s="130"/>
      <c r="D49" s="130"/>
      <c r="E49" s="130"/>
      <c r="F49" s="130"/>
      <c r="G49" s="130"/>
      <c r="H49" s="130"/>
      <c r="I49" s="130"/>
      <c r="J49" s="130"/>
      <c r="K49" s="130"/>
      <c r="L49" s="130"/>
      <c r="M49" s="131"/>
      <c r="N49" s="131"/>
      <c r="O49" s="131"/>
      <c r="P49" s="131"/>
      <c r="Q49" s="131"/>
    </row>
    <row r="50" spans="2:17" ht="15.5">
      <c r="C50" s="500" t="str">
        <f>CONCATENATE("Average nº of days per month with
 Q ≥ Q5%",REPORTS!$AA$1)</f>
        <v>Average nº of days per month with
 Q ≥ Q5%Nat_F</v>
      </c>
      <c r="I50" s="500" t="str">
        <f>CONCATENATE("Average nº of days per month with  Q ≤ Q95%",REPORTS!$AA$1)</f>
        <v>Average nº of days per month with  Q ≤ Q95%Nat_F</v>
      </c>
    </row>
  </sheetData>
  <mergeCells count="109">
    <mergeCell ref="G42:N42"/>
    <mergeCell ref="O42:R42"/>
    <mergeCell ref="B28:B42"/>
    <mergeCell ref="C28:C35"/>
    <mergeCell ref="O30:P30"/>
    <mergeCell ref="O38:P38"/>
    <mergeCell ref="Q38:R38"/>
    <mergeCell ref="G39:N39"/>
    <mergeCell ref="O39:P39"/>
    <mergeCell ref="Q39:R39"/>
    <mergeCell ref="D40:F40"/>
    <mergeCell ref="G40:N40"/>
    <mergeCell ref="B48:D48"/>
    <mergeCell ref="P48:Q48"/>
    <mergeCell ref="B45:D45"/>
    <mergeCell ref="P45:Q45"/>
    <mergeCell ref="B46:D46"/>
    <mergeCell ref="P46:Q46"/>
    <mergeCell ref="B47:D47"/>
    <mergeCell ref="P47:Q47"/>
    <mergeCell ref="G30:N30"/>
    <mergeCell ref="O40:R40"/>
    <mergeCell ref="C36:C42"/>
    <mergeCell ref="D36:F37"/>
    <mergeCell ref="G36:N36"/>
    <mergeCell ref="O36:P36"/>
    <mergeCell ref="Q36:R36"/>
    <mergeCell ref="G37:N37"/>
    <mergeCell ref="O37:P37"/>
    <mergeCell ref="Q37:R37"/>
    <mergeCell ref="D38:F39"/>
    <mergeCell ref="G38:N38"/>
    <mergeCell ref="D41:F42"/>
    <mergeCell ref="G41:N41"/>
    <mergeCell ref="O41:P41"/>
    <mergeCell ref="Q41:R41"/>
    <mergeCell ref="G31:N31"/>
    <mergeCell ref="O31:P31"/>
    <mergeCell ref="Q31:R31"/>
    <mergeCell ref="D32:F33"/>
    <mergeCell ref="G32:N32"/>
    <mergeCell ref="O32:P32"/>
    <mergeCell ref="Q32:R32"/>
    <mergeCell ref="G33:N33"/>
    <mergeCell ref="O33:P33"/>
    <mergeCell ref="Q33:R33"/>
    <mergeCell ref="D28:F31"/>
    <mergeCell ref="G28:N28"/>
    <mergeCell ref="O28:P28"/>
    <mergeCell ref="Q28:R28"/>
    <mergeCell ref="G29:N29"/>
    <mergeCell ref="O29:P29"/>
    <mergeCell ref="D34:F34"/>
    <mergeCell ref="G34:N34"/>
    <mergeCell ref="O34:R34"/>
    <mergeCell ref="D35:F35"/>
    <mergeCell ref="G35:N35"/>
    <mergeCell ref="O35:P35"/>
    <mergeCell ref="Q35:R35"/>
    <mergeCell ref="Q26:R26"/>
    <mergeCell ref="O27:P27"/>
    <mergeCell ref="Q27:R27"/>
    <mergeCell ref="O22:P22"/>
    <mergeCell ref="Q22:R22"/>
    <mergeCell ref="O23:P23"/>
    <mergeCell ref="Q23:R23"/>
    <mergeCell ref="O24:P24"/>
    <mergeCell ref="Q24:R24"/>
    <mergeCell ref="O25:P25"/>
    <mergeCell ref="Q25:R25"/>
    <mergeCell ref="Q18:R18"/>
    <mergeCell ref="D19:F22"/>
    <mergeCell ref="G19:N22"/>
    <mergeCell ref="O19:P19"/>
    <mergeCell ref="Q19:R19"/>
    <mergeCell ref="O20:P20"/>
    <mergeCell ref="Q20:R20"/>
    <mergeCell ref="O21:P21"/>
    <mergeCell ref="Q21:R21"/>
    <mergeCell ref="Q15:R15"/>
    <mergeCell ref="O16:P16"/>
    <mergeCell ref="Q16:R16"/>
    <mergeCell ref="O17:P17"/>
    <mergeCell ref="Q17:R17"/>
    <mergeCell ref="B15:B27"/>
    <mergeCell ref="C15:C25"/>
    <mergeCell ref="D15:F18"/>
    <mergeCell ref="G15:N18"/>
    <mergeCell ref="O15:P15"/>
    <mergeCell ref="O18:P18"/>
    <mergeCell ref="C26:C27"/>
    <mergeCell ref="D26:F27"/>
    <mergeCell ref="G26:N27"/>
    <mergeCell ref="O26:P26"/>
    <mergeCell ref="D23:F25"/>
    <mergeCell ref="G23:N25"/>
    <mergeCell ref="B6:D6"/>
    <mergeCell ref="B7:D7"/>
    <mergeCell ref="B11:R11"/>
    <mergeCell ref="B13:C14"/>
    <mergeCell ref="D13:F14"/>
    <mergeCell ref="G13:R13"/>
    <mergeCell ref="G14:N14"/>
    <mergeCell ref="O14:R14"/>
    <mergeCell ref="B2:C2"/>
    <mergeCell ref="D2:R2"/>
    <mergeCell ref="B3:C3"/>
    <mergeCell ref="D3:R3"/>
    <mergeCell ref="B5:D5"/>
  </mergeCells>
  <pageMargins left="0.7" right="0.7" top="0.75" bottom="0.75" header="0.3" footer="0.3"/>
  <pageSetup paperSize="9" orientation="portrait" horizontalDpi="1200" verticalDpi="12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8"/>
  <dimension ref="B1:AK85"/>
  <sheetViews>
    <sheetView showGridLines="0" zoomScale="70" zoomScaleNormal="70" workbookViewId="0">
      <selection activeCell="B3" sqref="B3:C3"/>
    </sheetView>
  </sheetViews>
  <sheetFormatPr baseColWidth="10" defaultColWidth="11.453125" defaultRowHeight="12.5"/>
  <cols>
    <col min="1" max="1" width="2.81640625" style="3" customWidth="1"/>
    <col min="2" max="3" width="14.81640625" style="3" customWidth="1"/>
    <col min="4" max="4" width="19.90625" style="3" customWidth="1"/>
    <col min="5" max="5" width="7.1796875" style="3" customWidth="1"/>
    <col min="6" max="6" width="5.81640625" style="3" customWidth="1"/>
    <col min="7" max="11" width="7.1796875" style="3" customWidth="1"/>
    <col min="12" max="13" width="8" style="3" customWidth="1"/>
    <col min="14" max="14" width="9.1796875" style="3" customWidth="1"/>
    <col min="15" max="15" width="7.81640625" style="3" customWidth="1"/>
    <col min="16" max="16" width="8" style="3" customWidth="1"/>
    <col min="17" max="17" width="7.81640625" style="3" customWidth="1"/>
    <col min="18" max="18" width="6.81640625" style="3" customWidth="1"/>
    <col min="19" max="20" width="11.453125" style="3" customWidth="1"/>
    <col min="21" max="21" width="26.54296875" style="3" customWidth="1"/>
    <col min="22" max="34" width="11.453125" style="3" customWidth="1"/>
    <col min="35" max="35" width="4.81640625" style="3" customWidth="1"/>
    <col min="36" max="36" width="11.453125" style="3" customWidth="1"/>
    <col min="37" max="16384" width="11.453125" style="3"/>
  </cols>
  <sheetData>
    <row r="1" spans="2:18">
      <c r="D1" s="2"/>
      <c r="E1" s="2"/>
      <c r="F1" s="2"/>
      <c r="G1" s="2"/>
      <c r="H1" s="2"/>
      <c r="I1" s="2"/>
      <c r="J1" s="2"/>
      <c r="K1" s="2"/>
      <c r="L1" s="2"/>
    </row>
    <row r="2" spans="2:18" ht="18">
      <c r="B2" s="687" t="s">
        <v>274</v>
      </c>
      <c r="C2" s="687"/>
      <c r="D2" s="688" t="str">
        <f>UPPER(REPORTS!$AB$2)</f>
        <v>ALTERED FLOW</v>
      </c>
      <c r="E2" s="688"/>
      <c r="F2" s="688"/>
      <c r="G2" s="688"/>
      <c r="H2" s="688"/>
      <c r="I2" s="688"/>
      <c r="J2" s="688"/>
      <c r="K2" s="688"/>
      <c r="L2" s="688"/>
      <c r="M2" s="688"/>
      <c r="N2" s="688"/>
      <c r="O2" s="688"/>
      <c r="P2" s="688"/>
      <c r="Q2" s="688"/>
      <c r="R2" s="688"/>
    </row>
    <row r="3" spans="2:18" ht="18">
      <c r="B3" s="687" t="s">
        <v>342</v>
      </c>
      <c r="C3" s="687"/>
      <c r="D3" s="689" t="s">
        <v>289</v>
      </c>
      <c r="E3" s="688"/>
      <c r="F3" s="688"/>
      <c r="G3" s="688"/>
      <c r="H3" s="688"/>
      <c r="I3" s="688"/>
      <c r="J3" s="688"/>
      <c r="K3" s="688"/>
      <c r="L3" s="688"/>
      <c r="M3" s="688"/>
      <c r="N3" s="688"/>
      <c r="O3" s="688"/>
      <c r="P3" s="688"/>
      <c r="Q3" s="688"/>
      <c r="R3" s="688"/>
    </row>
    <row r="5" spans="2:18" ht="15.75" customHeight="1">
      <c r="B5" s="556" t="s">
        <v>1</v>
      </c>
      <c r="C5" s="556"/>
      <c r="D5" s="556"/>
      <c r="E5" s="484" t="str">
        <f>REPORTS!E7</f>
        <v>Natural Flow (Nat_F)</v>
      </c>
      <c r="F5" s="489"/>
      <c r="G5" s="489"/>
      <c r="H5" s="489"/>
      <c r="I5" s="489"/>
      <c r="J5" s="95"/>
      <c r="K5" s="95"/>
      <c r="L5" s="95"/>
      <c r="M5" s="95"/>
      <c r="N5" s="95"/>
      <c r="O5" s="95"/>
      <c r="P5" s="95"/>
      <c r="Q5" s="95"/>
      <c r="R5" s="95"/>
    </row>
    <row r="6" spans="2:18" ht="15.75" customHeight="1">
      <c r="B6" s="556" t="s">
        <v>2</v>
      </c>
      <c r="C6" s="556"/>
      <c r="D6" s="556"/>
      <c r="E6" s="484" t="str">
        <f>REPORTS!E8</f>
        <v>Altered Flow (Alt_F)</v>
      </c>
      <c r="F6" s="489"/>
      <c r="G6" s="489"/>
      <c r="H6" s="489"/>
      <c r="I6" s="489"/>
      <c r="J6" s="95"/>
      <c r="K6" s="95"/>
      <c r="L6" s="95"/>
      <c r="M6" s="95"/>
      <c r="N6" s="95"/>
      <c r="O6" s="95"/>
      <c r="P6" s="95"/>
      <c r="Q6" s="95"/>
      <c r="R6" s="95"/>
    </row>
    <row r="7" spans="2:18" ht="13">
      <c r="B7" s="556" t="s">
        <v>3</v>
      </c>
      <c r="C7" s="556"/>
      <c r="D7" s="556"/>
      <c r="E7" s="484" t="s">
        <v>4</v>
      </c>
      <c r="F7" s="489"/>
      <c r="G7" s="489"/>
      <c r="H7" s="489"/>
      <c r="I7" s="489"/>
      <c r="J7" s="95"/>
      <c r="K7" s="95"/>
      <c r="L7" s="95"/>
      <c r="M7" s="95"/>
      <c r="N7" s="95"/>
      <c r="O7" s="95"/>
      <c r="P7" s="95"/>
      <c r="Q7" s="95"/>
      <c r="R7" s="95"/>
    </row>
    <row r="8" spans="2:18" ht="13">
      <c r="B8" s="482"/>
      <c r="C8" s="482"/>
      <c r="D8" s="482"/>
      <c r="E8" s="477"/>
      <c r="F8" s="484"/>
      <c r="G8" s="484"/>
      <c r="H8" s="484"/>
      <c r="I8" s="484"/>
      <c r="J8" s="95"/>
      <c r="K8" s="95"/>
      <c r="L8" s="95"/>
      <c r="M8" s="95"/>
      <c r="N8" s="95"/>
      <c r="O8" s="95"/>
      <c r="P8" s="95"/>
      <c r="Q8" s="95"/>
      <c r="R8" s="95"/>
    </row>
    <row r="9" spans="2:18" ht="13">
      <c r="B9" s="482"/>
      <c r="C9" s="482"/>
      <c r="D9" s="482"/>
      <c r="E9" s="484"/>
      <c r="F9" s="484"/>
      <c r="G9" s="484"/>
      <c r="H9" s="484"/>
      <c r="I9" s="484"/>
      <c r="J9" s="95"/>
      <c r="K9" s="95"/>
      <c r="L9" s="95"/>
      <c r="M9" s="95"/>
      <c r="N9" s="95"/>
      <c r="O9" s="95"/>
      <c r="P9" s="95"/>
      <c r="Q9" s="95"/>
      <c r="R9" s="95"/>
    </row>
    <row r="11" spans="2:18" ht="18">
      <c r="B11" s="690" t="s">
        <v>156</v>
      </c>
      <c r="C11" s="690"/>
      <c r="D11" s="690"/>
      <c r="E11" s="690"/>
      <c r="F11" s="690"/>
      <c r="G11" s="690"/>
      <c r="H11" s="690"/>
      <c r="I11" s="690"/>
      <c r="J11" s="690"/>
      <c r="K11" s="690"/>
      <c r="L11" s="690"/>
      <c r="M11" s="690"/>
      <c r="N11" s="690"/>
      <c r="O11" s="690"/>
      <c r="P11" s="690"/>
      <c r="Q11" s="690"/>
      <c r="R11" s="690"/>
    </row>
    <row r="13" spans="2:18" ht="15.65" customHeight="1">
      <c r="B13" s="691" t="s">
        <v>343</v>
      </c>
      <c r="C13" s="691"/>
      <c r="D13" s="693" t="s">
        <v>291</v>
      </c>
      <c r="E13" s="694"/>
      <c r="F13" s="694"/>
      <c r="G13" s="697" t="s">
        <v>292</v>
      </c>
      <c r="H13" s="698"/>
      <c r="I13" s="698"/>
      <c r="J13" s="698"/>
      <c r="K13" s="698"/>
      <c r="L13" s="698"/>
      <c r="M13" s="698"/>
      <c r="N13" s="698"/>
      <c r="O13" s="698"/>
      <c r="P13" s="698"/>
      <c r="Q13" s="698"/>
      <c r="R13" s="698"/>
    </row>
    <row r="14" spans="2:18" ht="13.75" customHeight="1">
      <c r="B14" s="692"/>
      <c r="C14" s="692"/>
      <c r="D14" s="695"/>
      <c r="E14" s="696"/>
      <c r="F14" s="696"/>
      <c r="G14" s="699" t="s">
        <v>293</v>
      </c>
      <c r="H14" s="773"/>
      <c r="I14" s="773"/>
      <c r="J14" s="773"/>
      <c r="K14" s="773"/>
      <c r="L14" s="773"/>
      <c r="M14" s="773"/>
      <c r="N14" s="773"/>
      <c r="O14" s="699" t="s">
        <v>344</v>
      </c>
      <c r="P14" s="699"/>
      <c r="Q14" s="699"/>
      <c r="R14" s="699"/>
    </row>
    <row r="15" spans="2:18" ht="13.25" customHeight="1">
      <c r="B15" s="700" t="s">
        <v>295</v>
      </c>
      <c r="C15" s="703" t="s">
        <v>296</v>
      </c>
      <c r="D15" s="706" t="s">
        <v>297</v>
      </c>
      <c r="E15" s="707"/>
      <c r="F15" s="707"/>
      <c r="G15" s="774" t="s">
        <v>298</v>
      </c>
      <c r="H15" s="775"/>
      <c r="I15" s="775"/>
      <c r="J15" s="775"/>
      <c r="K15" s="775"/>
      <c r="L15" s="775"/>
      <c r="M15" s="775"/>
      <c r="N15" s="775"/>
      <c r="O15" s="716" t="s">
        <v>299</v>
      </c>
      <c r="P15" s="716"/>
      <c r="Q15" s="717">
        <v>66.504524230957031</v>
      </c>
      <c r="R15" s="717"/>
    </row>
    <row r="16" spans="2:18">
      <c r="B16" s="701"/>
      <c r="C16" s="704"/>
      <c r="D16" s="708"/>
      <c r="E16" s="709"/>
      <c r="F16" s="709"/>
      <c r="G16" s="776"/>
      <c r="H16" s="776"/>
      <c r="I16" s="776"/>
      <c r="J16" s="776"/>
      <c r="K16" s="776"/>
      <c r="L16" s="776"/>
      <c r="M16" s="776"/>
      <c r="N16" s="776"/>
      <c r="O16" s="718" t="s">
        <v>300</v>
      </c>
      <c r="P16" s="718"/>
      <c r="Q16" s="719">
        <v>54.024784088134766</v>
      </c>
      <c r="R16" s="719"/>
    </row>
    <row r="17" spans="2:18">
      <c r="B17" s="701"/>
      <c r="C17" s="704"/>
      <c r="D17" s="708"/>
      <c r="E17" s="709"/>
      <c r="F17" s="709"/>
      <c r="G17" s="776"/>
      <c r="H17" s="776"/>
      <c r="I17" s="776"/>
      <c r="J17" s="776"/>
      <c r="K17" s="776"/>
      <c r="L17" s="776"/>
      <c r="M17" s="776"/>
      <c r="N17" s="776"/>
      <c r="O17" s="718" t="s">
        <v>301</v>
      </c>
      <c r="P17" s="718"/>
      <c r="Q17" s="719">
        <v>43.505165100097656</v>
      </c>
      <c r="R17" s="719"/>
    </row>
    <row r="18" spans="2:18">
      <c r="B18" s="701"/>
      <c r="C18" s="704"/>
      <c r="D18" s="710"/>
      <c r="E18" s="711"/>
      <c r="F18" s="711"/>
      <c r="G18" s="777"/>
      <c r="H18" s="777"/>
      <c r="I18" s="777"/>
      <c r="J18" s="777"/>
      <c r="K18" s="777"/>
      <c r="L18" s="777"/>
      <c r="M18" s="777"/>
      <c r="N18" s="777"/>
      <c r="O18" s="720" t="s">
        <v>302</v>
      </c>
      <c r="P18" s="720"/>
      <c r="Q18" s="721">
        <v>54.491477966308594</v>
      </c>
      <c r="R18" s="721"/>
    </row>
    <row r="19" spans="2:18" ht="13.25" customHeight="1">
      <c r="B19" s="701"/>
      <c r="C19" s="704"/>
      <c r="D19" s="722" t="s">
        <v>303</v>
      </c>
      <c r="E19" s="723"/>
      <c r="F19" s="723"/>
      <c r="G19" s="778" t="s">
        <v>304</v>
      </c>
      <c r="H19" s="779"/>
      <c r="I19" s="779"/>
      <c r="J19" s="779"/>
      <c r="K19" s="779"/>
      <c r="L19" s="779"/>
      <c r="M19" s="779"/>
      <c r="N19" s="779"/>
      <c r="O19" s="730" t="s">
        <v>299</v>
      </c>
      <c r="P19" s="730"/>
      <c r="Q19" s="731">
        <v>15.815243721008301</v>
      </c>
      <c r="R19" s="731"/>
    </row>
    <row r="20" spans="2:18">
      <c r="B20" s="701"/>
      <c r="C20" s="704"/>
      <c r="D20" s="724"/>
      <c r="E20" s="725"/>
      <c r="F20" s="725"/>
      <c r="G20" s="776"/>
      <c r="H20" s="776"/>
      <c r="I20" s="776"/>
      <c r="J20" s="776"/>
      <c r="K20" s="776"/>
      <c r="L20" s="776"/>
      <c r="M20" s="776"/>
      <c r="N20" s="776"/>
      <c r="O20" s="718" t="s">
        <v>300</v>
      </c>
      <c r="P20" s="718"/>
      <c r="Q20" s="719">
        <v>12.056072235107422</v>
      </c>
      <c r="R20" s="719"/>
    </row>
    <row r="21" spans="2:18">
      <c r="B21" s="701"/>
      <c r="C21" s="704"/>
      <c r="D21" s="724"/>
      <c r="E21" s="725"/>
      <c r="F21" s="725"/>
      <c r="G21" s="776"/>
      <c r="H21" s="776"/>
      <c r="I21" s="776"/>
      <c r="J21" s="776"/>
      <c r="K21" s="776"/>
      <c r="L21" s="776"/>
      <c r="M21" s="776"/>
      <c r="N21" s="776"/>
      <c r="O21" s="718" t="s">
        <v>301</v>
      </c>
      <c r="P21" s="718"/>
      <c r="Q21" s="719">
        <v>11.757104873657227</v>
      </c>
      <c r="R21" s="719"/>
    </row>
    <row r="22" spans="2:18">
      <c r="B22" s="701"/>
      <c r="C22" s="704"/>
      <c r="D22" s="726"/>
      <c r="E22" s="727"/>
      <c r="F22" s="727"/>
      <c r="G22" s="777"/>
      <c r="H22" s="777"/>
      <c r="I22" s="777"/>
      <c r="J22" s="777"/>
      <c r="K22" s="777"/>
      <c r="L22" s="777"/>
      <c r="M22" s="777"/>
      <c r="N22" s="777"/>
      <c r="O22" s="720" t="s">
        <v>302</v>
      </c>
      <c r="P22" s="720"/>
      <c r="Q22" s="721">
        <v>12.87993049621582</v>
      </c>
      <c r="R22" s="721"/>
    </row>
    <row r="23" spans="2:18" ht="13.25" customHeight="1">
      <c r="B23" s="701"/>
      <c r="C23" s="704"/>
      <c r="D23" s="724" t="s">
        <v>305</v>
      </c>
      <c r="E23" s="725"/>
      <c r="F23" s="725"/>
      <c r="G23" s="782" t="s">
        <v>306</v>
      </c>
      <c r="H23" s="776"/>
      <c r="I23" s="776"/>
      <c r="J23" s="776"/>
      <c r="K23" s="776"/>
      <c r="L23" s="776"/>
      <c r="M23" s="776"/>
      <c r="N23" s="776"/>
      <c r="O23" s="718" t="s">
        <v>299</v>
      </c>
      <c r="P23" s="718"/>
      <c r="Q23" s="738" t="s">
        <v>345</v>
      </c>
      <c r="R23" s="738"/>
    </row>
    <row r="24" spans="2:18">
      <c r="B24" s="701"/>
      <c r="C24" s="704"/>
      <c r="D24" s="724"/>
      <c r="E24" s="725"/>
      <c r="F24" s="725"/>
      <c r="G24" s="776"/>
      <c r="H24" s="776"/>
      <c r="I24" s="776"/>
      <c r="J24" s="776"/>
      <c r="K24" s="776"/>
      <c r="L24" s="776"/>
      <c r="M24" s="776"/>
      <c r="N24" s="776"/>
      <c r="O24" s="718" t="s">
        <v>300</v>
      </c>
      <c r="P24" s="718"/>
      <c r="Q24" s="738" t="s">
        <v>345</v>
      </c>
      <c r="R24" s="738"/>
    </row>
    <row r="25" spans="2:18">
      <c r="B25" s="701"/>
      <c r="C25" s="705"/>
      <c r="D25" s="726"/>
      <c r="E25" s="727"/>
      <c r="F25" s="727"/>
      <c r="G25" s="777"/>
      <c r="H25" s="777"/>
      <c r="I25" s="777"/>
      <c r="J25" s="777"/>
      <c r="K25" s="777"/>
      <c r="L25" s="777"/>
      <c r="M25" s="777"/>
      <c r="N25" s="777"/>
      <c r="O25" s="720" t="s">
        <v>301</v>
      </c>
      <c r="P25" s="720"/>
      <c r="Q25" s="739" t="s">
        <v>309</v>
      </c>
      <c r="R25" s="739"/>
    </row>
    <row r="26" spans="2:18" ht="13.25" customHeight="1">
      <c r="B26" s="701"/>
      <c r="C26" s="704" t="s">
        <v>310</v>
      </c>
      <c r="D26" s="724" t="s">
        <v>303</v>
      </c>
      <c r="E26" s="725"/>
      <c r="F26" s="725"/>
      <c r="G26" s="782" t="s">
        <v>311</v>
      </c>
      <c r="H26" s="776"/>
      <c r="I26" s="776"/>
      <c r="J26" s="776"/>
      <c r="K26" s="776"/>
      <c r="L26" s="776"/>
      <c r="M26" s="776"/>
      <c r="N26" s="776"/>
      <c r="O26" s="718" t="str">
        <f>CONCATENATE("Q 10% ",REPORTS!$AA$2)</f>
        <v>Q 10% Alt_F</v>
      </c>
      <c r="P26" s="718"/>
      <c r="Q26" s="719">
        <v>4.5684995651245117</v>
      </c>
      <c r="R26" s="719"/>
    </row>
    <row r="27" spans="2:18">
      <c r="B27" s="702"/>
      <c r="C27" s="732"/>
      <c r="D27" s="733"/>
      <c r="E27" s="733"/>
      <c r="F27" s="733"/>
      <c r="G27" s="783"/>
      <c r="H27" s="783"/>
      <c r="I27" s="783"/>
      <c r="J27" s="783"/>
      <c r="K27" s="783"/>
      <c r="L27" s="783"/>
      <c r="M27" s="783"/>
      <c r="N27" s="783"/>
      <c r="O27" s="736" t="str">
        <f>CONCATENATE("Q 90% ",REPORTS!$AA$2)</f>
        <v>Q 90% Alt_F</v>
      </c>
      <c r="P27" s="736"/>
      <c r="Q27" s="737">
        <v>7.0631667971611023E-2</v>
      </c>
      <c r="R27" s="737"/>
    </row>
    <row r="28" spans="2:18" ht="12.75" customHeight="1">
      <c r="B28" s="700" t="s">
        <v>312</v>
      </c>
      <c r="C28" s="768" t="s">
        <v>313</v>
      </c>
      <c r="D28" s="753" t="s">
        <v>314</v>
      </c>
      <c r="E28" s="754"/>
      <c r="F28" s="754"/>
      <c r="G28" s="792" t="s">
        <v>315</v>
      </c>
      <c r="H28" s="775"/>
      <c r="I28" s="775"/>
      <c r="J28" s="775"/>
      <c r="K28" s="775"/>
      <c r="L28" s="775"/>
      <c r="M28" s="775"/>
      <c r="N28" s="775"/>
      <c r="O28" s="716" t="s">
        <v>316</v>
      </c>
      <c r="P28" s="716"/>
      <c r="Q28" s="717">
        <v>7.0158576965332031</v>
      </c>
      <c r="R28" s="717"/>
    </row>
    <row r="29" spans="2:18" ht="13.25" customHeight="1">
      <c r="B29" s="701"/>
      <c r="C29" s="704"/>
      <c r="D29" s="724"/>
      <c r="E29" s="725"/>
      <c r="F29" s="725"/>
      <c r="G29" s="782" t="s">
        <v>317</v>
      </c>
      <c r="H29" s="776"/>
      <c r="I29" s="776"/>
      <c r="J29" s="776"/>
      <c r="K29" s="776"/>
      <c r="L29" s="776"/>
      <c r="M29" s="776"/>
      <c r="N29" s="776"/>
      <c r="O29" s="718" t="s">
        <v>346</v>
      </c>
      <c r="P29" s="718"/>
      <c r="Q29" s="501">
        <v>5.7568306922912598</v>
      </c>
      <c r="R29" s="501">
        <v>1</v>
      </c>
    </row>
    <row r="30" spans="2:18" ht="13.25" customHeight="1">
      <c r="B30" s="701"/>
      <c r="C30" s="704"/>
      <c r="D30" s="724"/>
      <c r="E30" s="725"/>
      <c r="F30" s="725"/>
      <c r="G30" s="782" t="s">
        <v>319</v>
      </c>
      <c r="H30" s="776"/>
      <c r="I30" s="776"/>
      <c r="J30" s="776"/>
      <c r="K30" s="776"/>
      <c r="L30" s="776"/>
      <c r="M30" s="776"/>
      <c r="N30" s="776"/>
      <c r="O30" s="718" t="s">
        <v>347</v>
      </c>
      <c r="P30" s="718"/>
      <c r="Q30" s="501">
        <v>7.068535327911377</v>
      </c>
      <c r="R30" s="501">
        <v>2</v>
      </c>
    </row>
    <row r="31" spans="2:18" ht="13.25" customHeight="1">
      <c r="B31" s="701"/>
      <c r="C31" s="704"/>
      <c r="D31" s="726"/>
      <c r="E31" s="727"/>
      <c r="F31" s="727"/>
      <c r="G31" s="784" t="s">
        <v>321</v>
      </c>
      <c r="H31" s="785"/>
      <c r="I31" s="785"/>
      <c r="J31" s="785"/>
      <c r="K31" s="785"/>
      <c r="L31" s="785"/>
      <c r="M31" s="785"/>
      <c r="N31" s="785"/>
      <c r="O31" s="747" t="str">
        <f>CONCATENATE("Q 5% ",REPORTS!$AA$2)</f>
        <v>Q 5% Alt_F</v>
      </c>
      <c r="P31" s="747"/>
      <c r="Q31" s="748">
        <v>5.2575473785400391</v>
      </c>
      <c r="R31" s="748"/>
    </row>
    <row r="32" spans="2:18" ht="13.25" customHeight="1">
      <c r="B32" s="701"/>
      <c r="C32" s="704"/>
      <c r="D32" s="722" t="s">
        <v>303</v>
      </c>
      <c r="E32" s="723"/>
      <c r="F32" s="723"/>
      <c r="G32" s="786" t="s">
        <v>322</v>
      </c>
      <c r="H32" s="787"/>
      <c r="I32" s="787"/>
      <c r="J32" s="787"/>
      <c r="K32" s="787"/>
      <c r="L32" s="787"/>
      <c r="M32" s="787"/>
      <c r="N32" s="787"/>
      <c r="O32" s="751" t="s">
        <v>323</v>
      </c>
      <c r="P32" s="751"/>
      <c r="Q32" s="752">
        <v>0.20090919733047485</v>
      </c>
      <c r="R32" s="752"/>
    </row>
    <row r="33" spans="2:37" ht="13.25" customHeight="1">
      <c r="B33" s="701"/>
      <c r="C33" s="704"/>
      <c r="D33" s="726"/>
      <c r="E33" s="727"/>
      <c r="F33" s="727"/>
      <c r="G33" s="788" t="s">
        <v>324</v>
      </c>
      <c r="H33" s="777"/>
      <c r="I33" s="777"/>
      <c r="J33" s="777"/>
      <c r="K33" s="777"/>
      <c r="L33" s="777"/>
      <c r="M33" s="777"/>
      <c r="N33" s="777"/>
      <c r="O33" s="720" t="str">
        <f>CONCATENATE("CV(Q 5% ",REPORTS!$AA$2,")")</f>
        <v>CV(Q 5% Alt_F)</v>
      </c>
      <c r="P33" s="720"/>
      <c r="Q33" s="721">
        <v>0.18822973966598511</v>
      </c>
      <c r="R33" s="721"/>
    </row>
    <row r="34" spans="2:37" ht="13.25" customHeight="1">
      <c r="B34" s="701"/>
      <c r="C34" s="756"/>
      <c r="D34" s="740" t="s">
        <v>305</v>
      </c>
      <c r="E34" s="740"/>
      <c r="F34" s="740"/>
      <c r="G34" s="780" t="s">
        <v>348</v>
      </c>
      <c r="H34" s="781"/>
      <c r="I34" s="781"/>
      <c r="J34" s="781"/>
      <c r="K34" s="781"/>
      <c r="L34" s="781"/>
      <c r="M34" s="781"/>
      <c r="N34" s="781"/>
      <c r="O34" s="743" t="s">
        <v>326</v>
      </c>
      <c r="P34" s="743"/>
      <c r="Q34" s="743"/>
      <c r="R34" s="743"/>
    </row>
    <row r="35" spans="2:37" ht="13.25" customHeight="1">
      <c r="B35" s="701"/>
      <c r="C35" s="769"/>
      <c r="D35" s="740" t="s">
        <v>327</v>
      </c>
      <c r="E35" s="740"/>
      <c r="F35" s="740"/>
      <c r="G35" s="788" t="s">
        <v>349</v>
      </c>
      <c r="H35" s="777"/>
      <c r="I35" s="777"/>
      <c r="J35" s="777"/>
      <c r="K35" s="777"/>
      <c r="L35" s="777"/>
      <c r="M35" s="777"/>
      <c r="N35" s="777"/>
      <c r="O35" s="720"/>
      <c r="P35" s="720"/>
      <c r="Q35" s="721">
        <v>2.904761791229248</v>
      </c>
      <c r="R35" s="721"/>
    </row>
    <row r="36" spans="2:37" ht="12.75" customHeight="1">
      <c r="B36" s="701"/>
      <c r="C36" s="704" t="s">
        <v>329</v>
      </c>
      <c r="D36" s="722" t="s">
        <v>314</v>
      </c>
      <c r="E36" s="723"/>
      <c r="F36" s="723"/>
      <c r="G36" s="778" t="s">
        <v>330</v>
      </c>
      <c r="H36" s="779"/>
      <c r="I36" s="779"/>
      <c r="J36" s="779"/>
      <c r="K36" s="779"/>
      <c r="L36" s="779"/>
      <c r="M36" s="779"/>
      <c r="N36" s="779"/>
      <c r="O36" s="730" t="s">
        <v>331</v>
      </c>
      <c r="P36" s="730"/>
      <c r="Q36" s="731">
        <v>4.4583335518836975E-2</v>
      </c>
      <c r="R36" s="731"/>
    </row>
    <row r="37" spans="2:37" ht="13.25" customHeight="1">
      <c r="B37" s="701"/>
      <c r="C37" s="756"/>
      <c r="D37" s="726"/>
      <c r="E37" s="727"/>
      <c r="F37" s="727"/>
      <c r="G37" s="784" t="s">
        <v>332</v>
      </c>
      <c r="H37" s="785"/>
      <c r="I37" s="785"/>
      <c r="J37" s="785"/>
      <c r="K37" s="785"/>
      <c r="L37" s="785"/>
      <c r="M37" s="785"/>
      <c r="N37" s="785"/>
      <c r="O37" s="747" t="str">
        <f>CONCATENATE("Q 95% ",REPORTS!$AA$2)</f>
        <v>Q 95% Alt_F</v>
      </c>
      <c r="P37" s="747"/>
      <c r="Q37" s="748">
        <v>5.9758927673101425E-2</v>
      </c>
      <c r="R37" s="748"/>
    </row>
    <row r="38" spans="2:37" ht="13.25" customHeight="1">
      <c r="B38" s="701"/>
      <c r="C38" s="756"/>
      <c r="D38" s="722" t="s">
        <v>303</v>
      </c>
      <c r="E38" s="723"/>
      <c r="F38" s="723"/>
      <c r="G38" s="786" t="s">
        <v>333</v>
      </c>
      <c r="H38" s="787"/>
      <c r="I38" s="787"/>
      <c r="J38" s="787"/>
      <c r="K38" s="787"/>
      <c r="L38" s="787"/>
      <c r="M38" s="787"/>
      <c r="N38" s="787"/>
      <c r="O38" s="751" t="s">
        <v>334</v>
      </c>
      <c r="P38" s="751"/>
      <c r="Q38" s="752">
        <v>0.26208487153053284</v>
      </c>
      <c r="R38" s="752"/>
    </row>
    <row r="39" spans="2:37">
      <c r="B39" s="701"/>
      <c r="C39" s="756"/>
      <c r="D39" s="726"/>
      <c r="E39" s="727"/>
      <c r="F39" s="727"/>
      <c r="G39" s="788" t="s">
        <v>335</v>
      </c>
      <c r="H39" s="777"/>
      <c r="I39" s="777"/>
      <c r="J39" s="777"/>
      <c r="K39" s="777"/>
      <c r="L39" s="777"/>
      <c r="M39" s="777"/>
      <c r="N39" s="777"/>
      <c r="O39" s="720" t="str">
        <f>CONCATENATE("CV(Q 95% ",REPORTS!$AA$2,")")</f>
        <v>CV(Q 95% Alt_F)</v>
      </c>
      <c r="P39" s="720"/>
      <c r="Q39" s="721">
        <v>0.22462601959705353</v>
      </c>
      <c r="R39" s="721"/>
    </row>
    <row r="40" spans="2:37" ht="13.25" customHeight="1">
      <c r="B40" s="701"/>
      <c r="C40" s="756"/>
      <c r="D40" s="770" t="s">
        <v>305</v>
      </c>
      <c r="E40" s="770"/>
      <c r="F40" s="770"/>
      <c r="G40" s="790" t="s">
        <v>350</v>
      </c>
      <c r="H40" s="791"/>
      <c r="I40" s="791"/>
      <c r="J40" s="791"/>
      <c r="K40" s="791"/>
      <c r="L40" s="791"/>
      <c r="M40" s="791"/>
      <c r="N40" s="791"/>
      <c r="O40" s="743" t="s">
        <v>326</v>
      </c>
      <c r="P40" s="743"/>
      <c r="Q40" s="743"/>
      <c r="R40" s="743"/>
    </row>
    <row r="41" spans="2:37" ht="13.25" customHeight="1">
      <c r="B41" s="701"/>
      <c r="C41" s="756"/>
      <c r="D41" s="724" t="s">
        <v>327</v>
      </c>
      <c r="E41" s="725"/>
      <c r="F41" s="725"/>
      <c r="G41" s="782" t="s">
        <v>351</v>
      </c>
      <c r="H41" s="776"/>
      <c r="I41" s="776"/>
      <c r="J41" s="776"/>
      <c r="K41" s="776"/>
      <c r="L41" s="776"/>
      <c r="M41" s="776"/>
      <c r="N41" s="776"/>
      <c r="O41" s="718"/>
      <c r="P41" s="718"/>
      <c r="Q41" s="719">
        <v>92.809524536132813</v>
      </c>
      <c r="R41" s="719"/>
    </row>
    <row r="42" spans="2:37" ht="13.75" customHeight="1">
      <c r="B42" s="702"/>
      <c r="C42" s="757"/>
      <c r="D42" s="765"/>
      <c r="E42" s="733"/>
      <c r="F42" s="733"/>
      <c r="G42" s="789" t="s">
        <v>352</v>
      </c>
      <c r="H42" s="783"/>
      <c r="I42" s="783"/>
      <c r="J42" s="783"/>
      <c r="K42" s="783"/>
      <c r="L42" s="783"/>
      <c r="M42" s="783"/>
      <c r="N42" s="783"/>
      <c r="O42" s="767" t="s">
        <v>326</v>
      </c>
      <c r="P42" s="767"/>
      <c r="Q42" s="767"/>
      <c r="R42" s="767"/>
    </row>
    <row r="43" spans="2:37">
      <c r="B43" s="123" t="s">
        <v>339</v>
      </c>
      <c r="C43" s="123"/>
      <c r="D43" s="123"/>
      <c r="E43" s="123"/>
      <c r="F43" s="123"/>
      <c r="G43" s="123"/>
      <c r="H43" s="123"/>
      <c r="I43" s="123"/>
      <c r="J43" s="123"/>
      <c r="K43" s="123"/>
      <c r="L43" s="123"/>
      <c r="M43" s="123"/>
      <c r="N43" s="123"/>
      <c r="O43" s="123"/>
      <c r="P43" s="123"/>
      <c r="Q43" s="123"/>
      <c r="R43" s="123"/>
      <c r="U43" s="91"/>
      <c r="V43" s="91"/>
      <c r="W43" s="91"/>
      <c r="X43" s="91"/>
      <c r="Y43" s="91"/>
      <c r="Z43" s="91"/>
      <c r="AA43" s="91"/>
      <c r="AB43" s="91"/>
      <c r="AC43" s="91"/>
      <c r="AD43" s="91"/>
      <c r="AE43" s="91"/>
      <c r="AF43" s="91"/>
      <c r="AG43" s="91"/>
      <c r="AH43" s="91"/>
      <c r="AI43" s="91"/>
      <c r="AJ43" s="91"/>
      <c r="AK43" s="91"/>
    </row>
    <row r="44" spans="2:37">
      <c r="B44" s="123"/>
      <c r="C44" s="123"/>
      <c r="D44" s="123"/>
      <c r="E44" s="123"/>
      <c r="F44" s="123"/>
      <c r="G44" s="123"/>
      <c r="H44" s="123"/>
      <c r="I44" s="123"/>
      <c r="J44" s="123"/>
      <c r="K44" s="123"/>
      <c r="L44" s="123"/>
      <c r="M44" s="123"/>
      <c r="N44" s="123"/>
      <c r="O44" s="123"/>
      <c r="P44" s="123"/>
      <c r="Q44" s="123"/>
      <c r="U44" s="48"/>
      <c r="V44" s="48"/>
      <c r="W44" s="48"/>
      <c r="X44" s="48"/>
      <c r="Y44" s="48"/>
      <c r="Z44" s="48"/>
      <c r="AA44" s="48"/>
      <c r="AB44" s="48"/>
      <c r="AC44" s="48"/>
      <c r="AD44" s="48"/>
      <c r="AE44" s="48"/>
      <c r="AF44" s="48"/>
      <c r="AG44" s="48"/>
      <c r="AH44" s="48"/>
      <c r="AI44" s="48"/>
      <c r="AJ44" s="91"/>
      <c r="AK44" s="91"/>
    </row>
    <row r="45" spans="2:37" ht="13.25" customHeight="1">
      <c r="B45" s="760" t="s">
        <v>340</v>
      </c>
      <c r="C45" s="760"/>
      <c r="D45" s="760"/>
      <c r="E45" s="124" t="s">
        <v>193</v>
      </c>
      <c r="F45" s="124" t="s">
        <v>194</v>
      </c>
      <c r="G45" s="124" t="s">
        <v>195</v>
      </c>
      <c r="H45" s="124" t="s">
        <v>196</v>
      </c>
      <c r="I45" s="124" t="s">
        <v>197</v>
      </c>
      <c r="J45" s="124" t="s">
        <v>198</v>
      </c>
      <c r="K45" s="124" t="s">
        <v>199</v>
      </c>
      <c r="L45" s="124" t="s">
        <v>200</v>
      </c>
      <c r="M45" s="124" t="s">
        <v>201</v>
      </c>
      <c r="N45" s="124" t="s">
        <v>202</v>
      </c>
      <c r="O45" s="124" t="s">
        <v>203</v>
      </c>
      <c r="P45" s="761" t="s">
        <v>204</v>
      </c>
      <c r="Q45" s="761"/>
      <c r="S45" s="760" t="str">
        <f>CONCATENATE("STATIONALITY: Difference ",REPORTS!$AA$2," - ",REPORTS!$AA$1,)</f>
        <v>STATIONALITY: Difference Alt_F - Nat_F</v>
      </c>
      <c r="T45" s="760"/>
      <c r="U45" s="760"/>
      <c r="V45" s="124" t="s">
        <v>202</v>
      </c>
      <c r="W45" s="124" t="s">
        <v>203</v>
      </c>
      <c r="X45" s="124" t="s">
        <v>204</v>
      </c>
      <c r="Y45" s="124" t="s">
        <v>193</v>
      </c>
      <c r="Z45" s="124" t="s">
        <v>194</v>
      </c>
      <c r="AA45" s="124" t="s">
        <v>195</v>
      </c>
      <c r="AB45" s="124" t="s">
        <v>196</v>
      </c>
      <c r="AC45" s="124" t="s">
        <v>197</v>
      </c>
      <c r="AD45" s="124" t="s">
        <v>198</v>
      </c>
      <c r="AE45" s="124" t="s">
        <v>199</v>
      </c>
      <c r="AF45" s="124" t="s">
        <v>200</v>
      </c>
      <c r="AG45" s="124" t="s">
        <v>201</v>
      </c>
      <c r="AH45" s="424"/>
      <c r="AI45" s="208" t="str">
        <f>'Informe nº4'!P45</f>
        <v>Dec</v>
      </c>
      <c r="AJ45" s="132"/>
      <c r="AK45" s="91"/>
    </row>
    <row r="46" spans="2:37" ht="13">
      <c r="B46" s="762" t="str">
        <f>CONCATENATE("AVERAGE Nº OF DAYS PER MONTH WITH Q≥Q5%",UPPER(REPORTS!$AA$1))</f>
        <v>AVERAGE Nº OF DAYS PER MONTH WITH Q≥Q5%NAT_F</v>
      </c>
      <c r="C46" s="762"/>
      <c r="D46" s="762"/>
      <c r="E46" s="125">
        <v>1.3809523582458496</v>
      </c>
      <c r="F46" s="125">
        <v>2.7619047164916992</v>
      </c>
      <c r="G46" s="125">
        <v>0.2380952388048172</v>
      </c>
      <c r="H46" s="125">
        <v>0</v>
      </c>
      <c r="I46" s="125">
        <v>0</v>
      </c>
      <c r="J46" s="125">
        <v>0</v>
      </c>
      <c r="K46" s="125">
        <v>0</v>
      </c>
      <c r="L46" s="125">
        <v>0</v>
      </c>
      <c r="M46" s="125">
        <v>0</v>
      </c>
      <c r="N46" s="125">
        <v>0</v>
      </c>
      <c r="O46" s="125">
        <v>0</v>
      </c>
      <c r="P46" s="763">
        <v>4.76190485060215E-2</v>
      </c>
      <c r="Q46" s="763"/>
      <c r="R46" s="126"/>
      <c r="S46" s="762" t="str">
        <f>CONCATENATE("AVERAGE Nº OF DAYS PER MONTH WITH Q≥Q5%",UPPER(REPORTS!$AA$1))</f>
        <v>AVERAGE Nº OF DAYS PER MONTH WITH Q≥Q5%NAT_F</v>
      </c>
      <c r="T46" s="762"/>
      <c r="U46" s="762"/>
      <c r="V46" s="125">
        <f>E46-'Informe nº4'!E46</f>
        <v>-2.9523811340332031</v>
      </c>
      <c r="W46" s="125">
        <f>F46-'Informe nº4'!F46</f>
        <v>2.333333283662796</v>
      </c>
      <c r="X46" s="125">
        <f>G46-'Informe nº4'!G46</f>
        <v>-0.2380952388048172</v>
      </c>
      <c r="Y46" s="125">
        <f>H46-'Informe nº4'!H46</f>
        <v>-1.7619047164916992</v>
      </c>
      <c r="Z46" s="125">
        <f>I46-'Informe nº4'!I46</f>
        <v>-3.7142856121063232</v>
      </c>
      <c r="AA46" s="125">
        <f>J46-'Informe nº4'!J46</f>
        <v>0</v>
      </c>
      <c r="AB46" s="125">
        <f>K46-'Informe nº4'!K46</f>
        <v>0</v>
      </c>
      <c r="AC46" s="125">
        <f>L46-'Informe nº4'!L46</f>
        <v>0</v>
      </c>
      <c r="AD46" s="125">
        <f>M46-'Informe nº4'!M46</f>
        <v>0</v>
      </c>
      <c r="AE46" s="125">
        <f>N46-'Informe nº4'!N46</f>
        <v>0</v>
      </c>
      <c r="AF46" s="125">
        <f>O46-'Informe nº4'!O46</f>
        <v>-0.8095238208770752</v>
      </c>
      <c r="AG46" s="125">
        <f>P46-'Informe nº4'!P46</f>
        <v>-6.9523809514939785</v>
      </c>
      <c r="AH46" s="425"/>
      <c r="AI46" s="208">
        <f>'Informe nº4'!P46</f>
        <v>7</v>
      </c>
      <c r="AJ46" s="133"/>
      <c r="AK46" s="91"/>
    </row>
    <row r="47" spans="2:37" ht="13">
      <c r="B47" s="762" t="str">
        <f>CONCATENATE("AVERAGE Nº OF DAYS PER MONTH WITH Q≤Q95%",UPPER(REPORTS!$AA$1))</f>
        <v>AVERAGE Nº OF DAYS PER MONTH WITH Q≤Q95%NAT_F</v>
      </c>
      <c r="C47" s="762"/>
      <c r="D47" s="762"/>
      <c r="E47" s="127">
        <v>0</v>
      </c>
      <c r="F47" s="127">
        <v>0</v>
      </c>
      <c r="G47" s="127">
        <v>0</v>
      </c>
      <c r="H47" s="127">
        <v>0</v>
      </c>
      <c r="I47" s="127">
        <v>0</v>
      </c>
      <c r="J47" s="127">
        <v>4.7619047164916992</v>
      </c>
      <c r="K47" s="127">
        <v>26.476190567016602</v>
      </c>
      <c r="L47" s="127">
        <v>30.952381134033203</v>
      </c>
      <c r="M47" s="127">
        <v>29.285715103149414</v>
      </c>
      <c r="N47" s="127">
        <v>13.095237731933594</v>
      </c>
      <c r="O47" s="127">
        <v>0.1428571492433548</v>
      </c>
      <c r="P47" s="764">
        <v>0</v>
      </c>
      <c r="Q47" s="764"/>
      <c r="R47" s="128"/>
      <c r="S47" s="762" t="str">
        <f>CONCATENATE("AVERAGE Nº OF DAYS PER MONTH WITH Q≤Q95%",UPPER(REPORTS!$AA$1))</f>
        <v>AVERAGE Nº OF DAYS PER MONTH WITH Q≤Q95%NAT_F</v>
      </c>
      <c r="T47" s="762"/>
      <c r="U47" s="762"/>
      <c r="V47" s="125">
        <f>E47-'Informe nº4'!E47</f>
        <v>0</v>
      </c>
      <c r="W47" s="125">
        <f>F47-'Informe nº4'!F47</f>
        <v>0</v>
      </c>
      <c r="X47" s="125">
        <f>G47-'Informe nº4'!G47</f>
        <v>0</v>
      </c>
      <c r="Y47" s="125">
        <f>H47-'Informe nº4'!H47</f>
        <v>0</v>
      </c>
      <c r="Z47" s="125">
        <f>I47-'Informe nº4'!I47</f>
        <v>0</v>
      </c>
      <c r="AA47" s="125">
        <f>J47-'Informe nº4'!J47</f>
        <v>4.7619047164916992</v>
      </c>
      <c r="AB47" s="125">
        <f>K47-'Informe nº4'!K47</f>
        <v>26.476190567016602</v>
      </c>
      <c r="AC47" s="125">
        <f>L47-'Informe nº4'!L47</f>
        <v>23.476190567016602</v>
      </c>
      <c r="AD47" s="125">
        <f>M47-'Informe nº4'!M47</f>
        <v>15.95238208770752</v>
      </c>
      <c r="AE47" s="125">
        <f>N47-'Informe nº4'!N47</f>
        <v>13.047618683427572</v>
      </c>
      <c r="AF47" s="125">
        <f>O47-'Informe nº4'!O47</f>
        <v>0.1428571492433548</v>
      </c>
      <c r="AG47" s="125">
        <f>P47-'Informe nº4'!P47</f>
        <v>0</v>
      </c>
      <c r="AH47" s="425"/>
      <c r="AI47" s="208">
        <f>'Informe nº4'!P47</f>
        <v>0</v>
      </c>
      <c r="AJ47" s="133"/>
      <c r="AK47" s="91"/>
    </row>
    <row r="48" spans="2:37" ht="13">
      <c r="B48" s="758" t="s">
        <v>341</v>
      </c>
      <c r="C48" s="758"/>
      <c r="D48" s="758"/>
      <c r="E48" s="129">
        <v>0</v>
      </c>
      <c r="F48" s="129">
        <v>0</v>
      </c>
      <c r="G48" s="129">
        <v>0</v>
      </c>
      <c r="H48" s="129">
        <v>0</v>
      </c>
      <c r="I48" s="129">
        <v>0</v>
      </c>
      <c r="J48" s="129">
        <v>0</v>
      </c>
      <c r="K48" s="129">
        <v>0</v>
      </c>
      <c r="L48" s="129">
        <v>0</v>
      </c>
      <c r="M48" s="129">
        <v>0</v>
      </c>
      <c r="N48" s="129">
        <v>0</v>
      </c>
      <c r="O48" s="129">
        <v>0</v>
      </c>
      <c r="P48" s="759">
        <v>0</v>
      </c>
      <c r="Q48" s="759"/>
      <c r="R48" s="126"/>
      <c r="S48" s="758" t="s">
        <v>341</v>
      </c>
      <c r="T48" s="758"/>
      <c r="U48" s="758"/>
      <c r="V48" s="125">
        <f>E48-'Informe nº4'!E48</f>
        <v>0</v>
      </c>
      <c r="W48" s="125">
        <f>F48-'Informe nº4'!F48</f>
        <v>0</v>
      </c>
      <c r="X48" s="125">
        <f>G48-'Informe nº4'!G48</f>
        <v>0</v>
      </c>
      <c r="Y48" s="125">
        <f>H48-'Informe nº4'!H48</f>
        <v>0</v>
      </c>
      <c r="Z48" s="125">
        <f>I48-'Informe nº4'!I48</f>
        <v>0</v>
      </c>
      <c r="AA48" s="125">
        <f>J48-'Informe nº4'!J48</f>
        <v>0</v>
      </c>
      <c r="AB48" s="125">
        <f>K48-'Informe nº4'!K48</f>
        <v>0</v>
      </c>
      <c r="AC48" s="125">
        <f>L48-'Informe nº4'!L48</f>
        <v>0</v>
      </c>
      <c r="AD48" s="125">
        <f>M48-'Informe nº4'!M48</f>
        <v>0</v>
      </c>
      <c r="AE48" s="125">
        <f>N48-'Informe nº4'!N48</f>
        <v>0</v>
      </c>
      <c r="AF48" s="125">
        <f>O48-'Informe nº4'!O48</f>
        <v>0</v>
      </c>
      <c r="AG48" s="125">
        <f>P48-'Informe nº4'!P48</f>
        <v>0</v>
      </c>
      <c r="AH48" s="425"/>
      <c r="AI48" s="208">
        <f>'Informe nº4'!P48</f>
        <v>0</v>
      </c>
      <c r="AJ48" s="133"/>
      <c r="AK48" s="91"/>
    </row>
    <row r="49" spans="2:37">
      <c r="B49" s="130"/>
      <c r="C49" s="130"/>
      <c r="D49" s="130"/>
      <c r="E49" s="130"/>
      <c r="F49" s="130"/>
      <c r="G49" s="130"/>
      <c r="H49" s="130"/>
      <c r="I49" s="130"/>
      <c r="J49" s="130"/>
      <c r="K49" s="130"/>
      <c r="L49" s="130"/>
      <c r="M49" s="131"/>
      <c r="N49" s="131"/>
      <c r="O49" s="131"/>
      <c r="P49" s="131"/>
      <c r="Q49" s="131"/>
      <c r="U49" s="91"/>
      <c r="V49" s="91"/>
      <c r="W49" s="91"/>
      <c r="X49" s="91"/>
      <c r="Y49" s="91"/>
      <c r="Z49" s="91"/>
      <c r="AA49" s="91"/>
      <c r="AB49" s="91"/>
      <c r="AC49" s="91"/>
      <c r="AD49" s="91"/>
      <c r="AE49" s="91"/>
      <c r="AF49" s="91"/>
      <c r="AG49" s="91"/>
      <c r="AH49" s="91"/>
      <c r="AI49" s="91"/>
      <c r="AJ49" s="91"/>
      <c r="AK49" s="91"/>
    </row>
    <row r="50" spans="2:37">
      <c r="B50" s="297"/>
      <c r="C50" s="297" t="str">
        <f>CONCATENATE("Average nº of days per month with
Q ≥ Q5%",REPORTS!$AA$1)</f>
        <v>Average nº of days per month with
Q ≥ Q5%Nat_F</v>
      </c>
      <c r="D50" s="297"/>
      <c r="E50" s="297"/>
      <c r="F50" s="297"/>
      <c r="G50" s="297"/>
      <c r="H50" s="297" t="str">
        <f>CONCATENATE("Average nº of days per month with Q≤Q95%",REPORTS!$AA$1)</f>
        <v>Average nº of days per month with Q≤Q95%Nat_F</v>
      </c>
      <c r="I50" s="297"/>
      <c r="J50" s="297"/>
      <c r="K50" s="297"/>
      <c r="L50" s="297"/>
      <c r="M50" s="297"/>
      <c r="N50" s="297"/>
    </row>
    <row r="85" spans="6:7">
      <c r="F85" s="48" t="str">
        <f>UPPER(REPORTS!$AA$1)</f>
        <v>NAT_F</v>
      </c>
      <c r="G85" s="48" t="str">
        <f>UPPER(REPORTS!$AA$2)</f>
        <v>ALT_F</v>
      </c>
    </row>
  </sheetData>
  <mergeCells count="113">
    <mergeCell ref="C28:C35"/>
    <mergeCell ref="D28:F31"/>
    <mergeCell ref="G28:N28"/>
    <mergeCell ref="O28:P28"/>
    <mergeCell ref="Q28:R28"/>
    <mergeCell ref="G29:N29"/>
    <mergeCell ref="S47:U47"/>
    <mergeCell ref="S48:U48"/>
    <mergeCell ref="O39:P39"/>
    <mergeCell ref="Q39:R39"/>
    <mergeCell ref="D40:F40"/>
    <mergeCell ref="G40:N40"/>
    <mergeCell ref="O40:R40"/>
    <mergeCell ref="B48:D48"/>
    <mergeCell ref="P48:Q48"/>
    <mergeCell ref="B45:D45"/>
    <mergeCell ref="P45:Q45"/>
    <mergeCell ref="B46:D46"/>
    <mergeCell ref="P46:Q46"/>
    <mergeCell ref="B47:D47"/>
    <mergeCell ref="P47:Q47"/>
    <mergeCell ref="B28:B42"/>
    <mergeCell ref="O38:P38"/>
    <mergeCell ref="Q38:R38"/>
    <mergeCell ref="G39:N39"/>
    <mergeCell ref="S45:U45"/>
    <mergeCell ref="S46:U46"/>
    <mergeCell ref="C36:C42"/>
    <mergeCell ref="D36:F37"/>
    <mergeCell ref="G36:N36"/>
    <mergeCell ref="O36:P36"/>
    <mergeCell ref="Q36:R36"/>
    <mergeCell ref="G37:N37"/>
    <mergeCell ref="O37:P37"/>
    <mergeCell ref="Q37:R37"/>
    <mergeCell ref="D38:F39"/>
    <mergeCell ref="G38:N38"/>
    <mergeCell ref="D41:F42"/>
    <mergeCell ref="G41:N41"/>
    <mergeCell ref="O41:P41"/>
    <mergeCell ref="Q41:R41"/>
    <mergeCell ref="G42:N42"/>
    <mergeCell ref="O42:R42"/>
    <mergeCell ref="O34:R34"/>
    <mergeCell ref="D35:F35"/>
    <mergeCell ref="G35:N35"/>
    <mergeCell ref="O35:P35"/>
    <mergeCell ref="Q35:R35"/>
    <mergeCell ref="Q31:R31"/>
    <mergeCell ref="D32:F33"/>
    <mergeCell ref="G32:N32"/>
    <mergeCell ref="O32:P32"/>
    <mergeCell ref="Q32:R32"/>
    <mergeCell ref="G33:N33"/>
    <mergeCell ref="O33:P33"/>
    <mergeCell ref="Q33:R33"/>
    <mergeCell ref="O29:P29"/>
    <mergeCell ref="G30:N30"/>
    <mergeCell ref="O30:P30"/>
    <mergeCell ref="G31:N31"/>
    <mergeCell ref="O31:P31"/>
    <mergeCell ref="Q23:R23"/>
    <mergeCell ref="O24:P24"/>
    <mergeCell ref="Q24:R24"/>
    <mergeCell ref="O25:P25"/>
    <mergeCell ref="Q25:R25"/>
    <mergeCell ref="D34:F34"/>
    <mergeCell ref="G34:N34"/>
    <mergeCell ref="O21:P21"/>
    <mergeCell ref="Q21:R21"/>
    <mergeCell ref="C26:C27"/>
    <mergeCell ref="D26:F27"/>
    <mergeCell ref="G26:N27"/>
    <mergeCell ref="O26:P26"/>
    <mergeCell ref="Q26:R26"/>
    <mergeCell ref="O27:P27"/>
    <mergeCell ref="Q27:R27"/>
    <mergeCell ref="O22:P22"/>
    <mergeCell ref="Q22:R22"/>
    <mergeCell ref="D23:F25"/>
    <mergeCell ref="G23:N25"/>
    <mergeCell ref="O23:P23"/>
    <mergeCell ref="Q18:R18"/>
    <mergeCell ref="D19:F22"/>
    <mergeCell ref="G19:N22"/>
    <mergeCell ref="O19:P19"/>
    <mergeCell ref="Q19:R19"/>
    <mergeCell ref="O20:P20"/>
    <mergeCell ref="Q20:R20"/>
    <mergeCell ref="Q15:R15"/>
    <mergeCell ref="O16:P16"/>
    <mergeCell ref="Q16:R16"/>
    <mergeCell ref="O17:P17"/>
    <mergeCell ref="Q17:R17"/>
    <mergeCell ref="B15:B27"/>
    <mergeCell ref="C15:C25"/>
    <mergeCell ref="D15:F18"/>
    <mergeCell ref="G15:N18"/>
    <mergeCell ref="O15:P15"/>
    <mergeCell ref="O18:P18"/>
    <mergeCell ref="B11:R11"/>
    <mergeCell ref="B13:C14"/>
    <mergeCell ref="D13:F14"/>
    <mergeCell ref="G13:R13"/>
    <mergeCell ref="G14:N14"/>
    <mergeCell ref="O14:R14"/>
    <mergeCell ref="D2:R2"/>
    <mergeCell ref="D3:R3"/>
    <mergeCell ref="B5:D5"/>
    <mergeCell ref="B6:D6"/>
    <mergeCell ref="B7:D7"/>
    <mergeCell ref="B2:C2"/>
    <mergeCell ref="B3:C3"/>
  </mergeCells>
  <pageMargins left="0.7" right="0.7" top="0.75" bottom="0.75" header="0.3" footer="0.3"/>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4"/>
  <dimension ref="A1:T382"/>
  <sheetViews>
    <sheetView showGridLines="0" zoomScale="70" zoomScaleNormal="70" workbookViewId="0">
      <selection activeCell="B3" sqref="B3:C3"/>
    </sheetView>
  </sheetViews>
  <sheetFormatPr baseColWidth="10" defaultRowHeight="12.5"/>
  <cols>
    <col min="1" max="1" width="2.81640625" style="3" customWidth="1"/>
    <col min="2" max="2" width="20.1796875" style="3" customWidth="1"/>
    <col min="3" max="3" width="10.1796875" style="3" customWidth="1"/>
    <col min="4" max="4" width="21.453125" style="3" customWidth="1"/>
    <col min="5" max="5" width="18" style="3" customWidth="1"/>
    <col min="6" max="6" width="17.81640625" style="3" customWidth="1"/>
    <col min="7" max="7" width="13.1796875" style="3" customWidth="1"/>
    <col min="8" max="8" width="9.81640625" style="3" customWidth="1"/>
    <col min="9" max="9" width="11.453125" style="3" customWidth="1"/>
    <col min="10" max="10" width="20.1796875" style="3" customWidth="1"/>
    <col min="11" max="11" width="18.81640625" style="3" customWidth="1"/>
    <col min="12" max="12" width="15.54296875" style="3" customWidth="1"/>
    <col min="13" max="256" width="11.453125" style="3" customWidth="1"/>
    <col min="257" max="257" width="2.81640625" style="3" customWidth="1"/>
    <col min="258" max="258" width="15" style="3" customWidth="1"/>
    <col min="259" max="259" width="10.1796875" style="3" customWidth="1"/>
    <col min="260" max="260" width="19.81640625" style="3" customWidth="1"/>
    <col min="261" max="261" width="18" style="3" customWidth="1"/>
    <col min="262" max="262" width="17.81640625" style="3" customWidth="1"/>
    <col min="263" max="263" width="13.1796875" style="3" customWidth="1"/>
    <col min="264" max="264" width="9.81640625" style="3" customWidth="1"/>
    <col min="265" max="512" width="11.453125" style="3" customWidth="1"/>
    <col min="513" max="513" width="2.81640625" style="3" customWidth="1"/>
    <col min="514" max="514" width="15" style="3" customWidth="1"/>
    <col min="515" max="515" width="10.1796875" style="3" customWidth="1"/>
    <col min="516" max="516" width="19.81640625" style="3" customWidth="1"/>
    <col min="517" max="517" width="18" style="3" customWidth="1"/>
    <col min="518" max="518" width="17.81640625" style="3" customWidth="1"/>
    <col min="519" max="519" width="13.1796875" style="3" customWidth="1"/>
    <col min="520" max="520" width="9.81640625" style="3" customWidth="1"/>
    <col min="521" max="768" width="11.453125" style="3" customWidth="1"/>
    <col min="769" max="769" width="2.81640625" style="3" customWidth="1"/>
    <col min="770" max="770" width="15" style="3" customWidth="1"/>
    <col min="771" max="771" width="10.1796875" style="3" customWidth="1"/>
    <col min="772" max="772" width="19.81640625" style="3" customWidth="1"/>
    <col min="773" max="773" width="18" style="3" customWidth="1"/>
    <col min="774" max="774" width="17.81640625" style="3" customWidth="1"/>
    <col min="775" max="775" width="13.1796875" style="3" customWidth="1"/>
    <col min="776" max="776" width="9.81640625" style="3" customWidth="1"/>
    <col min="777" max="1024" width="11.453125" style="3" customWidth="1"/>
    <col min="1025" max="1025" width="2.81640625" style="3" customWidth="1"/>
    <col min="1026" max="1026" width="15" style="3" customWidth="1"/>
    <col min="1027" max="1027" width="10.1796875" style="3" customWidth="1"/>
    <col min="1028" max="1028" width="19.81640625" style="3" customWidth="1"/>
    <col min="1029" max="1029" width="18" style="3" customWidth="1"/>
    <col min="1030" max="1030" width="17.81640625" style="3" customWidth="1"/>
    <col min="1031" max="1031" width="13.1796875" style="3" customWidth="1"/>
    <col min="1032" max="1032" width="9.81640625" style="3" customWidth="1"/>
    <col min="1033" max="1280" width="11.453125" style="3" customWidth="1"/>
    <col min="1281" max="1281" width="2.81640625" style="3" customWidth="1"/>
    <col min="1282" max="1282" width="15" style="3" customWidth="1"/>
    <col min="1283" max="1283" width="10.1796875" style="3" customWidth="1"/>
    <col min="1284" max="1284" width="19.81640625" style="3" customWidth="1"/>
    <col min="1285" max="1285" width="18" style="3" customWidth="1"/>
    <col min="1286" max="1286" width="17.81640625" style="3" customWidth="1"/>
    <col min="1287" max="1287" width="13.1796875" style="3" customWidth="1"/>
    <col min="1288" max="1288" width="9.81640625" style="3" customWidth="1"/>
    <col min="1289" max="1536" width="11.453125" style="3" customWidth="1"/>
    <col min="1537" max="1537" width="2.81640625" style="3" customWidth="1"/>
    <col min="1538" max="1538" width="15" style="3" customWidth="1"/>
    <col min="1539" max="1539" width="10.1796875" style="3" customWidth="1"/>
    <col min="1540" max="1540" width="19.81640625" style="3" customWidth="1"/>
    <col min="1541" max="1541" width="18" style="3" customWidth="1"/>
    <col min="1542" max="1542" width="17.81640625" style="3" customWidth="1"/>
    <col min="1543" max="1543" width="13.1796875" style="3" customWidth="1"/>
    <col min="1544" max="1544" width="9.81640625" style="3" customWidth="1"/>
    <col min="1545" max="1792" width="11.453125" style="3" customWidth="1"/>
    <col min="1793" max="1793" width="2.81640625" style="3" customWidth="1"/>
    <col min="1794" max="1794" width="15" style="3" customWidth="1"/>
    <col min="1795" max="1795" width="10.1796875" style="3" customWidth="1"/>
    <col min="1796" max="1796" width="19.81640625" style="3" customWidth="1"/>
    <col min="1797" max="1797" width="18" style="3" customWidth="1"/>
    <col min="1798" max="1798" width="17.81640625" style="3" customWidth="1"/>
    <col min="1799" max="1799" width="13.1796875" style="3" customWidth="1"/>
    <col min="1800" max="1800" width="9.81640625" style="3" customWidth="1"/>
    <col min="1801" max="2048" width="11.453125" style="3" customWidth="1"/>
    <col min="2049" max="2049" width="2.81640625" style="3" customWidth="1"/>
    <col min="2050" max="2050" width="15" style="3" customWidth="1"/>
    <col min="2051" max="2051" width="10.1796875" style="3" customWidth="1"/>
    <col min="2052" max="2052" width="19.81640625" style="3" customWidth="1"/>
    <col min="2053" max="2053" width="18" style="3" customWidth="1"/>
    <col min="2054" max="2054" width="17.81640625" style="3" customWidth="1"/>
    <col min="2055" max="2055" width="13.1796875" style="3" customWidth="1"/>
    <col min="2056" max="2056" width="9.81640625" style="3" customWidth="1"/>
    <col min="2057" max="2304" width="11.453125" style="3" customWidth="1"/>
    <col min="2305" max="2305" width="2.81640625" style="3" customWidth="1"/>
    <col min="2306" max="2306" width="15" style="3" customWidth="1"/>
    <col min="2307" max="2307" width="10.1796875" style="3" customWidth="1"/>
    <col min="2308" max="2308" width="19.81640625" style="3" customWidth="1"/>
    <col min="2309" max="2309" width="18" style="3" customWidth="1"/>
    <col min="2310" max="2310" width="17.81640625" style="3" customWidth="1"/>
    <col min="2311" max="2311" width="13.1796875" style="3" customWidth="1"/>
    <col min="2312" max="2312" width="9.81640625" style="3" customWidth="1"/>
    <col min="2313" max="2560" width="11.453125" style="3" customWidth="1"/>
    <col min="2561" max="2561" width="2.81640625" style="3" customWidth="1"/>
    <col min="2562" max="2562" width="15" style="3" customWidth="1"/>
    <col min="2563" max="2563" width="10.1796875" style="3" customWidth="1"/>
    <col min="2564" max="2564" width="19.81640625" style="3" customWidth="1"/>
    <col min="2565" max="2565" width="18" style="3" customWidth="1"/>
    <col min="2566" max="2566" width="17.81640625" style="3" customWidth="1"/>
    <col min="2567" max="2567" width="13.1796875" style="3" customWidth="1"/>
    <col min="2568" max="2568" width="9.81640625" style="3" customWidth="1"/>
    <col min="2569" max="2816" width="11.453125" style="3" customWidth="1"/>
    <col min="2817" max="2817" width="2.81640625" style="3" customWidth="1"/>
    <col min="2818" max="2818" width="15" style="3" customWidth="1"/>
    <col min="2819" max="2819" width="10.1796875" style="3" customWidth="1"/>
    <col min="2820" max="2820" width="19.81640625" style="3" customWidth="1"/>
    <col min="2821" max="2821" width="18" style="3" customWidth="1"/>
    <col min="2822" max="2822" width="17.81640625" style="3" customWidth="1"/>
    <col min="2823" max="2823" width="13.1796875" style="3" customWidth="1"/>
    <col min="2824" max="2824" width="9.81640625" style="3" customWidth="1"/>
    <col min="2825" max="3072" width="11.453125" style="3" customWidth="1"/>
    <col min="3073" max="3073" width="2.81640625" style="3" customWidth="1"/>
    <col min="3074" max="3074" width="15" style="3" customWidth="1"/>
    <col min="3075" max="3075" width="10.1796875" style="3" customWidth="1"/>
    <col min="3076" max="3076" width="19.81640625" style="3" customWidth="1"/>
    <col min="3077" max="3077" width="18" style="3" customWidth="1"/>
    <col min="3078" max="3078" width="17.81640625" style="3" customWidth="1"/>
    <col min="3079" max="3079" width="13.1796875" style="3" customWidth="1"/>
    <col min="3080" max="3080" width="9.81640625" style="3" customWidth="1"/>
    <col min="3081" max="3328" width="11.453125" style="3" customWidth="1"/>
    <col min="3329" max="3329" width="2.81640625" style="3" customWidth="1"/>
    <col min="3330" max="3330" width="15" style="3" customWidth="1"/>
    <col min="3331" max="3331" width="10.1796875" style="3" customWidth="1"/>
    <col min="3332" max="3332" width="19.81640625" style="3" customWidth="1"/>
    <col min="3333" max="3333" width="18" style="3" customWidth="1"/>
    <col min="3334" max="3334" width="17.81640625" style="3" customWidth="1"/>
    <col min="3335" max="3335" width="13.1796875" style="3" customWidth="1"/>
    <col min="3336" max="3336" width="9.81640625" style="3" customWidth="1"/>
    <col min="3337" max="3584" width="11.453125" style="3" customWidth="1"/>
    <col min="3585" max="3585" width="2.81640625" style="3" customWidth="1"/>
    <col min="3586" max="3586" width="15" style="3" customWidth="1"/>
    <col min="3587" max="3587" width="10.1796875" style="3" customWidth="1"/>
    <col min="3588" max="3588" width="19.81640625" style="3" customWidth="1"/>
    <col min="3589" max="3589" width="18" style="3" customWidth="1"/>
    <col min="3590" max="3590" width="17.81640625" style="3" customWidth="1"/>
    <col min="3591" max="3591" width="13.1796875" style="3" customWidth="1"/>
    <col min="3592" max="3592" width="9.81640625" style="3" customWidth="1"/>
    <col min="3593" max="3840" width="11.453125" style="3" customWidth="1"/>
    <col min="3841" max="3841" width="2.81640625" style="3" customWidth="1"/>
    <col min="3842" max="3842" width="15" style="3" customWidth="1"/>
    <col min="3843" max="3843" width="10.1796875" style="3" customWidth="1"/>
    <col min="3844" max="3844" width="19.81640625" style="3" customWidth="1"/>
    <col min="3845" max="3845" width="18" style="3" customWidth="1"/>
    <col min="3846" max="3846" width="17.81640625" style="3" customWidth="1"/>
    <col min="3847" max="3847" width="13.1796875" style="3" customWidth="1"/>
    <col min="3848" max="3848" width="9.81640625" style="3" customWidth="1"/>
    <col min="3849" max="4096" width="11.453125" style="3" customWidth="1"/>
    <col min="4097" max="4097" width="2.81640625" style="3" customWidth="1"/>
    <col min="4098" max="4098" width="15" style="3" customWidth="1"/>
    <col min="4099" max="4099" width="10.1796875" style="3" customWidth="1"/>
    <col min="4100" max="4100" width="19.81640625" style="3" customWidth="1"/>
    <col min="4101" max="4101" width="18" style="3" customWidth="1"/>
    <col min="4102" max="4102" width="17.81640625" style="3" customWidth="1"/>
    <col min="4103" max="4103" width="13.1796875" style="3" customWidth="1"/>
    <col min="4104" max="4104" width="9.81640625" style="3" customWidth="1"/>
    <col min="4105" max="4352" width="11.453125" style="3" customWidth="1"/>
    <col min="4353" max="4353" width="2.81640625" style="3" customWidth="1"/>
    <col min="4354" max="4354" width="15" style="3" customWidth="1"/>
    <col min="4355" max="4355" width="10.1796875" style="3" customWidth="1"/>
    <col min="4356" max="4356" width="19.81640625" style="3" customWidth="1"/>
    <col min="4357" max="4357" width="18" style="3" customWidth="1"/>
    <col min="4358" max="4358" width="17.81640625" style="3" customWidth="1"/>
    <col min="4359" max="4359" width="13.1796875" style="3" customWidth="1"/>
    <col min="4360" max="4360" width="9.81640625" style="3" customWidth="1"/>
    <col min="4361" max="4608" width="11.453125" style="3" customWidth="1"/>
    <col min="4609" max="4609" width="2.81640625" style="3" customWidth="1"/>
    <col min="4610" max="4610" width="15" style="3" customWidth="1"/>
    <col min="4611" max="4611" width="10.1796875" style="3" customWidth="1"/>
    <col min="4612" max="4612" width="19.81640625" style="3" customWidth="1"/>
    <col min="4613" max="4613" width="18" style="3" customWidth="1"/>
    <col min="4614" max="4614" width="17.81640625" style="3" customWidth="1"/>
    <col min="4615" max="4615" width="13.1796875" style="3" customWidth="1"/>
    <col min="4616" max="4616" width="9.81640625" style="3" customWidth="1"/>
    <col min="4617" max="4864" width="11.453125" style="3" customWidth="1"/>
    <col min="4865" max="4865" width="2.81640625" style="3" customWidth="1"/>
    <col min="4866" max="4866" width="15" style="3" customWidth="1"/>
    <col min="4867" max="4867" width="10.1796875" style="3" customWidth="1"/>
    <col min="4868" max="4868" width="19.81640625" style="3" customWidth="1"/>
    <col min="4869" max="4869" width="18" style="3" customWidth="1"/>
    <col min="4870" max="4870" width="17.81640625" style="3" customWidth="1"/>
    <col min="4871" max="4871" width="13.1796875" style="3" customWidth="1"/>
    <col min="4872" max="4872" width="9.81640625" style="3" customWidth="1"/>
    <col min="4873" max="5120" width="11.453125" style="3" customWidth="1"/>
    <col min="5121" max="5121" width="2.81640625" style="3" customWidth="1"/>
    <col min="5122" max="5122" width="15" style="3" customWidth="1"/>
    <col min="5123" max="5123" width="10.1796875" style="3" customWidth="1"/>
    <col min="5124" max="5124" width="19.81640625" style="3" customWidth="1"/>
    <col min="5125" max="5125" width="18" style="3" customWidth="1"/>
    <col min="5126" max="5126" width="17.81640625" style="3" customWidth="1"/>
    <col min="5127" max="5127" width="13.1796875" style="3" customWidth="1"/>
    <col min="5128" max="5128" width="9.81640625" style="3" customWidth="1"/>
    <col min="5129" max="5376" width="11.453125" style="3" customWidth="1"/>
    <col min="5377" max="5377" width="2.81640625" style="3" customWidth="1"/>
    <col min="5378" max="5378" width="15" style="3" customWidth="1"/>
    <col min="5379" max="5379" width="10.1796875" style="3" customWidth="1"/>
    <col min="5380" max="5380" width="19.81640625" style="3" customWidth="1"/>
    <col min="5381" max="5381" width="18" style="3" customWidth="1"/>
    <col min="5382" max="5382" width="17.81640625" style="3" customWidth="1"/>
    <col min="5383" max="5383" width="13.1796875" style="3" customWidth="1"/>
    <col min="5384" max="5384" width="9.81640625" style="3" customWidth="1"/>
    <col min="5385" max="5632" width="11.453125" style="3" customWidth="1"/>
    <col min="5633" max="5633" width="2.81640625" style="3" customWidth="1"/>
    <col min="5634" max="5634" width="15" style="3" customWidth="1"/>
    <col min="5635" max="5635" width="10.1796875" style="3" customWidth="1"/>
    <col min="5636" max="5636" width="19.81640625" style="3" customWidth="1"/>
    <col min="5637" max="5637" width="18" style="3" customWidth="1"/>
    <col min="5638" max="5638" width="17.81640625" style="3" customWidth="1"/>
    <col min="5639" max="5639" width="13.1796875" style="3" customWidth="1"/>
    <col min="5640" max="5640" width="9.81640625" style="3" customWidth="1"/>
    <col min="5641" max="5888" width="11.453125" style="3" customWidth="1"/>
    <col min="5889" max="5889" width="2.81640625" style="3" customWidth="1"/>
    <col min="5890" max="5890" width="15" style="3" customWidth="1"/>
    <col min="5891" max="5891" width="10.1796875" style="3" customWidth="1"/>
    <col min="5892" max="5892" width="19.81640625" style="3" customWidth="1"/>
    <col min="5893" max="5893" width="18" style="3" customWidth="1"/>
    <col min="5894" max="5894" width="17.81640625" style="3" customWidth="1"/>
    <col min="5895" max="5895" width="13.1796875" style="3" customWidth="1"/>
    <col min="5896" max="5896" width="9.81640625" style="3" customWidth="1"/>
    <col min="5897" max="6144" width="11.453125" style="3" customWidth="1"/>
    <col min="6145" max="6145" width="2.81640625" style="3" customWidth="1"/>
    <col min="6146" max="6146" width="15" style="3" customWidth="1"/>
    <col min="6147" max="6147" width="10.1796875" style="3" customWidth="1"/>
    <col min="6148" max="6148" width="19.81640625" style="3" customWidth="1"/>
    <col min="6149" max="6149" width="18" style="3" customWidth="1"/>
    <col min="6150" max="6150" width="17.81640625" style="3" customWidth="1"/>
    <col min="6151" max="6151" width="13.1796875" style="3" customWidth="1"/>
    <col min="6152" max="6152" width="9.81640625" style="3" customWidth="1"/>
    <col min="6153" max="6400" width="11.453125" style="3" customWidth="1"/>
    <col min="6401" max="6401" width="2.81640625" style="3" customWidth="1"/>
    <col min="6402" max="6402" width="15" style="3" customWidth="1"/>
    <col min="6403" max="6403" width="10.1796875" style="3" customWidth="1"/>
    <col min="6404" max="6404" width="19.81640625" style="3" customWidth="1"/>
    <col min="6405" max="6405" width="18" style="3" customWidth="1"/>
    <col min="6406" max="6406" width="17.81640625" style="3" customWidth="1"/>
    <col min="6407" max="6407" width="13.1796875" style="3" customWidth="1"/>
    <col min="6408" max="6408" width="9.81640625" style="3" customWidth="1"/>
    <col min="6409" max="6656" width="11.453125" style="3" customWidth="1"/>
    <col min="6657" max="6657" width="2.81640625" style="3" customWidth="1"/>
    <col min="6658" max="6658" width="15" style="3" customWidth="1"/>
    <col min="6659" max="6659" width="10.1796875" style="3" customWidth="1"/>
    <col min="6660" max="6660" width="19.81640625" style="3" customWidth="1"/>
    <col min="6661" max="6661" width="18" style="3" customWidth="1"/>
    <col min="6662" max="6662" width="17.81640625" style="3" customWidth="1"/>
    <col min="6663" max="6663" width="13.1796875" style="3" customWidth="1"/>
    <col min="6664" max="6664" width="9.81640625" style="3" customWidth="1"/>
    <col min="6665" max="6912" width="11.453125" style="3" customWidth="1"/>
    <col min="6913" max="6913" width="2.81640625" style="3" customWidth="1"/>
    <col min="6914" max="6914" width="15" style="3" customWidth="1"/>
    <col min="6915" max="6915" width="10.1796875" style="3" customWidth="1"/>
    <col min="6916" max="6916" width="19.81640625" style="3" customWidth="1"/>
    <col min="6917" max="6917" width="18" style="3" customWidth="1"/>
    <col min="6918" max="6918" width="17.81640625" style="3" customWidth="1"/>
    <col min="6919" max="6919" width="13.1796875" style="3" customWidth="1"/>
    <col min="6920" max="6920" width="9.81640625" style="3" customWidth="1"/>
    <col min="6921" max="7168" width="11.453125" style="3" customWidth="1"/>
    <col min="7169" max="7169" width="2.81640625" style="3" customWidth="1"/>
    <col min="7170" max="7170" width="15" style="3" customWidth="1"/>
    <col min="7171" max="7171" width="10.1796875" style="3" customWidth="1"/>
    <col min="7172" max="7172" width="19.81640625" style="3" customWidth="1"/>
    <col min="7173" max="7173" width="18" style="3" customWidth="1"/>
    <col min="7174" max="7174" width="17.81640625" style="3" customWidth="1"/>
    <col min="7175" max="7175" width="13.1796875" style="3" customWidth="1"/>
    <col min="7176" max="7176" width="9.81640625" style="3" customWidth="1"/>
    <col min="7177" max="7424" width="11.453125" style="3" customWidth="1"/>
    <col min="7425" max="7425" width="2.81640625" style="3" customWidth="1"/>
    <col min="7426" max="7426" width="15" style="3" customWidth="1"/>
    <col min="7427" max="7427" width="10.1796875" style="3" customWidth="1"/>
    <col min="7428" max="7428" width="19.81640625" style="3" customWidth="1"/>
    <col min="7429" max="7429" width="18" style="3" customWidth="1"/>
    <col min="7430" max="7430" width="17.81640625" style="3" customWidth="1"/>
    <col min="7431" max="7431" width="13.1796875" style="3" customWidth="1"/>
    <col min="7432" max="7432" width="9.81640625" style="3" customWidth="1"/>
    <col min="7433" max="7680" width="11.453125" style="3" customWidth="1"/>
    <col min="7681" max="7681" width="2.81640625" style="3" customWidth="1"/>
    <col min="7682" max="7682" width="15" style="3" customWidth="1"/>
    <col min="7683" max="7683" width="10.1796875" style="3" customWidth="1"/>
    <col min="7684" max="7684" width="19.81640625" style="3" customWidth="1"/>
    <col min="7685" max="7685" width="18" style="3" customWidth="1"/>
    <col min="7686" max="7686" width="17.81640625" style="3" customWidth="1"/>
    <col min="7687" max="7687" width="13.1796875" style="3" customWidth="1"/>
    <col min="7688" max="7688" width="9.81640625" style="3" customWidth="1"/>
    <col min="7689" max="7936" width="11.453125" style="3" customWidth="1"/>
    <col min="7937" max="7937" width="2.81640625" style="3" customWidth="1"/>
    <col min="7938" max="7938" width="15" style="3" customWidth="1"/>
    <col min="7939" max="7939" width="10.1796875" style="3" customWidth="1"/>
    <col min="7940" max="7940" width="19.81640625" style="3" customWidth="1"/>
    <col min="7941" max="7941" width="18" style="3" customWidth="1"/>
    <col min="7942" max="7942" width="17.81640625" style="3" customWidth="1"/>
    <col min="7943" max="7943" width="13.1796875" style="3" customWidth="1"/>
    <col min="7944" max="7944" width="9.81640625" style="3" customWidth="1"/>
    <col min="7945" max="8192" width="11.453125" style="3" customWidth="1"/>
    <col min="8193" max="8193" width="2.81640625" style="3" customWidth="1"/>
    <col min="8194" max="8194" width="15" style="3" customWidth="1"/>
    <col min="8195" max="8195" width="10.1796875" style="3" customWidth="1"/>
    <col min="8196" max="8196" width="19.81640625" style="3" customWidth="1"/>
    <col min="8197" max="8197" width="18" style="3" customWidth="1"/>
    <col min="8198" max="8198" width="17.81640625" style="3" customWidth="1"/>
    <col min="8199" max="8199" width="13.1796875" style="3" customWidth="1"/>
    <col min="8200" max="8200" width="9.81640625" style="3" customWidth="1"/>
    <col min="8201" max="8448" width="11.453125" style="3" customWidth="1"/>
    <col min="8449" max="8449" width="2.81640625" style="3" customWidth="1"/>
    <col min="8450" max="8450" width="15" style="3" customWidth="1"/>
    <col min="8451" max="8451" width="10.1796875" style="3" customWidth="1"/>
    <col min="8452" max="8452" width="19.81640625" style="3" customWidth="1"/>
    <col min="8453" max="8453" width="18" style="3" customWidth="1"/>
    <col min="8454" max="8454" width="17.81640625" style="3" customWidth="1"/>
    <col min="8455" max="8455" width="13.1796875" style="3" customWidth="1"/>
    <col min="8456" max="8456" width="9.81640625" style="3" customWidth="1"/>
    <col min="8457" max="8704" width="11.453125" style="3" customWidth="1"/>
    <col min="8705" max="8705" width="2.81640625" style="3" customWidth="1"/>
    <col min="8706" max="8706" width="15" style="3" customWidth="1"/>
    <col min="8707" max="8707" width="10.1796875" style="3" customWidth="1"/>
    <col min="8708" max="8708" width="19.81640625" style="3" customWidth="1"/>
    <col min="8709" max="8709" width="18" style="3" customWidth="1"/>
    <col min="8710" max="8710" width="17.81640625" style="3" customWidth="1"/>
    <col min="8711" max="8711" width="13.1796875" style="3" customWidth="1"/>
    <col min="8712" max="8712" width="9.81640625" style="3" customWidth="1"/>
    <col min="8713" max="8960" width="11.453125" style="3" customWidth="1"/>
    <col min="8961" max="8961" width="2.81640625" style="3" customWidth="1"/>
    <col min="8962" max="8962" width="15" style="3" customWidth="1"/>
    <col min="8963" max="8963" width="10.1796875" style="3" customWidth="1"/>
    <col min="8964" max="8964" width="19.81640625" style="3" customWidth="1"/>
    <col min="8965" max="8965" width="18" style="3" customWidth="1"/>
    <col min="8966" max="8966" width="17.81640625" style="3" customWidth="1"/>
    <col min="8967" max="8967" width="13.1796875" style="3" customWidth="1"/>
    <col min="8968" max="8968" width="9.81640625" style="3" customWidth="1"/>
    <col min="8969" max="9216" width="11.453125" style="3" customWidth="1"/>
    <col min="9217" max="9217" width="2.81640625" style="3" customWidth="1"/>
    <col min="9218" max="9218" width="15" style="3" customWidth="1"/>
    <col min="9219" max="9219" width="10.1796875" style="3" customWidth="1"/>
    <col min="9220" max="9220" width="19.81640625" style="3" customWidth="1"/>
    <col min="9221" max="9221" width="18" style="3" customWidth="1"/>
    <col min="9222" max="9222" width="17.81640625" style="3" customWidth="1"/>
    <col min="9223" max="9223" width="13.1796875" style="3" customWidth="1"/>
    <col min="9224" max="9224" width="9.81640625" style="3" customWidth="1"/>
    <col min="9225" max="9472" width="11.453125" style="3" customWidth="1"/>
    <col min="9473" max="9473" width="2.81640625" style="3" customWidth="1"/>
    <col min="9474" max="9474" width="15" style="3" customWidth="1"/>
    <col min="9475" max="9475" width="10.1796875" style="3" customWidth="1"/>
    <col min="9476" max="9476" width="19.81640625" style="3" customWidth="1"/>
    <col min="9477" max="9477" width="18" style="3" customWidth="1"/>
    <col min="9478" max="9478" width="17.81640625" style="3" customWidth="1"/>
    <col min="9479" max="9479" width="13.1796875" style="3" customWidth="1"/>
    <col min="9480" max="9480" width="9.81640625" style="3" customWidth="1"/>
    <col min="9481" max="9728" width="11.453125" style="3" customWidth="1"/>
    <col min="9729" max="9729" width="2.81640625" style="3" customWidth="1"/>
    <col min="9730" max="9730" width="15" style="3" customWidth="1"/>
    <col min="9731" max="9731" width="10.1796875" style="3" customWidth="1"/>
    <col min="9732" max="9732" width="19.81640625" style="3" customWidth="1"/>
    <col min="9733" max="9733" width="18" style="3" customWidth="1"/>
    <col min="9734" max="9734" width="17.81640625" style="3" customWidth="1"/>
    <col min="9735" max="9735" width="13.1796875" style="3" customWidth="1"/>
    <col min="9736" max="9736" width="9.81640625" style="3" customWidth="1"/>
    <col min="9737" max="9984" width="11.453125" style="3" customWidth="1"/>
    <col min="9985" max="9985" width="2.81640625" style="3" customWidth="1"/>
    <col min="9986" max="9986" width="15" style="3" customWidth="1"/>
    <col min="9987" max="9987" width="10.1796875" style="3" customWidth="1"/>
    <col min="9988" max="9988" width="19.81640625" style="3" customWidth="1"/>
    <col min="9989" max="9989" width="18" style="3" customWidth="1"/>
    <col min="9990" max="9990" width="17.81640625" style="3" customWidth="1"/>
    <col min="9991" max="9991" width="13.1796875" style="3" customWidth="1"/>
    <col min="9992" max="9992" width="9.81640625" style="3" customWidth="1"/>
    <col min="9993" max="10240" width="11.453125" style="3" customWidth="1"/>
    <col min="10241" max="10241" width="2.81640625" style="3" customWidth="1"/>
    <col min="10242" max="10242" width="15" style="3" customWidth="1"/>
    <col min="10243" max="10243" width="10.1796875" style="3" customWidth="1"/>
    <col min="10244" max="10244" width="19.81640625" style="3" customWidth="1"/>
    <col min="10245" max="10245" width="18" style="3" customWidth="1"/>
    <col min="10246" max="10246" width="17.81640625" style="3" customWidth="1"/>
    <col min="10247" max="10247" width="13.1796875" style="3" customWidth="1"/>
    <col min="10248" max="10248" width="9.81640625" style="3" customWidth="1"/>
    <col min="10249" max="10496" width="11.453125" style="3" customWidth="1"/>
    <col min="10497" max="10497" width="2.81640625" style="3" customWidth="1"/>
    <col min="10498" max="10498" width="15" style="3" customWidth="1"/>
    <col min="10499" max="10499" width="10.1796875" style="3" customWidth="1"/>
    <col min="10500" max="10500" width="19.81640625" style="3" customWidth="1"/>
    <col min="10501" max="10501" width="18" style="3" customWidth="1"/>
    <col min="10502" max="10502" width="17.81640625" style="3" customWidth="1"/>
    <col min="10503" max="10503" width="13.1796875" style="3" customWidth="1"/>
    <col min="10504" max="10504" width="9.81640625" style="3" customWidth="1"/>
    <col min="10505" max="10752" width="11.453125" style="3" customWidth="1"/>
    <col min="10753" max="10753" width="2.81640625" style="3" customWidth="1"/>
    <col min="10754" max="10754" width="15" style="3" customWidth="1"/>
    <col min="10755" max="10755" width="10.1796875" style="3" customWidth="1"/>
    <col min="10756" max="10756" width="19.81640625" style="3" customWidth="1"/>
    <col min="10757" max="10757" width="18" style="3" customWidth="1"/>
    <col min="10758" max="10758" width="17.81640625" style="3" customWidth="1"/>
    <col min="10759" max="10759" width="13.1796875" style="3" customWidth="1"/>
    <col min="10760" max="10760" width="9.81640625" style="3" customWidth="1"/>
    <col min="10761" max="11008" width="11.453125" style="3" customWidth="1"/>
    <col min="11009" max="11009" width="2.81640625" style="3" customWidth="1"/>
    <col min="11010" max="11010" width="15" style="3" customWidth="1"/>
    <col min="11011" max="11011" width="10.1796875" style="3" customWidth="1"/>
    <col min="11012" max="11012" width="19.81640625" style="3" customWidth="1"/>
    <col min="11013" max="11013" width="18" style="3" customWidth="1"/>
    <col min="11014" max="11014" width="17.81640625" style="3" customWidth="1"/>
    <col min="11015" max="11015" width="13.1796875" style="3" customWidth="1"/>
    <col min="11016" max="11016" width="9.81640625" style="3" customWidth="1"/>
    <col min="11017" max="11264" width="11.453125" style="3" customWidth="1"/>
    <col min="11265" max="11265" width="2.81640625" style="3" customWidth="1"/>
    <col min="11266" max="11266" width="15" style="3" customWidth="1"/>
    <col min="11267" max="11267" width="10.1796875" style="3" customWidth="1"/>
    <col min="11268" max="11268" width="19.81640625" style="3" customWidth="1"/>
    <col min="11269" max="11269" width="18" style="3" customWidth="1"/>
    <col min="11270" max="11270" width="17.81640625" style="3" customWidth="1"/>
    <col min="11271" max="11271" width="13.1796875" style="3" customWidth="1"/>
    <col min="11272" max="11272" width="9.81640625" style="3" customWidth="1"/>
    <col min="11273" max="11520" width="11.453125" style="3" customWidth="1"/>
    <col min="11521" max="11521" width="2.81640625" style="3" customWidth="1"/>
    <col min="11522" max="11522" width="15" style="3" customWidth="1"/>
    <col min="11523" max="11523" width="10.1796875" style="3" customWidth="1"/>
    <col min="11524" max="11524" width="19.81640625" style="3" customWidth="1"/>
    <col min="11525" max="11525" width="18" style="3" customWidth="1"/>
    <col min="11526" max="11526" width="17.81640625" style="3" customWidth="1"/>
    <col min="11527" max="11527" width="13.1796875" style="3" customWidth="1"/>
    <col min="11528" max="11528" width="9.81640625" style="3" customWidth="1"/>
    <col min="11529" max="11776" width="11.453125" style="3" customWidth="1"/>
    <col min="11777" max="11777" width="2.81640625" style="3" customWidth="1"/>
    <col min="11778" max="11778" width="15" style="3" customWidth="1"/>
    <col min="11779" max="11779" width="10.1796875" style="3" customWidth="1"/>
    <col min="11780" max="11780" width="19.81640625" style="3" customWidth="1"/>
    <col min="11781" max="11781" width="18" style="3" customWidth="1"/>
    <col min="11782" max="11782" width="17.81640625" style="3" customWidth="1"/>
    <col min="11783" max="11783" width="13.1796875" style="3" customWidth="1"/>
    <col min="11784" max="11784" width="9.81640625" style="3" customWidth="1"/>
    <col min="11785" max="12032" width="11.453125" style="3" customWidth="1"/>
    <col min="12033" max="12033" width="2.81640625" style="3" customWidth="1"/>
    <col min="12034" max="12034" width="15" style="3" customWidth="1"/>
    <col min="12035" max="12035" width="10.1796875" style="3" customWidth="1"/>
    <col min="12036" max="12036" width="19.81640625" style="3" customWidth="1"/>
    <col min="12037" max="12037" width="18" style="3" customWidth="1"/>
    <col min="12038" max="12038" width="17.81640625" style="3" customWidth="1"/>
    <col min="12039" max="12039" width="13.1796875" style="3" customWidth="1"/>
    <col min="12040" max="12040" width="9.81640625" style="3" customWidth="1"/>
    <col min="12041" max="12288" width="11.453125" style="3" customWidth="1"/>
    <col min="12289" max="12289" width="2.81640625" style="3" customWidth="1"/>
    <col min="12290" max="12290" width="15" style="3" customWidth="1"/>
    <col min="12291" max="12291" width="10.1796875" style="3" customWidth="1"/>
    <col min="12292" max="12292" width="19.81640625" style="3" customWidth="1"/>
    <col min="12293" max="12293" width="18" style="3" customWidth="1"/>
    <col min="12294" max="12294" width="17.81640625" style="3" customWidth="1"/>
    <col min="12295" max="12295" width="13.1796875" style="3" customWidth="1"/>
    <col min="12296" max="12296" width="9.81640625" style="3" customWidth="1"/>
    <col min="12297" max="12544" width="11.453125" style="3" customWidth="1"/>
    <col min="12545" max="12545" width="2.81640625" style="3" customWidth="1"/>
    <col min="12546" max="12546" width="15" style="3" customWidth="1"/>
    <col min="12547" max="12547" width="10.1796875" style="3" customWidth="1"/>
    <col min="12548" max="12548" width="19.81640625" style="3" customWidth="1"/>
    <col min="12549" max="12549" width="18" style="3" customWidth="1"/>
    <col min="12550" max="12550" width="17.81640625" style="3" customWidth="1"/>
    <col min="12551" max="12551" width="13.1796875" style="3" customWidth="1"/>
    <col min="12552" max="12552" width="9.81640625" style="3" customWidth="1"/>
    <col min="12553" max="12800" width="11.453125" style="3" customWidth="1"/>
    <col min="12801" max="12801" width="2.81640625" style="3" customWidth="1"/>
    <col min="12802" max="12802" width="15" style="3" customWidth="1"/>
    <col min="12803" max="12803" width="10.1796875" style="3" customWidth="1"/>
    <col min="12804" max="12804" width="19.81640625" style="3" customWidth="1"/>
    <col min="12805" max="12805" width="18" style="3" customWidth="1"/>
    <col min="12806" max="12806" width="17.81640625" style="3" customWidth="1"/>
    <col min="12807" max="12807" width="13.1796875" style="3" customWidth="1"/>
    <col min="12808" max="12808" width="9.81640625" style="3" customWidth="1"/>
    <col min="12809" max="13056" width="11.453125" style="3" customWidth="1"/>
    <col min="13057" max="13057" width="2.81640625" style="3" customWidth="1"/>
    <col min="13058" max="13058" width="15" style="3" customWidth="1"/>
    <col min="13059" max="13059" width="10.1796875" style="3" customWidth="1"/>
    <col min="13060" max="13060" width="19.81640625" style="3" customWidth="1"/>
    <col min="13061" max="13061" width="18" style="3" customWidth="1"/>
    <col min="13062" max="13062" width="17.81640625" style="3" customWidth="1"/>
    <col min="13063" max="13063" width="13.1796875" style="3" customWidth="1"/>
    <col min="13064" max="13064" width="9.81640625" style="3" customWidth="1"/>
    <col min="13065" max="13312" width="11.453125" style="3" customWidth="1"/>
    <col min="13313" max="13313" width="2.81640625" style="3" customWidth="1"/>
    <col min="13314" max="13314" width="15" style="3" customWidth="1"/>
    <col min="13315" max="13315" width="10.1796875" style="3" customWidth="1"/>
    <col min="13316" max="13316" width="19.81640625" style="3" customWidth="1"/>
    <col min="13317" max="13317" width="18" style="3" customWidth="1"/>
    <col min="13318" max="13318" width="17.81640625" style="3" customWidth="1"/>
    <col min="13319" max="13319" width="13.1796875" style="3" customWidth="1"/>
    <col min="13320" max="13320" width="9.81640625" style="3" customWidth="1"/>
    <col min="13321" max="13568" width="11.453125" style="3" customWidth="1"/>
    <col min="13569" max="13569" width="2.81640625" style="3" customWidth="1"/>
    <col min="13570" max="13570" width="15" style="3" customWidth="1"/>
    <col min="13571" max="13571" width="10.1796875" style="3" customWidth="1"/>
    <col min="13572" max="13572" width="19.81640625" style="3" customWidth="1"/>
    <col min="13573" max="13573" width="18" style="3" customWidth="1"/>
    <col min="13574" max="13574" width="17.81640625" style="3" customWidth="1"/>
    <col min="13575" max="13575" width="13.1796875" style="3" customWidth="1"/>
    <col min="13576" max="13576" width="9.81640625" style="3" customWidth="1"/>
    <col min="13577" max="13824" width="11.453125" style="3" customWidth="1"/>
    <col min="13825" max="13825" width="2.81640625" style="3" customWidth="1"/>
    <col min="13826" max="13826" width="15" style="3" customWidth="1"/>
    <col min="13827" max="13827" width="10.1796875" style="3" customWidth="1"/>
    <col min="13828" max="13828" width="19.81640625" style="3" customWidth="1"/>
    <col min="13829" max="13829" width="18" style="3" customWidth="1"/>
    <col min="13830" max="13830" width="17.81640625" style="3" customWidth="1"/>
    <col min="13831" max="13831" width="13.1796875" style="3" customWidth="1"/>
    <col min="13832" max="13832" width="9.81640625" style="3" customWidth="1"/>
    <col min="13833" max="14080" width="11.453125" style="3" customWidth="1"/>
    <col min="14081" max="14081" width="2.81640625" style="3" customWidth="1"/>
    <col min="14082" max="14082" width="15" style="3" customWidth="1"/>
    <col min="14083" max="14083" width="10.1796875" style="3" customWidth="1"/>
    <col min="14084" max="14084" width="19.81640625" style="3" customWidth="1"/>
    <col min="14085" max="14085" width="18" style="3" customWidth="1"/>
    <col min="14086" max="14086" width="17.81640625" style="3" customWidth="1"/>
    <col min="14087" max="14087" width="13.1796875" style="3" customWidth="1"/>
    <col min="14088" max="14088" width="9.81640625" style="3" customWidth="1"/>
    <col min="14089" max="14336" width="11.453125" style="3" customWidth="1"/>
    <col min="14337" max="14337" width="2.81640625" style="3" customWidth="1"/>
    <col min="14338" max="14338" width="15" style="3" customWidth="1"/>
    <col min="14339" max="14339" width="10.1796875" style="3" customWidth="1"/>
    <col min="14340" max="14340" width="19.81640625" style="3" customWidth="1"/>
    <col min="14341" max="14341" width="18" style="3" customWidth="1"/>
    <col min="14342" max="14342" width="17.81640625" style="3" customWidth="1"/>
    <col min="14343" max="14343" width="13.1796875" style="3" customWidth="1"/>
    <col min="14344" max="14344" width="9.81640625" style="3" customWidth="1"/>
    <col min="14345" max="14592" width="11.453125" style="3" customWidth="1"/>
    <col min="14593" max="14593" width="2.81640625" style="3" customWidth="1"/>
    <col min="14594" max="14594" width="15" style="3" customWidth="1"/>
    <col min="14595" max="14595" width="10.1796875" style="3" customWidth="1"/>
    <col min="14596" max="14596" width="19.81640625" style="3" customWidth="1"/>
    <col min="14597" max="14597" width="18" style="3" customWidth="1"/>
    <col min="14598" max="14598" width="17.81640625" style="3" customWidth="1"/>
    <col min="14599" max="14599" width="13.1796875" style="3" customWidth="1"/>
    <col min="14600" max="14600" width="9.81640625" style="3" customWidth="1"/>
    <col min="14601" max="14848" width="11.453125" style="3" customWidth="1"/>
    <col min="14849" max="14849" width="2.81640625" style="3" customWidth="1"/>
    <col min="14850" max="14850" width="15" style="3" customWidth="1"/>
    <col min="14851" max="14851" width="10.1796875" style="3" customWidth="1"/>
    <col min="14852" max="14852" width="19.81640625" style="3" customWidth="1"/>
    <col min="14853" max="14853" width="18" style="3" customWidth="1"/>
    <col min="14854" max="14854" width="17.81640625" style="3" customWidth="1"/>
    <col min="14855" max="14855" width="13.1796875" style="3" customWidth="1"/>
    <col min="14856" max="14856" width="9.81640625" style="3" customWidth="1"/>
    <col min="14857" max="15104" width="11.453125" style="3" customWidth="1"/>
    <col min="15105" max="15105" width="2.81640625" style="3" customWidth="1"/>
    <col min="15106" max="15106" width="15" style="3" customWidth="1"/>
    <col min="15107" max="15107" width="10.1796875" style="3" customWidth="1"/>
    <col min="15108" max="15108" width="19.81640625" style="3" customWidth="1"/>
    <col min="15109" max="15109" width="18" style="3" customWidth="1"/>
    <col min="15110" max="15110" width="17.81640625" style="3" customWidth="1"/>
    <col min="15111" max="15111" width="13.1796875" style="3" customWidth="1"/>
    <col min="15112" max="15112" width="9.81640625" style="3" customWidth="1"/>
    <col min="15113" max="15360" width="11.453125" style="3" customWidth="1"/>
    <col min="15361" max="15361" width="2.81640625" style="3" customWidth="1"/>
    <col min="15362" max="15362" width="15" style="3" customWidth="1"/>
    <col min="15363" max="15363" width="10.1796875" style="3" customWidth="1"/>
    <col min="15364" max="15364" width="19.81640625" style="3" customWidth="1"/>
    <col min="15365" max="15365" width="18" style="3" customWidth="1"/>
    <col min="15366" max="15366" width="17.81640625" style="3" customWidth="1"/>
    <col min="15367" max="15367" width="13.1796875" style="3" customWidth="1"/>
    <col min="15368" max="15368" width="9.81640625" style="3" customWidth="1"/>
    <col min="15369" max="15616" width="11.453125" style="3" customWidth="1"/>
    <col min="15617" max="15617" width="2.81640625" style="3" customWidth="1"/>
    <col min="15618" max="15618" width="15" style="3" customWidth="1"/>
    <col min="15619" max="15619" width="10.1796875" style="3" customWidth="1"/>
    <col min="15620" max="15620" width="19.81640625" style="3" customWidth="1"/>
    <col min="15621" max="15621" width="18" style="3" customWidth="1"/>
    <col min="15622" max="15622" width="17.81640625" style="3" customWidth="1"/>
    <col min="15623" max="15623" width="13.1796875" style="3" customWidth="1"/>
    <col min="15624" max="15624" width="9.81640625" style="3" customWidth="1"/>
    <col min="15625" max="15872" width="11.453125" style="3" customWidth="1"/>
    <col min="15873" max="15873" width="2.81640625" style="3" customWidth="1"/>
    <col min="15874" max="15874" width="15" style="3" customWidth="1"/>
    <col min="15875" max="15875" width="10.1796875" style="3" customWidth="1"/>
    <col min="15876" max="15876" width="19.81640625" style="3" customWidth="1"/>
    <col min="15877" max="15877" width="18" style="3" customWidth="1"/>
    <col min="15878" max="15878" width="17.81640625" style="3" customWidth="1"/>
    <col min="15879" max="15879" width="13.1796875" style="3" customWidth="1"/>
    <col min="15880" max="15880" width="9.81640625" style="3" customWidth="1"/>
    <col min="15881" max="16128" width="11.453125" style="3" customWidth="1"/>
    <col min="16129" max="16129" width="2.81640625" style="3" customWidth="1"/>
    <col min="16130" max="16130" width="15" style="3" customWidth="1"/>
    <col min="16131" max="16131" width="10.1796875" style="3" customWidth="1"/>
    <col min="16132" max="16132" width="19.81640625" style="3" customWidth="1"/>
    <col min="16133" max="16133" width="18" style="3" customWidth="1"/>
    <col min="16134" max="16134" width="17.81640625" style="3" customWidth="1"/>
    <col min="16135" max="16135" width="13.1796875" style="3" customWidth="1"/>
    <col min="16136" max="16136" width="9.81640625" style="3" customWidth="1"/>
    <col min="16137" max="16384" width="11.453125" style="3" customWidth="1"/>
  </cols>
  <sheetData>
    <row r="1" spans="1:18">
      <c r="A1" s="134"/>
      <c r="B1" s="135"/>
      <c r="C1" s="84"/>
      <c r="D1" s="83"/>
      <c r="E1" s="83"/>
      <c r="F1" s="83"/>
      <c r="G1" s="83"/>
      <c r="H1" s="83"/>
    </row>
    <row r="2" spans="1:18" ht="18">
      <c r="B2" s="687" t="s">
        <v>274</v>
      </c>
      <c r="C2" s="687"/>
      <c r="D2" s="688" t="str">
        <f>UPPER(REPORTS!$AB$1)</f>
        <v>NATURAL FLOW</v>
      </c>
      <c r="E2" s="688"/>
      <c r="F2" s="688"/>
      <c r="G2" s="688"/>
      <c r="H2" s="688"/>
      <c r="I2" s="688"/>
      <c r="J2" s="688"/>
      <c r="K2" s="688"/>
      <c r="L2" s="688"/>
      <c r="M2" s="136"/>
      <c r="N2" s="136"/>
      <c r="O2" s="136"/>
      <c r="P2" s="136"/>
      <c r="Q2" s="136"/>
      <c r="R2" s="136"/>
    </row>
    <row r="3" spans="1:18" ht="18">
      <c r="B3" s="687" t="s">
        <v>353</v>
      </c>
      <c r="C3" s="687"/>
      <c r="D3" s="689" t="s">
        <v>354</v>
      </c>
      <c r="E3" s="688"/>
      <c r="F3" s="688"/>
      <c r="G3" s="688"/>
      <c r="H3" s="688"/>
      <c r="I3" s="688"/>
      <c r="J3" s="688"/>
      <c r="K3" s="688"/>
      <c r="L3" s="688"/>
      <c r="M3" s="136"/>
      <c r="N3" s="136"/>
      <c r="O3" s="136"/>
      <c r="P3" s="136"/>
      <c r="Q3" s="136"/>
      <c r="R3" s="136"/>
    </row>
    <row r="5" spans="1:18" ht="15.75" customHeight="1">
      <c r="B5" s="556" t="s">
        <v>1</v>
      </c>
      <c r="C5" s="556"/>
      <c r="D5" s="556"/>
      <c r="E5" s="484" t="str">
        <f>REPORTS!E7</f>
        <v>Natural Flow (Nat_F)</v>
      </c>
      <c r="F5" s="489"/>
      <c r="G5" s="489"/>
      <c r="H5" s="489"/>
      <c r="I5" s="489"/>
      <c r="J5" s="95"/>
      <c r="K5" s="95"/>
      <c r="L5" s="95"/>
      <c r="M5" s="95"/>
      <c r="N5" s="95"/>
      <c r="O5" s="95"/>
      <c r="P5" s="95"/>
      <c r="Q5" s="95"/>
      <c r="R5" s="95"/>
    </row>
    <row r="6" spans="1:18" ht="15.75" customHeight="1">
      <c r="B6" s="556" t="s">
        <v>2</v>
      </c>
      <c r="C6" s="556"/>
      <c r="D6" s="556"/>
      <c r="E6" s="484" t="str">
        <f>REPORTS!E8</f>
        <v>Altered Flow (Alt_F)</v>
      </c>
      <c r="F6" s="489"/>
      <c r="G6" s="489"/>
      <c r="H6" s="489"/>
      <c r="I6" s="489"/>
      <c r="J6" s="95"/>
      <c r="K6" s="95"/>
      <c r="L6" s="95"/>
      <c r="M6" s="95"/>
      <c r="N6" s="95"/>
      <c r="O6" s="95"/>
      <c r="P6" s="95"/>
      <c r="Q6" s="95"/>
      <c r="R6" s="95"/>
    </row>
    <row r="7" spans="1:18" ht="13">
      <c r="B7" s="556" t="s">
        <v>3</v>
      </c>
      <c r="C7" s="556"/>
      <c r="D7" s="556"/>
      <c r="E7" s="484" t="s">
        <v>4</v>
      </c>
      <c r="F7" s="489"/>
      <c r="G7" s="489"/>
      <c r="H7" s="489"/>
      <c r="I7" s="489"/>
      <c r="J7" s="95"/>
      <c r="K7" s="95"/>
      <c r="L7" s="95"/>
      <c r="M7" s="95"/>
      <c r="N7" s="95"/>
      <c r="O7" s="95"/>
      <c r="P7" s="95"/>
      <c r="Q7" s="95"/>
      <c r="R7" s="95"/>
    </row>
    <row r="8" spans="1:18" ht="13">
      <c r="B8" s="482"/>
      <c r="C8" s="482"/>
      <c r="D8" s="482"/>
      <c r="E8" s="477"/>
      <c r="F8" s="484"/>
      <c r="G8" s="484"/>
      <c r="H8" s="484"/>
      <c r="I8" s="484"/>
      <c r="J8" s="95"/>
      <c r="K8" s="95"/>
      <c r="L8" s="95"/>
      <c r="M8" s="95"/>
      <c r="N8" s="95"/>
      <c r="O8" s="95"/>
      <c r="P8" s="95"/>
      <c r="Q8" s="95"/>
      <c r="R8" s="95"/>
    </row>
    <row r="9" spans="1:18" ht="13">
      <c r="B9" s="482"/>
      <c r="C9" s="482"/>
      <c r="D9" s="482"/>
      <c r="E9" s="484"/>
      <c r="F9" s="484"/>
      <c r="G9" s="484"/>
      <c r="H9" s="484"/>
      <c r="I9" s="484"/>
      <c r="J9" s="95"/>
      <c r="K9" s="95"/>
      <c r="L9" s="95"/>
      <c r="M9" s="95"/>
      <c r="N9" s="95"/>
      <c r="O9" s="95"/>
      <c r="P9" s="95"/>
      <c r="Q9" s="95"/>
      <c r="R9" s="95"/>
    </row>
    <row r="12" spans="1:18" ht="18">
      <c r="B12" s="798" t="s">
        <v>156</v>
      </c>
      <c r="C12" s="798"/>
      <c r="D12" s="798"/>
      <c r="E12" s="798"/>
      <c r="F12" s="798"/>
      <c r="G12" s="798"/>
      <c r="H12" s="798"/>
    </row>
    <row r="13" spans="1:18" ht="13.75" customHeight="1">
      <c r="J13" s="794" t="s">
        <v>355</v>
      </c>
      <c r="K13" s="794"/>
      <c r="L13" s="794"/>
    </row>
    <row r="14" spans="1:18" ht="15.5">
      <c r="C14" s="17"/>
      <c r="D14" s="793" t="s">
        <v>356</v>
      </c>
      <c r="E14" s="793"/>
      <c r="F14" s="793"/>
      <c r="J14" s="794" t="s">
        <v>357</v>
      </c>
      <c r="K14" s="794"/>
      <c r="L14" s="794"/>
    </row>
    <row r="16" spans="1:18">
      <c r="D16" s="137" t="s">
        <v>358</v>
      </c>
      <c r="E16" s="138" t="s">
        <v>359</v>
      </c>
      <c r="F16" s="139" t="s">
        <v>360</v>
      </c>
      <c r="G16" s="140"/>
      <c r="J16" s="795" t="s">
        <v>361</v>
      </c>
      <c r="K16" s="138" t="s">
        <v>359</v>
      </c>
      <c r="L16" s="139" t="s">
        <v>360</v>
      </c>
    </row>
    <row r="17" spans="4:20">
      <c r="D17" s="141" t="s">
        <v>362</v>
      </c>
      <c r="E17" s="142" t="s">
        <v>363</v>
      </c>
      <c r="F17" s="143" t="str">
        <f>UPPER(REPORTS!$AA$1)</f>
        <v>NAT_F</v>
      </c>
      <c r="G17" s="140"/>
      <c r="J17" s="796"/>
      <c r="K17" s="142" t="s">
        <v>363</v>
      </c>
      <c r="L17" s="143" t="str">
        <f>UPPER(REPORTS!$AA$1)</f>
        <v>NAT_F</v>
      </c>
    </row>
    <row r="18" spans="4:20" ht="13">
      <c r="D18" s="144">
        <f>366*(E18/100)</f>
        <v>1.83</v>
      </c>
      <c r="E18" s="145">
        <v>0.5</v>
      </c>
      <c r="F18" s="146">
        <f>_xlfn.PERCENTILE.EXC(L$18:L$382,(1-(E18/100)))</f>
        <v>8.5795046520233189</v>
      </c>
      <c r="G18" s="147"/>
      <c r="J18" s="148">
        <v>1</v>
      </c>
      <c r="K18" s="149">
        <f>(J18/366)*100</f>
        <v>0.27322404371584702</v>
      </c>
      <c r="L18" s="146">
        <v>8.7547149658203125</v>
      </c>
    </row>
    <row r="19" spans="4:20" ht="13">
      <c r="D19" s="150">
        <f>366*(E19/100)</f>
        <v>3.66</v>
      </c>
      <c r="E19" s="151">
        <v>1</v>
      </c>
      <c r="F19" s="152">
        <f>_xlfn.PERCENTILE.EXC(L$18:L$382,(1-E19/100))</f>
        <v>8.211554317474361</v>
      </c>
      <c r="G19" s="147"/>
      <c r="J19" s="153">
        <v>2</v>
      </c>
      <c r="K19" s="154">
        <f>(J19/366)*100</f>
        <v>0.54644808743169404</v>
      </c>
      <c r="L19" s="152">
        <v>8.5436182022094727</v>
      </c>
    </row>
    <row r="20" spans="4:20" ht="13">
      <c r="D20" s="150">
        <f t="shared" ref="D20:D39" si="0">366*(E20/100)</f>
        <v>18.3</v>
      </c>
      <c r="E20" s="151">
        <v>5</v>
      </c>
      <c r="F20" s="152">
        <f>_xlfn.PERCENTILE.EXC(L$18:L$382,(1-E20/100))</f>
        <v>6.8822472572326649</v>
      </c>
      <c r="G20" s="147"/>
      <c r="J20" s="153">
        <v>3</v>
      </c>
      <c r="K20" s="154">
        <f t="shared" ref="K20:K83" si="1">(J20/366)*100</f>
        <v>0.81967213114754101</v>
      </c>
      <c r="L20" s="152">
        <v>8.3198575973510742</v>
      </c>
    </row>
    <row r="21" spans="4:20" ht="13">
      <c r="D21" s="150">
        <f t="shared" si="0"/>
        <v>36.6</v>
      </c>
      <c r="E21" s="151">
        <v>10</v>
      </c>
      <c r="F21" s="152">
        <f t="shared" ref="F21:F40" si="2">_xlfn.PERCENTILE.EXC(L$18:L$382,(1-E21/100))</f>
        <v>6.1284955024719245</v>
      </c>
      <c r="G21" s="147"/>
      <c r="J21" s="153">
        <v>4</v>
      </c>
      <c r="K21" s="154">
        <f t="shared" si="1"/>
        <v>1.0928961748633881</v>
      </c>
      <c r="L21" s="152">
        <v>8.15576171875</v>
      </c>
    </row>
    <row r="22" spans="4:20" ht="13">
      <c r="D22" s="150">
        <f t="shared" si="0"/>
        <v>54.9</v>
      </c>
      <c r="E22" s="151">
        <v>15</v>
      </c>
      <c r="F22" s="152">
        <f t="shared" si="2"/>
        <v>5.6725666046142571</v>
      </c>
      <c r="G22" s="147"/>
      <c r="J22" s="153">
        <v>5</v>
      </c>
      <c r="K22" s="154">
        <f t="shared" si="1"/>
        <v>1.3661202185792349</v>
      </c>
      <c r="L22" s="152">
        <v>8.0714292526245117</v>
      </c>
    </row>
    <row r="23" spans="4:20" ht="14">
      <c r="D23" s="150">
        <f t="shared" si="0"/>
        <v>73.2</v>
      </c>
      <c r="E23" s="151">
        <v>20</v>
      </c>
      <c r="F23" s="152">
        <f t="shared" si="2"/>
        <v>5.3030953407287598</v>
      </c>
      <c r="G23" s="147"/>
      <c r="J23" s="153">
        <v>6</v>
      </c>
      <c r="K23" s="154">
        <f t="shared" si="1"/>
        <v>1.639344262295082</v>
      </c>
      <c r="L23" s="152">
        <v>7.9537630081176758</v>
      </c>
      <c r="Q23" s="93"/>
      <c r="R23" s="93"/>
      <c r="S23" s="93"/>
      <c r="T23" s="93"/>
    </row>
    <row r="24" spans="4:20" ht="14">
      <c r="D24" s="150">
        <f t="shared" si="0"/>
        <v>91.5</v>
      </c>
      <c r="E24" s="151">
        <v>25</v>
      </c>
      <c r="F24" s="152">
        <f t="shared" si="2"/>
        <v>4.9659044742584229</v>
      </c>
      <c r="G24" s="147"/>
      <c r="J24" s="153">
        <v>7</v>
      </c>
      <c r="K24" s="154">
        <f t="shared" si="1"/>
        <v>1.9125683060109291</v>
      </c>
      <c r="L24" s="152">
        <v>7.8527612686157227</v>
      </c>
      <c r="Q24" s="13"/>
      <c r="R24" s="13"/>
      <c r="S24" s="13"/>
      <c r="T24" s="13"/>
    </row>
    <row r="25" spans="4:20" ht="13">
      <c r="D25" s="150">
        <f t="shared" si="0"/>
        <v>109.8</v>
      </c>
      <c r="E25" s="151">
        <v>30</v>
      </c>
      <c r="F25" s="152">
        <f t="shared" si="2"/>
        <v>4.685971736907959</v>
      </c>
      <c r="G25" s="147"/>
      <c r="J25" s="153">
        <v>8</v>
      </c>
      <c r="K25" s="154">
        <f t="shared" si="1"/>
        <v>2.1857923497267762</v>
      </c>
      <c r="L25" s="152">
        <v>7.7089524269104004</v>
      </c>
    </row>
    <row r="26" spans="4:20" ht="13">
      <c r="D26" s="150">
        <f t="shared" si="0"/>
        <v>128.1</v>
      </c>
      <c r="E26" s="151">
        <v>35</v>
      </c>
      <c r="F26" s="152">
        <f t="shared" si="2"/>
        <v>4.3629427433013914</v>
      </c>
      <c r="G26" s="147"/>
      <c r="J26" s="153">
        <v>9</v>
      </c>
      <c r="K26" s="154">
        <f t="shared" si="1"/>
        <v>2.459016393442623</v>
      </c>
      <c r="L26" s="152">
        <v>7.6116666793823242</v>
      </c>
    </row>
    <row r="27" spans="4:20" ht="13">
      <c r="D27" s="150">
        <f t="shared" si="0"/>
        <v>146.4</v>
      </c>
      <c r="E27" s="151">
        <v>40</v>
      </c>
      <c r="F27" s="152">
        <f t="shared" si="2"/>
        <v>4.0462668418884276</v>
      </c>
      <c r="G27" s="147"/>
      <c r="J27" s="153">
        <v>10</v>
      </c>
      <c r="K27" s="154">
        <f t="shared" si="1"/>
        <v>2.7322404371584699</v>
      </c>
      <c r="L27" s="152">
        <v>7.5060005187988281</v>
      </c>
    </row>
    <row r="28" spans="4:20" ht="13">
      <c r="D28" s="150">
        <f t="shared" si="0"/>
        <v>164.70000000000002</v>
      </c>
      <c r="E28" s="151">
        <v>45</v>
      </c>
      <c r="F28" s="152">
        <f t="shared" si="2"/>
        <v>3.7285141944885254</v>
      </c>
      <c r="G28" s="147"/>
      <c r="J28" s="153">
        <v>11</v>
      </c>
      <c r="K28" s="154">
        <f t="shared" si="1"/>
        <v>3.0054644808743167</v>
      </c>
      <c r="L28" s="152">
        <v>7.4366188049316406</v>
      </c>
    </row>
    <row r="29" spans="4:20" ht="13">
      <c r="D29" s="150">
        <f t="shared" si="0"/>
        <v>183</v>
      </c>
      <c r="E29" s="151">
        <v>50</v>
      </c>
      <c r="F29" s="152">
        <f t="shared" si="2"/>
        <v>3.3207619190216064</v>
      </c>
      <c r="G29" s="147"/>
      <c r="J29" s="153">
        <v>12</v>
      </c>
      <c r="K29" s="154">
        <f t="shared" si="1"/>
        <v>3.278688524590164</v>
      </c>
      <c r="L29" s="152">
        <v>7.3675241470336914</v>
      </c>
    </row>
    <row r="30" spans="4:20" ht="13">
      <c r="D30" s="150">
        <f t="shared" si="0"/>
        <v>201.3</v>
      </c>
      <c r="E30" s="151">
        <v>55</v>
      </c>
      <c r="F30" s="152">
        <f t="shared" si="2"/>
        <v>2.792437958717346</v>
      </c>
      <c r="G30" s="147"/>
      <c r="J30" s="153">
        <v>13</v>
      </c>
      <c r="K30" s="154">
        <f t="shared" si="1"/>
        <v>3.5519125683060109</v>
      </c>
      <c r="L30" s="152">
        <v>7.3054280281066895</v>
      </c>
    </row>
    <row r="31" spans="4:20" ht="13">
      <c r="D31" s="150">
        <f t="shared" si="0"/>
        <v>219.6</v>
      </c>
      <c r="E31" s="151">
        <v>60</v>
      </c>
      <c r="F31" s="152">
        <f t="shared" si="2"/>
        <v>1.9749999761581423</v>
      </c>
      <c r="G31" s="147"/>
      <c r="J31" s="153">
        <v>14</v>
      </c>
      <c r="K31" s="154">
        <f t="shared" si="1"/>
        <v>3.8251366120218582</v>
      </c>
      <c r="L31" s="152">
        <v>7.2241430282592773</v>
      </c>
    </row>
    <row r="32" spans="4:20" ht="13">
      <c r="D32" s="150">
        <f t="shared" si="0"/>
        <v>237.9</v>
      </c>
      <c r="E32" s="151">
        <v>65</v>
      </c>
      <c r="F32" s="152">
        <f t="shared" si="2"/>
        <v>1.390375208854675</v>
      </c>
      <c r="G32" s="147"/>
      <c r="J32" s="153">
        <v>15</v>
      </c>
      <c r="K32" s="154">
        <f t="shared" si="1"/>
        <v>4.0983606557377046</v>
      </c>
      <c r="L32" s="152">
        <v>7.1149053573608398</v>
      </c>
    </row>
    <row r="33" spans="3:12" ht="13">
      <c r="D33" s="150">
        <f t="shared" si="0"/>
        <v>256.2</v>
      </c>
      <c r="E33" s="151">
        <v>70</v>
      </c>
      <c r="F33" s="152">
        <f t="shared" si="2"/>
        <v>0.94160853624343899</v>
      </c>
      <c r="G33" s="147"/>
      <c r="J33" s="153">
        <v>16</v>
      </c>
      <c r="K33" s="154">
        <f t="shared" si="1"/>
        <v>4.3715846994535523</v>
      </c>
      <c r="L33" s="152">
        <v>7.0387144088745117</v>
      </c>
    </row>
    <row r="34" spans="3:12" ht="13">
      <c r="D34" s="150">
        <f t="shared" si="0"/>
        <v>274.5</v>
      </c>
      <c r="E34" s="151">
        <v>75</v>
      </c>
      <c r="F34" s="152">
        <f t="shared" si="2"/>
        <v>0.6150762140750885</v>
      </c>
      <c r="G34" s="147"/>
      <c r="J34" s="153">
        <v>17</v>
      </c>
      <c r="K34" s="154">
        <f t="shared" si="1"/>
        <v>4.6448087431693992</v>
      </c>
      <c r="L34" s="152">
        <v>6.9688096046447754</v>
      </c>
    </row>
    <row r="35" spans="3:12" ht="13">
      <c r="D35" s="150">
        <f t="shared" si="0"/>
        <v>292.8</v>
      </c>
      <c r="E35" s="151">
        <v>80</v>
      </c>
      <c r="F35" s="152">
        <f t="shared" si="2"/>
        <v>0.39250190258026113</v>
      </c>
      <c r="G35" s="147"/>
      <c r="J35" s="153">
        <v>18</v>
      </c>
      <c r="K35" s="154">
        <f t="shared" si="1"/>
        <v>4.918032786885246</v>
      </c>
      <c r="L35" s="152">
        <v>6.9024758338928223</v>
      </c>
    </row>
    <row r="36" spans="3:12" ht="13">
      <c r="D36" s="150">
        <f t="shared" si="0"/>
        <v>311.09999999999997</v>
      </c>
      <c r="E36" s="151">
        <v>85</v>
      </c>
      <c r="F36" s="152">
        <f t="shared" si="2"/>
        <v>0.2585333198308945</v>
      </c>
      <c r="G36" s="147"/>
      <c r="J36" s="153">
        <v>19</v>
      </c>
      <c r="K36" s="154">
        <f t="shared" si="1"/>
        <v>5.1912568306010929</v>
      </c>
      <c r="L36" s="152">
        <v>6.8350472450256348</v>
      </c>
    </row>
    <row r="37" spans="3:12" ht="13">
      <c r="D37" s="150">
        <f t="shared" si="0"/>
        <v>329.40000000000003</v>
      </c>
      <c r="E37" s="151">
        <v>90</v>
      </c>
      <c r="F37" s="152">
        <f t="shared" si="2"/>
        <v>0.19184284806251525</v>
      </c>
      <c r="G37" s="147"/>
      <c r="J37" s="153">
        <v>20</v>
      </c>
      <c r="K37" s="154">
        <f t="shared" si="1"/>
        <v>5.4644808743169397</v>
      </c>
      <c r="L37" s="152">
        <v>6.7924761772155762</v>
      </c>
    </row>
    <row r="38" spans="3:12" ht="13">
      <c r="D38" s="150">
        <f t="shared" si="0"/>
        <v>347.7</v>
      </c>
      <c r="E38" s="151">
        <v>95</v>
      </c>
      <c r="F38" s="152">
        <f t="shared" si="2"/>
        <v>0.15465763509273531</v>
      </c>
      <c r="G38" s="147"/>
      <c r="J38" s="153">
        <v>21</v>
      </c>
      <c r="K38" s="154">
        <f t="shared" si="1"/>
        <v>5.7377049180327866</v>
      </c>
      <c r="L38" s="152">
        <v>6.7317628860473633</v>
      </c>
    </row>
    <row r="39" spans="3:12" ht="13">
      <c r="D39" s="150">
        <f t="shared" si="0"/>
        <v>362.34</v>
      </c>
      <c r="E39" s="151">
        <v>99</v>
      </c>
      <c r="F39" s="152">
        <f t="shared" si="2"/>
        <v>0.1258209538459778</v>
      </c>
      <c r="G39" s="147"/>
      <c r="J39" s="153">
        <v>22</v>
      </c>
      <c r="K39" s="154">
        <f t="shared" si="1"/>
        <v>6.0109289617486334</v>
      </c>
      <c r="L39" s="152">
        <v>6.6726675033569336</v>
      </c>
    </row>
    <row r="40" spans="3:12" ht="13">
      <c r="D40" s="155">
        <f>366*(E40/100)</f>
        <v>364.17</v>
      </c>
      <c r="E40" s="156">
        <v>99.5</v>
      </c>
      <c r="F40" s="157">
        <f t="shared" si="2"/>
        <v>0.11998990334570409</v>
      </c>
      <c r="G40" s="147"/>
      <c r="J40" s="153">
        <v>23</v>
      </c>
      <c r="K40" s="154">
        <f t="shared" si="1"/>
        <v>6.2841530054644812</v>
      </c>
      <c r="L40" s="152">
        <v>6.6209526062011719</v>
      </c>
    </row>
    <row r="41" spans="3:12" ht="12.75" customHeight="1">
      <c r="D41" s="797"/>
      <c r="E41" s="797"/>
      <c r="F41" s="797"/>
      <c r="J41" s="153">
        <v>24</v>
      </c>
      <c r="K41" s="154">
        <f t="shared" si="1"/>
        <v>6.557377049180328</v>
      </c>
      <c r="L41" s="152">
        <v>6.5800962448120117</v>
      </c>
    </row>
    <row r="42" spans="3:12" ht="13">
      <c r="C42" s="3" t="str">
        <f>CONCATENATE("RATED FLOW CURVE. ",D2)</f>
        <v>RATED FLOW CURVE. NATURAL FLOW</v>
      </c>
      <c r="J42" s="153">
        <v>25</v>
      </c>
      <c r="K42" s="154">
        <f t="shared" si="1"/>
        <v>6.8306010928961758</v>
      </c>
      <c r="L42" s="152">
        <v>6.5044293403625488</v>
      </c>
    </row>
    <row r="43" spans="3:12" ht="13">
      <c r="J43" s="153">
        <v>26</v>
      </c>
      <c r="K43" s="154">
        <f t="shared" si="1"/>
        <v>7.1038251366120218</v>
      </c>
      <c r="L43" s="152">
        <v>6.4766664505004883</v>
      </c>
    </row>
    <row r="44" spans="3:12" ht="13">
      <c r="J44" s="153">
        <v>27</v>
      </c>
      <c r="K44" s="154">
        <f t="shared" si="1"/>
        <v>7.3770491803278686</v>
      </c>
      <c r="L44" s="152">
        <v>6.4436659812927246</v>
      </c>
    </row>
    <row r="45" spans="3:12" ht="13">
      <c r="J45" s="153">
        <v>28</v>
      </c>
      <c r="K45" s="154">
        <f t="shared" si="1"/>
        <v>7.6502732240437163</v>
      </c>
      <c r="L45" s="152">
        <v>6.4115715026855469</v>
      </c>
    </row>
    <row r="46" spans="3:12" ht="13">
      <c r="J46" s="153">
        <v>29</v>
      </c>
      <c r="K46" s="154">
        <f t="shared" si="1"/>
        <v>7.9234972677595632</v>
      </c>
      <c r="L46" s="152">
        <v>6.3790950775146484</v>
      </c>
    </row>
    <row r="47" spans="3:12" ht="13">
      <c r="J47" s="153">
        <v>30</v>
      </c>
      <c r="K47" s="154">
        <f t="shared" si="1"/>
        <v>8.1967213114754092</v>
      </c>
      <c r="L47" s="152">
        <v>6.3509521484375</v>
      </c>
    </row>
    <row r="48" spans="3:12" ht="13">
      <c r="J48" s="153">
        <v>31</v>
      </c>
      <c r="K48" s="154">
        <f t="shared" si="1"/>
        <v>8.4699453551912569</v>
      </c>
      <c r="L48" s="152">
        <v>6.3130478858947754</v>
      </c>
    </row>
    <row r="49" spans="10:12" ht="13">
      <c r="J49" s="153">
        <v>32</v>
      </c>
      <c r="K49" s="154">
        <f t="shared" si="1"/>
        <v>8.7431693989071047</v>
      </c>
      <c r="L49" s="152">
        <v>6.2735710144042969</v>
      </c>
    </row>
    <row r="50" spans="10:12" ht="13">
      <c r="J50" s="153">
        <v>33</v>
      </c>
      <c r="K50" s="154">
        <f t="shared" si="1"/>
        <v>9.0163934426229506</v>
      </c>
      <c r="L50" s="152">
        <v>6.2430944442749023</v>
      </c>
    </row>
    <row r="51" spans="10:12" ht="13">
      <c r="J51" s="153">
        <v>34</v>
      </c>
      <c r="K51" s="154">
        <f t="shared" si="1"/>
        <v>9.2896174863387984</v>
      </c>
      <c r="L51" s="152">
        <v>6.2090010643005371</v>
      </c>
    </row>
    <row r="52" spans="10:12" ht="13">
      <c r="J52" s="153">
        <v>35</v>
      </c>
      <c r="K52" s="154">
        <f t="shared" si="1"/>
        <v>9.5628415300546443</v>
      </c>
      <c r="L52" s="152">
        <v>6.1767134666442871</v>
      </c>
    </row>
    <row r="53" spans="10:12" ht="13">
      <c r="J53" s="153">
        <v>36</v>
      </c>
      <c r="K53" s="154">
        <f t="shared" si="1"/>
        <v>9.8360655737704921</v>
      </c>
      <c r="L53" s="152">
        <v>6.1448101997375488</v>
      </c>
    </row>
    <row r="54" spans="10:12" ht="13">
      <c r="J54" s="153">
        <v>37</v>
      </c>
      <c r="K54" s="154">
        <f t="shared" si="1"/>
        <v>10.10928961748634</v>
      </c>
      <c r="L54" s="152">
        <v>6.1176190376281738</v>
      </c>
    </row>
    <row r="55" spans="10:12" ht="13">
      <c r="J55" s="153">
        <v>38</v>
      </c>
      <c r="K55" s="154">
        <f t="shared" si="1"/>
        <v>10.382513661202186</v>
      </c>
      <c r="L55" s="152">
        <v>6.0914754867553711</v>
      </c>
    </row>
    <row r="56" spans="10:12" ht="13">
      <c r="J56" s="153">
        <v>39</v>
      </c>
      <c r="K56" s="154">
        <f t="shared" si="1"/>
        <v>10.655737704918032</v>
      </c>
      <c r="L56" s="152">
        <v>6.061856746673584</v>
      </c>
    </row>
    <row r="57" spans="10:12" ht="13">
      <c r="J57" s="153">
        <v>40</v>
      </c>
      <c r="K57" s="154">
        <f t="shared" si="1"/>
        <v>10.928961748633879</v>
      </c>
      <c r="L57" s="152">
        <v>6.0326194763183594</v>
      </c>
    </row>
    <row r="58" spans="10:12" ht="13">
      <c r="J58" s="153">
        <v>41</v>
      </c>
      <c r="K58" s="154">
        <f t="shared" si="1"/>
        <v>11.202185792349727</v>
      </c>
      <c r="L58" s="152">
        <v>6.0001907348632813</v>
      </c>
    </row>
    <row r="59" spans="10:12" ht="13">
      <c r="J59" s="153">
        <v>42</v>
      </c>
      <c r="K59" s="154">
        <f t="shared" si="1"/>
        <v>11.475409836065573</v>
      </c>
      <c r="L59" s="152">
        <v>5.9765238761901855</v>
      </c>
    </row>
    <row r="60" spans="10:12" ht="13">
      <c r="J60" s="153">
        <v>43</v>
      </c>
      <c r="K60" s="154">
        <f t="shared" si="1"/>
        <v>11.748633879781421</v>
      </c>
      <c r="L60" s="152">
        <v>5.9444756507873535</v>
      </c>
    </row>
    <row r="61" spans="10:12" ht="13">
      <c r="J61" s="153">
        <v>44</v>
      </c>
      <c r="K61" s="154">
        <f t="shared" si="1"/>
        <v>12.021857923497267</v>
      </c>
      <c r="L61" s="152">
        <v>5.9117622375488281</v>
      </c>
    </row>
    <row r="62" spans="10:12" ht="13">
      <c r="J62" s="153">
        <v>45</v>
      </c>
      <c r="K62" s="154">
        <f t="shared" si="1"/>
        <v>12.295081967213115</v>
      </c>
      <c r="L62" s="152">
        <v>5.8859519958496094</v>
      </c>
    </row>
    <row r="63" spans="10:12" ht="13">
      <c r="J63" s="153">
        <v>46</v>
      </c>
      <c r="K63" s="154">
        <f t="shared" si="1"/>
        <v>12.568306010928962</v>
      </c>
      <c r="L63" s="152">
        <v>5.8631906509399414</v>
      </c>
    </row>
    <row r="64" spans="10:12" ht="13">
      <c r="J64" s="153">
        <v>47</v>
      </c>
      <c r="K64" s="154">
        <f t="shared" si="1"/>
        <v>12.841530054644808</v>
      </c>
      <c r="L64" s="152">
        <v>5.8472385406494141</v>
      </c>
    </row>
    <row r="65" spans="10:12" ht="13">
      <c r="J65" s="153">
        <v>48</v>
      </c>
      <c r="K65" s="154">
        <f t="shared" si="1"/>
        <v>13.114754098360656</v>
      </c>
      <c r="L65" s="152">
        <v>5.8279047012329102</v>
      </c>
    </row>
    <row r="66" spans="10:12" ht="13">
      <c r="J66" s="153">
        <v>49</v>
      </c>
      <c r="K66" s="154">
        <f t="shared" si="1"/>
        <v>13.387978142076504</v>
      </c>
      <c r="L66" s="152">
        <v>5.7928094863891602</v>
      </c>
    </row>
    <row r="67" spans="10:12" ht="13">
      <c r="J67" s="153">
        <v>50</v>
      </c>
      <c r="K67" s="154">
        <f t="shared" si="1"/>
        <v>13.661202185792352</v>
      </c>
      <c r="L67" s="152">
        <v>5.7711906433105469</v>
      </c>
    </row>
    <row r="68" spans="10:12" ht="13">
      <c r="J68" s="153">
        <v>51</v>
      </c>
      <c r="K68" s="154">
        <f t="shared" si="1"/>
        <v>13.934426229508196</v>
      </c>
      <c r="L68" s="152">
        <v>5.7550473213195801</v>
      </c>
    </row>
    <row r="69" spans="10:12" ht="13">
      <c r="J69" s="153">
        <v>52</v>
      </c>
      <c r="K69" s="154">
        <f t="shared" si="1"/>
        <v>14.207650273224044</v>
      </c>
      <c r="L69" s="152">
        <v>5.7324280738830566</v>
      </c>
    </row>
    <row r="70" spans="10:12" ht="13">
      <c r="J70" s="153">
        <v>53</v>
      </c>
      <c r="K70" s="154">
        <f t="shared" si="1"/>
        <v>14.480874316939889</v>
      </c>
      <c r="L70" s="152">
        <v>5.7117619514465332</v>
      </c>
    </row>
    <row r="71" spans="10:12" ht="13">
      <c r="J71" s="153">
        <v>54</v>
      </c>
      <c r="K71" s="154">
        <f t="shared" si="1"/>
        <v>14.754098360655737</v>
      </c>
      <c r="L71" s="152">
        <v>5.6870951652526855</v>
      </c>
    </row>
    <row r="72" spans="10:12" ht="13">
      <c r="J72" s="153">
        <v>55</v>
      </c>
      <c r="K72" s="154">
        <f t="shared" si="1"/>
        <v>15.027322404371585</v>
      </c>
      <c r="L72" s="152">
        <v>5.670952320098877</v>
      </c>
    </row>
    <row r="73" spans="10:12" ht="13">
      <c r="J73" s="153">
        <v>56</v>
      </c>
      <c r="K73" s="154">
        <f t="shared" si="1"/>
        <v>15.300546448087433</v>
      </c>
      <c r="L73" s="152">
        <v>5.6454286575317383</v>
      </c>
    </row>
    <row r="74" spans="10:12" ht="13">
      <c r="J74" s="153">
        <v>57</v>
      </c>
      <c r="K74" s="154">
        <f t="shared" si="1"/>
        <v>15.573770491803279</v>
      </c>
      <c r="L74" s="152">
        <v>5.6268572807312012</v>
      </c>
    </row>
    <row r="75" spans="10:12" ht="13">
      <c r="J75" s="153">
        <v>58</v>
      </c>
      <c r="K75" s="154">
        <f t="shared" si="1"/>
        <v>15.846994535519126</v>
      </c>
      <c r="L75" s="152">
        <v>5.6118574142456055</v>
      </c>
    </row>
    <row r="76" spans="10:12" ht="13">
      <c r="J76" s="153">
        <v>59</v>
      </c>
      <c r="K76" s="154">
        <f t="shared" si="1"/>
        <v>16.120218579234972</v>
      </c>
      <c r="L76" s="152">
        <v>5.5928092002868652</v>
      </c>
    </row>
    <row r="77" spans="10:12" ht="13">
      <c r="J77" s="153">
        <v>60</v>
      </c>
      <c r="K77" s="154">
        <f t="shared" si="1"/>
        <v>16.393442622950818</v>
      </c>
      <c r="L77" s="152">
        <v>5.5773329734802246</v>
      </c>
    </row>
    <row r="78" spans="10:12" ht="13">
      <c r="J78" s="153">
        <v>61</v>
      </c>
      <c r="K78" s="154">
        <f t="shared" si="1"/>
        <v>16.666666666666664</v>
      </c>
      <c r="L78" s="152">
        <v>5.5519523620605469</v>
      </c>
    </row>
    <row r="79" spans="10:12" ht="13">
      <c r="J79" s="153">
        <v>62</v>
      </c>
      <c r="K79" s="154">
        <f t="shared" si="1"/>
        <v>16.939890710382514</v>
      </c>
      <c r="L79" s="152">
        <v>5.5337619781494141</v>
      </c>
    </row>
    <row r="80" spans="10:12" ht="13">
      <c r="J80" s="153">
        <v>63</v>
      </c>
      <c r="K80" s="154">
        <f t="shared" si="1"/>
        <v>17.21311475409836</v>
      </c>
      <c r="L80" s="152">
        <v>5.5109519958496094</v>
      </c>
    </row>
    <row r="81" spans="10:12" ht="13">
      <c r="J81" s="153">
        <v>64</v>
      </c>
      <c r="K81" s="154">
        <f t="shared" si="1"/>
        <v>17.486338797814209</v>
      </c>
      <c r="L81" s="152">
        <v>5.4885716438293457</v>
      </c>
    </row>
    <row r="82" spans="10:12" ht="13">
      <c r="J82" s="153">
        <v>65</v>
      </c>
      <c r="K82" s="154">
        <f t="shared" si="1"/>
        <v>17.759562841530055</v>
      </c>
      <c r="L82" s="152">
        <v>5.472571849822998</v>
      </c>
    </row>
    <row r="83" spans="10:12" ht="13">
      <c r="J83" s="153">
        <v>66</v>
      </c>
      <c r="K83" s="154">
        <f t="shared" si="1"/>
        <v>18.032786885245901</v>
      </c>
      <c r="L83" s="152">
        <v>5.4558572769165039</v>
      </c>
    </row>
    <row r="84" spans="10:12" ht="13">
      <c r="J84" s="153">
        <v>67</v>
      </c>
      <c r="K84" s="154">
        <f t="shared" ref="K84:K147" si="3">(J84/366)*100</f>
        <v>18.306010928961751</v>
      </c>
      <c r="L84" s="152">
        <v>5.4193329811096191</v>
      </c>
    </row>
    <row r="85" spans="10:12" ht="13">
      <c r="J85" s="153">
        <v>68</v>
      </c>
      <c r="K85" s="154">
        <f t="shared" si="3"/>
        <v>18.579234972677597</v>
      </c>
      <c r="L85" s="152">
        <v>5.4058094024658203</v>
      </c>
    </row>
    <row r="86" spans="10:12" ht="13">
      <c r="J86" s="153">
        <v>69</v>
      </c>
      <c r="K86" s="154">
        <f t="shared" si="3"/>
        <v>18.852459016393443</v>
      </c>
      <c r="L86" s="152">
        <v>5.3878092765808105</v>
      </c>
    </row>
    <row r="87" spans="10:12" ht="13">
      <c r="J87" s="153">
        <v>70</v>
      </c>
      <c r="K87" s="154">
        <f t="shared" si="3"/>
        <v>19.125683060109289</v>
      </c>
      <c r="L87" s="152">
        <v>5.3684759140014648</v>
      </c>
    </row>
    <row r="88" spans="10:12" ht="13">
      <c r="J88" s="153">
        <v>71</v>
      </c>
      <c r="K88" s="154">
        <f t="shared" si="3"/>
        <v>19.398907103825135</v>
      </c>
      <c r="L88" s="152">
        <v>5.3445234298706055</v>
      </c>
    </row>
    <row r="89" spans="10:12" ht="13">
      <c r="J89" s="153">
        <v>72</v>
      </c>
      <c r="K89" s="154">
        <f t="shared" si="3"/>
        <v>19.672131147540984</v>
      </c>
      <c r="L89" s="152">
        <v>5.3224287033081055</v>
      </c>
    </row>
    <row r="90" spans="10:12" ht="13">
      <c r="J90" s="153">
        <v>73</v>
      </c>
      <c r="K90" s="154">
        <f t="shared" si="3"/>
        <v>19.94535519125683</v>
      </c>
      <c r="L90" s="152">
        <v>5.3078098297119141</v>
      </c>
    </row>
    <row r="91" spans="10:12" ht="13">
      <c r="J91" s="153">
        <v>74</v>
      </c>
      <c r="K91" s="154">
        <f t="shared" si="3"/>
        <v>20.21857923497268</v>
      </c>
      <c r="L91" s="152">
        <v>5.2842373847961426</v>
      </c>
    </row>
    <row r="92" spans="10:12" ht="13">
      <c r="J92" s="153">
        <v>75</v>
      </c>
      <c r="K92" s="154">
        <f t="shared" si="3"/>
        <v>20.491803278688526</v>
      </c>
      <c r="L92" s="152">
        <v>5.2664756774902344</v>
      </c>
    </row>
    <row r="93" spans="10:12" ht="13">
      <c r="J93" s="153">
        <v>76</v>
      </c>
      <c r="K93" s="154">
        <f t="shared" si="3"/>
        <v>20.765027322404372</v>
      </c>
      <c r="L93" s="152">
        <v>5.2492380142211914</v>
      </c>
    </row>
    <row r="94" spans="10:12" ht="13">
      <c r="J94" s="153">
        <v>77</v>
      </c>
      <c r="K94" s="154">
        <f t="shared" si="3"/>
        <v>21.038251366120221</v>
      </c>
      <c r="L94" s="152">
        <v>5.2344284057617188</v>
      </c>
    </row>
    <row r="95" spans="10:12" ht="13">
      <c r="J95" s="153">
        <v>78</v>
      </c>
      <c r="K95" s="154">
        <f t="shared" si="3"/>
        <v>21.311475409836063</v>
      </c>
      <c r="L95" s="152">
        <v>5.2126665115356445</v>
      </c>
    </row>
    <row r="96" spans="10:12" ht="13">
      <c r="J96" s="153">
        <v>79</v>
      </c>
      <c r="K96" s="154">
        <f t="shared" si="3"/>
        <v>21.584699453551913</v>
      </c>
      <c r="L96" s="152">
        <v>5.1922383308410645</v>
      </c>
    </row>
    <row r="97" spans="10:12" ht="13">
      <c r="J97" s="153">
        <v>80</v>
      </c>
      <c r="K97" s="154">
        <f t="shared" si="3"/>
        <v>21.857923497267759</v>
      </c>
      <c r="L97" s="152">
        <v>5.1718578338623047</v>
      </c>
    </row>
    <row r="98" spans="10:12" ht="13">
      <c r="J98" s="153">
        <v>81</v>
      </c>
      <c r="K98" s="154">
        <f t="shared" si="3"/>
        <v>22.131147540983605</v>
      </c>
      <c r="L98" s="152">
        <v>5.154761791229248</v>
      </c>
    </row>
    <row r="99" spans="10:12" ht="13">
      <c r="J99" s="153">
        <v>82</v>
      </c>
      <c r="K99" s="154">
        <f t="shared" si="3"/>
        <v>22.404371584699454</v>
      </c>
      <c r="L99" s="152">
        <v>5.1378097534179688</v>
      </c>
    </row>
    <row r="100" spans="10:12" ht="13">
      <c r="J100" s="153">
        <v>83</v>
      </c>
      <c r="K100" s="154">
        <f t="shared" si="3"/>
        <v>22.6775956284153</v>
      </c>
      <c r="L100" s="152">
        <v>5.1183815002441406</v>
      </c>
    </row>
    <row r="101" spans="10:12" ht="13">
      <c r="J101" s="153">
        <v>84</v>
      </c>
      <c r="K101" s="154">
        <f t="shared" si="3"/>
        <v>22.950819672131146</v>
      </c>
      <c r="L101" s="152">
        <v>5.1039519309997559</v>
      </c>
    </row>
    <row r="102" spans="10:12" ht="13">
      <c r="J102" s="153">
        <v>85</v>
      </c>
      <c r="K102" s="154">
        <f t="shared" si="3"/>
        <v>23.224043715846996</v>
      </c>
      <c r="L102" s="152">
        <v>5.0906186103820801</v>
      </c>
    </row>
    <row r="103" spans="10:12" ht="13">
      <c r="J103" s="153">
        <v>86</v>
      </c>
      <c r="K103" s="154">
        <f t="shared" si="3"/>
        <v>23.497267759562842</v>
      </c>
      <c r="L103" s="152">
        <v>5.0727615356445313</v>
      </c>
    </row>
    <row r="104" spans="10:12" ht="13">
      <c r="J104" s="153">
        <v>87</v>
      </c>
      <c r="K104" s="154">
        <f t="shared" si="3"/>
        <v>23.770491803278688</v>
      </c>
      <c r="L104" s="152">
        <v>5.0553808212280273</v>
      </c>
    </row>
    <row r="105" spans="10:12" ht="13">
      <c r="J105" s="153">
        <v>88</v>
      </c>
      <c r="K105" s="154">
        <f t="shared" si="3"/>
        <v>24.043715846994534</v>
      </c>
      <c r="L105" s="152">
        <v>5.0348577499389648</v>
      </c>
    </row>
    <row r="106" spans="10:12" ht="13">
      <c r="J106" s="153">
        <v>89</v>
      </c>
      <c r="K106" s="154">
        <f t="shared" si="3"/>
        <v>24.316939890710383</v>
      </c>
      <c r="L106" s="152">
        <v>5.0153336524963379</v>
      </c>
    </row>
    <row r="107" spans="10:12" ht="13">
      <c r="J107" s="153">
        <v>90</v>
      </c>
      <c r="K107" s="154">
        <f t="shared" si="3"/>
        <v>24.590163934426229</v>
      </c>
      <c r="L107" s="152">
        <v>4.9969520568847656</v>
      </c>
    </row>
    <row r="108" spans="10:12" ht="13">
      <c r="J108" s="153">
        <v>91</v>
      </c>
      <c r="K108" s="154">
        <f t="shared" si="3"/>
        <v>24.863387978142075</v>
      </c>
      <c r="L108" s="152">
        <v>4.9786186218261719</v>
      </c>
    </row>
    <row r="109" spans="10:12" ht="13">
      <c r="J109" s="153">
        <v>92</v>
      </c>
      <c r="K109" s="154">
        <f t="shared" si="3"/>
        <v>25.136612021857925</v>
      </c>
      <c r="L109" s="152">
        <v>4.9531903266906738</v>
      </c>
    </row>
    <row r="110" spans="10:12" ht="13">
      <c r="J110" s="153">
        <v>93</v>
      </c>
      <c r="K110" s="154">
        <f t="shared" si="3"/>
        <v>25.409836065573771</v>
      </c>
      <c r="L110" s="152">
        <v>4.937809944152832</v>
      </c>
    </row>
    <row r="111" spans="10:12" ht="13">
      <c r="J111" s="153">
        <v>94</v>
      </c>
      <c r="K111" s="154">
        <f t="shared" si="3"/>
        <v>25.683060109289617</v>
      </c>
      <c r="L111" s="152">
        <v>4.9191904067993164</v>
      </c>
    </row>
    <row r="112" spans="10:12" ht="13">
      <c r="J112" s="153">
        <v>95</v>
      </c>
      <c r="K112" s="154">
        <f t="shared" si="3"/>
        <v>25.956284153005466</v>
      </c>
      <c r="L112" s="152">
        <v>4.9110474586486816</v>
      </c>
    </row>
    <row r="113" spans="10:12" ht="13">
      <c r="J113" s="153">
        <v>96</v>
      </c>
      <c r="K113" s="154">
        <f t="shared" si="3"/>
        <v>26.229508196721312</v>
      </c>
      <c r="L113" s="152">
        <v>4.8961429595947266</v>
      </c>
    </row>
    <row r="114" spans="10:12" ht="13">
      <c r="J114" s="153">
        <v>97</v>
      </c>
      <c r="K114" s="154">
        <f t="shared" si="3"/>
        <v>26.502732240437162</v>
      </c>
      <c r="L114" s="152">
        <v>4.8791909217834473</v>
      </c>
    </row>
    <row r="115" spans="10:12" ht="13">
      <c r="J115" s="153">
        <v>98</v>
      </c>
      <c r="K115" s="154">
        <f t="shared" si="3"/>
        <v>26.775956284153008</v>
      </c>
      <c r="L115" s="152">
        <v>4.8640003204345703</v>
      </c>
    </row>
    <row r="116" spans="10:12" ht="13">
      <c r="J116" s="153">
        <v>99</v>
      </c>
      <c r="K116" s="154">
        <f t="shared" si="3"/>
        <v>27.049180327868854</v>
      </c>
      <c r="L116" s="152">
        <v>4.8492379188537598</v>
      </c>
    </row>
    <row r="117" spans="10:12" ht="13">
      <c r="J117" s="153">
        <v>100</v>
      </c>
      <c r="K117" s="154">
        <f t="shared" si="3"/>
        <v>27.322404371584703</v>
      </c>
      <c r="L117" s="152">
        <v>4.8277149200439453</v>
      </c>
    </row>
    <row r="118" spans="10:12" ht="13">
      <c r="J118" s="153">
        <v>101</v>
      </c>
      <c r="K118" s="154">
        <f t="shared" si="3"/>
        <v>27.595628415300546</v>
      </c>
      <c r="L118" s="152">
        <v>4.8154287338256836</v>
      </c>
    </row>
    <row r="119" spans="10:12" ht="13">
      <c r="J119" s="153">
        <v>102</v>
      </c>
      <c r="K119" s="154">
        <f t="shared" si="3"/>
        <v>27.868852459016392</v>
      </c>
      <c r="L119" s="152">
        <v>4.8011431694030762</v>
      </c>
    </row>
    <row r="120" spans="10:12" ht="13">
      <c r="J120" s="153">
        <v>103</v>
      </c>
      <c r="K120" s="154">
        <f t="shared" si="3"/>
        <v>28.142076502732237</v>
      </c>
      <c r="L120" s="152">
        <v>4.7851905822753906</v>
      </c>
    </row>
    <row r="121" spans="10:12" ht="13">
      <c r="J121" s="153">
        <v>104</v>
      </c>
      <c r="K121" s="154">
        <f t="shared" si="3"/>
        <v>28.415300546448087</v>
      </c>
      <c r="L121" s="152">
        <v>4.7708096504211426</v>
      </c>
    </row>
    <row r="122" spans="10:12" ht="13">
      <c r="J122" s="153">
        <v>105</v>
      </c>
      <c r="K122" s="154">
        <f t="shared" si="3"/>
        <v>28.688524590163933</v>
      </c>
      <c r="L122" s="152">
        <v>4.7565708160400391</v>
      </c>
    </row>
    <row r="123" spans="10:12" ht="13">
      <c r="J123" s="153">
        <v>106</v>
      </c>
      <c r="K123" s="154">
        <f t="shared" si="3"/>
        <v>28.961748633879779</v>
      </c>
      <c r="L123" s="152">
        <v>4.744999885559082</v>
      </c>
    </row>
    <row r="124" spans="10:12" ht="13">
      <c r="J124" s="153">
        <v>107</v>
      </c>
      <c r="K124" s="154">
        <f t="shared" si="3"/>
        <v>29.234972677595628</v>
      </c>
      <c r="L124" s="152">
        <v>4.7268095016479492</v>
      </c>
    </row>
    <row r="125" spans="10:12" ht="13">
      <c r="J125" s="153">
        <v>108</v>
      </c>
      <c r="K125" s="154">
        <f t="shared" si="3"/>
        <v>29.508196721311474</v>
      </c>
      <c r="L125" s="152">
        <v>4.7151904106140137</v>
      </c>
    </row>
    <row r="126" spans="10:12" ht="13">
      <c r="J126" s="153">
        <v>109</v>
      </c>
      <c r="K126" s="154">
        <f t="shared" si="3"/>
        <v>29.78142076502732</v>
      </c>
      <c r="L126" s="152">
        <v>4.7010951042175293</v>
      </c>
    </row>
    <row r="127" spans="10:12" ht="13">
      <c r="J127" s="153">
        <v>110</v>
      </c>
      <c r="K127" s="154">
        <f t="shared" si="3"/>
        <v>30.05464480874317</v>
      </c>
      <c r="L127" s="152">
        <v>4.6821908950805664</v>
      </c>
    </row>
    <row r="128" spans="10:12" ht="13">
      <c r="J128" s="153">
        <v>111</v>
      </c>
      <c r="K128" s="154">
        <f t="shared" si="3"/>
        <v>30.327868852459016</v>
      </c>
      <c r="L128" s="152">
        <v>4.6586661338806152</v>
      </c>
    </row>
    <row r="129" spans="10:12" ht="13">
      <c r="J129" s="153">
        <v>112</v>
      </c>
      <c r="K129" s="154">
        <f t="shared" si="3"/>
        <v>30.601092896174865</v>
      </c>
      <c r="L129" s="152">
        <v>4.6423816680908203</v>
      </c>
    </row>
    <row r="130" spans="10:12" ht="13">
      <c r="J130" s="153">
        <v>113</v>
      </c>
      <c r="K130" s="154">
        <f t="shared" si="3"/>
        <v>30.874316939890711</v>
      </c>
      <c r="L130" s="152">
        <v>4.6173806190490723</v>
      </c>
    </row>
    <row r="131" spans="10:12" ht="13">
      <c r="J131" s="153">
        <v>114</v>
      </c>
      <c r="K131" s="154">
        <f t="shared" si="3"/>
        <v>31.147540983606557</v>
      </c>
      <c r="L131" s="152">
        <v>4.5982379913330078</v>
      </c>
    </row>
    <row r="132" spans="10:12" ht="13">
      <c r="J132" s="153">
        <v>115</v>
      </c>
      <c r="K132" s="154">
        <f t="shared" si="3"/>
        <v>31.420765027322407</v>
      </c>
      <c r="L132" s="152">
        <v>4.5831427574157715</v>
      </c>
    </row>
    <row r="133" spans="10:12" ht="13">
      <c r="J133" s="153">
        <v>116</v>
      </c>
      <c r="K133" s="154">
        <f t="shared" si="3"/>
        <v>31.693989071038253</v>
      </c>
      <c r="L133" s="152">
        <v>4.5635719299316406</v>
      </c>
    </row>
    <row r="134" spans="10:12" ht="13">
      <c r="J134" s="153">
        <v>117</v>
      </c>
      <c r="K134" s="154">
        <f t="shared" si="3"/>
        <v>31.967213114754102</v>
      </c>
      <c r="L134" s="152">
        <v>4.5480480194091797</v>
      </c>
    </row>
    <row r="135" spans="10:12" ht="13">
      <c r="J135" s="153">
        <v>118</v>
      </c>
      <c r="K135" s="154">
        <f t="shared" si="3"/>
        <v>32.240437158469945</v>
      </c>
      <c r="L135" s="152">
        <v>4.533808708190918</v>
      </c>
    </row>
    <row r="136" spans="10:12" ht="13">
      <c r="J136" s="153">
        <v>119</v>
      </c>
      <c r="K136" s="154">
        <f t="shared" si="3"/>
        <v>32.513661202185787</v>
      </c>
      <c r="L136" s="152">
        <v>4.5233807563781738</v>
      </c>
    </row>
    <row r="137" spans="10:12" ht="13">
      <c r="J137" s="153">
        <v>120</v>
      </c>
      <c r="K137" s="154">
        <f t="shared" si="3"/>
        <v>32.786885245901637</v>
      </c>
      <c r="L137" s="152">
        <v>4.4992380142211914</v>
      </c>
    </row>
    <row r="138" spans="10:12" ht="13">
      <c r="J138" s="153">
        <v>121</v>
      </c>
      <c r="K138" s="154">
        <f t="shared" si="3"/>
        <v>33.060109289617486</v>
      </c>
      <c r="L138" s="152">
        <v>4.4862375259399414</v>
      </c>
    </row>
    <row r="139" spans="10:12" ht="13">
      <c r="J139" s="153">
        <v>122</v>
      </c>
      <c r="K139" s="154">
        <f t="shared" si="3"/>
        <v>33.333333333333329</v>
      </c>
      <c r="L139" s="152">
        <v>4.4653811454772949</v>
      </c>
    </row>
    <row r="140" spans="10:12" ht="13">
      <c r="J140" s="153">
        <v>123</v>
      </c>
      <c r="K140" s="154">
        <f t="shared" si="3"/>
        <v>33.606557377049178</v>
      </c>
      <c r="L140" s="152">
        <v>4.4453330039978027</v>
      </c>
    </row>
    <row r="141" spans="10:12" ht="13">
      <c r="J141" s="153">
        <v>124</v>
      </c>
      <c r="K141" s="154">
        <f t="shared" si="3"/>
        <v>33.879781420765028</v>
      </c>
      <c r="L141" s="152">
        <v>4.4330945014953613</v>
      </c>
    </row>
    <row r="142" spans="10:12" ht="13">
      <c r="J142" s="153">
        <v>125</v>
      </c>
      <c r="K142" s="154">
        <f t="shared" si="3"/>
        <v>34.15300546448087</v>
      </c>
      <c r="L142" s="152">
        <v>4.4194760322570801</v>
      </c>
    </row>
    <row r="143" spans="10:12" ht="13">
      <c r="J143" s="153">
        <v>126</v>
      </c>
      <c r="K143" s="154">
        <f t="shared" si="3"/>
        <v>34.42622950819672</v>
      </c>
      <c r="L143" s="152">
        <v>4.4017143249511719</v>
      </c>
    </row>
    <row r="144" spans="10:12" ht="13">
      <c r="J144" s="153">
        <v>127</v>
      </c>
      <c r="K144" s="154">
        <f t="shared" si="3"/>
        <v>34.699453551912569</v>
      </c>
      <c r="L144" s="152">
        <v>4.3811426162719727</v>
      </c>
    </row>
    <row r="145" spans="10:12" ht="13">
      <c r="J145" s="153">
        <v>128</v>
      </c>
      <c r="K145" s="154">
        <f t="shared" si="3"/>
        <v>34.972677595628419</v>
      </c>
      <c r="L145" s="152">
        <v>4.3644285202026367</v>
      </c>
    </row>
    <row r="146" spans="10:12" ht="13">
      <c r="J146" s="153">
        <v>129</v>
      </c>
      <c r="K146" s="154">
        <f t="shared" si="3"/>
        <v>35.245901639344261</v>
      </c>
      <c r="L146" s="152">
        <v>4.3495707511901855</v>
      </c>
    </row>
    <row r="147" spans="10:12" ht="13">
      <c r="J147" s="153">
        <v>130</v>
      </c>
      <c r="K147" s="154">
        <f t="shared" si="3"/>
        <v>35.519125683060111</v>
      </c>
      <c r="L147" s="152">
        <v>4.3361425399780273</v>
      </c>
    </row>
    <row r="148" spans="10:12" ht="13">
      <c r="J148" s="153">
        <v>131</v>
      </c>
      <c r="K148" s="154">
        <f t="shared" ref="K148:K211" si="4">(J148/366)*100</f>
        <v>35.79234972677596</v>
      </c>
      <c r="L148" s="152">
        <v>4.3223810195922852</v>
      </c>
    </row>
    <row r="149" spans="10:12" ht="13">
      <c r="J149" s="153">
        <v>132</v>
      </c>
      <c r="K149" s="154">
        <f t="shared" si="4"/>
        <v>36.065573770491802</v>
      </c>
      <c r="L149" s="152">
        <v>4.3071908950805664</v>
      </c>
    </row>
    <row r="150" spans="10:12" ht="13">
      <c r="J150" s="153">
        <v>133</v>
      </c>
      <c r="K150" s="154">
        <f t="shared" si="4"/>
        <v>36.338797814207652</v>
      </c>
      <c r="L150" s="152">
        <v>4.2875237464904785</v>
      </c>
    </row>
    <row r="151" spans="10:12" ht="13">
      <c r="J151" s="153">
        <v>134</v>
      </c>
      <c r="K151" s="154">
        <f t="shared" si="4"/>
        <v>36.612021857923501</v>
      </c>
      <c r="L151" s="152">
        <v>4.2671427726745605</v>
      </c>
    </row>
    <row r="152" spans="10:12" ht="13">
      <c r="J152" s="153">
        <v>135</v>
      </c>
      <c r="K152" s="154">
        <f t="shared" si="4"/>
        <v>36.885245901639344</v>
      </c>
      <c r="L152" s="152">
        <v>4.2460947036743164</v>
      </c>
    </row>
    <row r="153" spans="10:12" ht="13">
      <c r="J153" s="153">
        <v>136</v>
      </c>
      <c r="K153" s="154">
        <f t="shared" si="4"/>
        <v>37.158469945355193</v>
      </c>
      <c r="L153" s="152">
        <v>4.2279047966003418</v>
      </c>
    </row>
    <row r="154" spans="10:12" ht="13">
      <c r="J154" s="153">
        <v>137</v>
      </c>
      <c r="K154" s="154">
        <f t="shared" si="4"/>
        <v>37.431693989071043</v>
      </c>
      <c r="L154" s="152">
        <v>4.204524040222168</v>
      </c>
    </row>
    <row r="155" spans="10:12" ht="13">
      <c r="J155" s="153">
        <v>138</v>
      </c>
      <c r="K155" s="154">
        <f t="shared" si="4"/>
        <v>37.704918032786885</v>
      </c>
      <c r="L155" s="152">
        <v>4.1894283294677734</v>
      </c>
    </row>
    <row r="156" spans="10:12" ht="13">
      <c r="J156" s="153">
        <v>139</v>
      </c>
      <c r="K156" s="154">
        <f t="shared" si="4"/>
        <v>37.978142076502728</v>
      </c>
      <c r="L156" s="152">
        <v>4.1694283485412598</v>
      </c>
    </row>
    <row r="157" spans="10:12" ht="13">
      <c r="J157" s="153">
        <v>140</v>
      </c>
      <c r="K157" s="154">
        <f t="shared" si="4"/>
        <v>38.251366120218577</v>
      </c>
      <c r="L157" s="152">
        <v>4.1529045104980469</v>
      </c>
    </row>
    <row r="158" spans="10:12" ht="13">
      <c r="J158" s="153">
        <v>141</v>
      </c>
      <c r="K158" s="154">
        <f t="shared" si="4"/>
        <v>38.524590163934427</v>
      </c>
      <c r="L158" s="152">
        <v>4.1413335800170898</v>
      </c>
    </row>
    <row r="159" spans="10:12" ht="13">
      <c r="J159" s="153">
        <v>142</v>
      </c>
      <c r="K159" s="154">
        <f t="shared" si="4"/>
        <v>38.797814207650269</v>
      </c>
      <c r="L159" s="152">
        <v>4.1225714683532715</v>
      </c>
    </row>
    <row r="160" spans="10:12" ht="13">
      <c r="J160" s="153">
        <v>143</v>
      </c>
      <c r="K160" s="154">
        <f t="shared" si="4"/>
        <v>39.071038251366119</v>
      </c>
      <c r="L160" s="152">
        <v>4.1066665649414063</v>
      </c>
    </row>
    <row r="161" spans="10:12" ht="13">
      <c r="J161" s="153">
        <v>144</v>
      </c>
      <c r="K161" s="154">
        <f t="shared" si="4"/>
        <v>39.344262295081968</v>
      </c>
      <c r="L161" s="152">
        <v>4.0892858505249023</v>
      </c>
    </row>
    <row r="162" spans="10:12" ht="13">
      <c r="J162" s="153">
        <v>145</v>
      </c>
      <c r="K162" s="154">
        <f t="shared" si="4"/>
        <v>39.617486338797811</v>
      </c>
      <c r="L162" s="152">
        <v>4.0730476379394531</v>
      </c>
    </row>
    <row r="163" spans="10:12" ht="13">
      <c r="J163" s="153">
        <v>146</v>
      </c>
      <c r="K163" s="154">
        <f t="shared" si="4"/>
        <v>39.89071038251366</v>
      </c>
      <c r="L163" s="152">
        <v>4.0545716285705566</v>
      </c>
    </row>
    <row r="164" spans="10:12" ht="13">
      <c r="J164" s="153">
        <v>147</v>
      </c>
      <c r="K164" s="154">
        <f t="shared" si="4"/>
        <v>40.16393442622951</v>
      </c>
      <c r="L164" s="152">
        <v>4.0338096618652344</v>
      </c>
    </row>
    <row r="165" spans="10:12" ht="13">
      <c r="J165" s="153">
        <v>148</v>
      </c>
      <c r="K165" s="154">
        <f t="shared" si="4"/>
        <v>40.437158469945359</v>
      </c>
      <c r="L165" s="152">
        <v>4.0134286880493164</v>
      </c>
    </row>
    <row r="166" spans="10:12" ht="13">
      <c r="J166" s="153">
        <v>149</v>
      </c>
      <c r="K166" s="154">
        <f t="shared" si="4"/>
        <v>40.710382513661202</v>
      </c>
      <c r="L166" s="152">
        <v>3.9999520778656006</v>
      </c>
    </row>
    <row r="167" spans="10:12" ht="13">
      <c r="J167" s="153">
        <v>150</v>
      </c>
      <c r="K167" s="154">
        <f t="shared" si="4"/>
        <v>40.983606557377051</v>
      </c>
      <c r="L167" s="152">
        <v>3.9882383346557617</v>
      </c>
    </row>
    <row r="168" spans="10:12" ht="13">
      <c r="J168" s="153">
        <v>151</v>
      </c>
      <c r="K168" s="154">
        <f t="shared" si="4"/>
        <v>41.256830601092901</v>
      </c>
      <c r="L168" s="152">
        <v>3.9719045162200928</v>
      </c>
    </row>
    <row r="169" spans="10:12" ht="13">
      <c r="J169" s="153">
        <v>152</v>
      </c>
      <c r="K169" s="154">
        <f t="shared" si="4"/>
        <v>41.530054644808743</v>
      </c>
      <c r="L169" s="152">
        <v>3.9507145881652832</v>
      </c>
    </row>
    <row r="170" spans="10:12" ht="13">
      <c r="J170" s="153">
        <v>153</v>
      </c>
      <c r="K170" s="154">
        <f t="shared" si="4"/>
        <v>41.803278688524593</v>
      </c>
      <c r="L170" s="152">
        <v>3.9323329925537109</v>
      </c>
    </row>
    <row r="171" spans="10:12" ht="13">
      <c r="J171" s="153">
        <v>154</v>
      </c>
      <c r="K171" s="154">
        <f t="shared" si="4"/>
        <v>42.076502732240442</v>
      </c>
      <c r="L171" s="152">
        <v>3.921952486038208</v>
      </c>
    </row>
    <row r="172" spans="10:12" ht="13">
      <c r="J172" s="153">
        <v>155</v>
      </c>
      <c r="K172" s="154">
        <f t="shared" si="4"/>
        <v>42.349726775956285</v>
      </c>
      <c r="L172" s="152">
        <v>3.8990950584411621</v>
      </c>
    </row>
    <row r="173" spans="10:12" ht="13">
      <c r="J173" s="153">
        <v>156</v>
      </c>
      <c r="K173" s="154">
        <f t="shared" si="4"/>
        <v>42.622950819672127</v>
      </c>
      <c r="L173" s="152">
        <v>3.8776195049285889</v>
      </c>
    </row>
    <row r="174" spans="10:12" ht="13">
      <c r="J174" s="153">
        <v>157</v>
      </c>
      <c r="K174" s="154">
        <f t="shared" si="4"/>
        <v>42.896174863387976</v>
      </c>
      <c r="L174" s="152">
        <v>3.8619518280029297</v>
      </c>
    </row>
    <row r="175" spans="10:12" ht="13">
      <c r="J175" s="153">
        <v>158</v>
      </c>
      <c r="K175" s="154">
        <f t="shared" si="4"/>
        <v>43.169398907103826</v>
      </c>
      <c r="L175" s="152">
        <v>3.8400948047637939</v>
      </c>
    </row>
    <row r="176" spans="10:12" ht="13">
      <c r="J176" s="153">
        <v>159</v>
      </c>
      <c r="K176" s="154">
        <f t="shared" si="4"/>
        <v>43.442622950819668</v>
      </c>
      <c r="L176" s="152">
        <v>3.8283336162567139</v>
      </c>
    </row>
    <row r="177" spans="10:12" ht="13">
      <c r="J177" s="153">
        <v>160</v>
      </c>
      <c r="K177" s="154">
        <f t="shared" si="4"/>
        <v>43.715846994535518</v>
      </c>
      <c r="L177" s="152">
        <v>3.8108575344085693</v>
      </c>
    </row>
    <row r="178" spans="10:12" ht="13">
      <c r="J178" s="153">
        <v>161</v>
      </c>
      <c r="K178" s="154">
        <f t="shared" si="4"/>
        <v>43.989071038251367</v>
      </c>
      <c r="L178" s="152">
        <v>3.7910480499267578</v>
      </c>
    </row>
    <row r="179" spans="10:12" ht="13">
      <c r="J179" s="153">
        <v>162</v>
      </c>
      <c r="K179" s="154">
        <f t="shared" si="4"/>
        <v>44.26229508196721</v>
      </c>
      <c r="L179" s="152">
        <v>3.7709052562713623</v>
      </c>
    </row>
    <row r="180" spans="10:12" ht="13">
      <c r="J180" s="153">
        <v>163</v>
      </c>
      <c r="K180" s="154">
        <f t="shared" si="4"/>
        <v>44.535519125683059</v>
      </c>
      <c r="L180" s="152">
        <v>3.7529048919677734</v>
      </c>
    </row>
    <row r="181" spans="10:12" ht="13">
      <c r="J181" s="153">
        <v>164</v>
      </c>
      <c r="K181" s="154">
        <f t="shared" si="4"/>
        <v>44.808743169398909</v>
      </c>
      <c r="L181" s="152">
        <v>3.7397143840789795</v>
      </c>
    </row>
    <row r="182" spans="10:12" ht="13">
      <c r="J182" s="153">
        <v>165</v>
      </c>
      <c r="K182" s="154">
        <f t="shared" si="4"/>
        <v>45.081967213114751</v>
      </c>
      <c r="L182" s="152">
        <v>3.7237141132354736</v>
      </c>
    </row>
    <row r="183" spans="10:12" ht="13">
      <c r="J183" s="153">
        <v>166</v>
      </c>
      <c r="K183" s="154">
        <f t="shared" si="4"/>
        <v>45.355191256830601</v>
      </c>
      <c r="L183" s="152">
        <v>3.7022857666015625</v>
      </c>
    </row>
    <row r="184" spans="10:12" ht="13">
      <c r="J184" s="153">
        <v>167</v>
      </c>
      <c r="K184" s="154">
        <f t="shared" si="4"/>
        <v>45.62841530054645</v>
      </c>
      <c r="L184" s="152">
        <v>3.6833336353302002</v>
      </c>
    </row>
    <row r="185" spans="10:12" ht="13">
      <c r="J185" s="153">
        <v>168</v>
      </c>
      <c r="K185" s="154">
        <f t="shared" si="4"/>
        <v>45.901639344262293</v>
      </c>
      <c r="L185" s="152">
        <v>3.6630470752716064</v>
      </c>
    </row>
    <row r="186" spans="10:12" ht="13">
      <c r="J186" s="153">
        <v>169</v>
      </c>
      <c r="K186" s="154">
        <f t="shared" si="4"/>
        <v>46.174863387978142</v>
      </c>
      <c r="L186" s="152">
        <v>3.6466667652130127</v>
      </c>
    </row>
    <row r="187" spans="10:12" ht="13">
      <c r="J187" s="153">
        <v>170</v>
      </c>
      <c r="K187" s="154">
        <f t="shared" si="4"/>
        <v>46.448087431693992</v>
      </c>
      <c r="L187" s="152">
        <v>3.6240947246551514</v>
      </c>
    </row>
    <row r="188" spans="10:12" ht="13">
      <c r="J188" s="153">
        <v>171</v>
      </c>
      <c r="K188" s="154">
        <f t="shared" si="4"/>
        <v>46.721311475409841</v>
      </c>
      <c r="L188" s="152">
        <v>3.6057615280151367</v>
      </c>
    </row>
    <row r="189" spans="10:12" ht="13">
      <c r="J189" s="153">
        <v>172</v>
      </c>
      <c r="K189" s="154">
        <f t="shared" si="4"/>
        <v>46.994535519125684</v>
      </c>
      <c r="L189" s="152">
        <v>3.5850481986999512</v>
      </c>
    </row>
    <row r="190" spans="10:12" ht="13">
      <c r="J190" s="153">
        <v>173</v>
      </c>
      <c r="K190" s="154">
        <f t="shared" si="4"/>
        <v>47.267759562841533</v>
      </c>
      <c r="L190" s="152">
        <v>3.5643811225891113</v>
      </c>
    </row>
    <row r="191" spans="10:12" ht="13">
      <c r="J191" s="153">
        <v>174</v>
      </c>
      <c r="K191" s="154">
        <f t="shared" si="4"/>
        <v>47.540983606557376</v>
      </c>
      <c r="L191" s="152">
        <v>3.5422377586364746</v>
      </c>
    </row>
    <row r="192" spans="10:12" ht="13">
      <c r="J192" s="153">
        <v>175</v>
      </c>
      <c r="K192" s="154">
        <f t="shared" si="4"/>
        <v>47.814207650273218</v>
      </c>
      <c r="L192" s="152">
        <v>3.5193333625793457</v>
      </c>
    </row>
    <row r="193" spans="10:12" ht="13">
      <c r="J193" s="153">
        <v>176</v>
      </c>
      <c r="K193" s="154">
        <f t="shared" si="4"/>
        <v>48.087431693989068</v>
      </c>
      <c r="L193" s="152">
        <v>3.490333080291748</v>
      </c>
    </row>
    <row r="194" spans="10:12" ht="13">
      <c r="J194" s="153">
        <v>177</v>
      </c>
      <c r="K194" s="154">
        <f t="shared" si="4"/>
        <v>48.360655737704917</v>
      </c>
      <c r="L194" s="152">
        <v>3.4699525833129883</v>
      </c>
    </row>
    <row r="195" spans="10:12" ht="13">
      <c r="J195" s="153">
        <v>178</v>
      </c>
      <c r="K195" s="154">
        <f t="shared" si="4"/>
        <v>48.633879781420767</v>
      </c>
      <c r="L195" s="152">
        <v>3.4481902122497559</v>
      </c>
    </row>
    <row r="196" spans="10:12" ht="13">
      <c r="J196" s="153">
        <v>179</v>
      </c>
      <c r="K196" s="154">
        <f t="shared" si="4"/>
        <v>48.907103825136609</v>
      </c>
      <c r="L196" s="152">
        <v>3.4287142753601074</v>
      </c>
    </row>
    <row r="197" spans="10:12" ht="13">
      <c r="J197" s="153">
        <v>180</v>
      </c>
      <c r="K197" s="154">
        <f t="shared" si="4"/>
        <v>49.180327868852459</v>
      </c>
      <c r="L197" s="152">
        <v>3.4038572311401367</v>
      </c>
    </row>
    <row r="198" spans="10:12" ht="13">
      <c r="J198" s="153">
        <v>181</v>
      </c>
      <c r="K198" s="154">
        <f t="shared" si="4"/>
        <v>49.453551912568308</v>
      </c>
      <c r="L198" s="152">
        <v>3.3663814067840576</v>
      </c>
    </row>
    <row r="199" spans="10:12" ht="13">
      <c r="J199" s="153">
        <v>182</v>
      </c>
      <c r="K199" s="154">
        <f t="shared" si="4"/>
        <v>49.72677595628415</v>
      </c>
      <c r="L199" s="152">
        <v>3.3396191596984863</v>
      </c>
    </row>
    <row r="200" spans="10:12" ht="13">
      <c r="J200" s="153">
        <v>183</v>
      </c>
      <c r="K200" s="154">
        <f t="shared" si="4"/>
        <v>50</v>
      </c>
      <c r="L200" s="152">
        <v>3.3207619190216064</v>
      </c>
    </row>
    <row r="201" spans="10:12" ht="13">
      <c r="J201" s="153">
        <v>184</v>
      </c>
      <c r="K201" s="154">
        <f t="shared" si="4"/>
        <v>50.27322404371585</v>
      </c>
      <c r="L201" s="152">
        <v>3.2942860126495361</v>
      </c>
    </row>
    <row r="202" spans="10:12" ht="13">
      <c r="J202" s="153">
        <v>185</v>
      </c>
      <c r="K202" s="154">
        <f t="shared" si="4"/>
        <v>50.546448087431692</v>
      </c>
      <c r="L202" s="152">
        <v>3.2679042816162109</v>
      </c>
    </row>
    <row r="203" spans="10:12" ht="13">
      <c r="J203" s="153">
        <v>186</v>
      </c>
      <c r="K203" s="154">
        <f t="shared" si="4"/>
        <v>50.819672131147541</v>
      </c>
      <c r="L203" s="152">
        <v>3.2390475273132324</v>
      </c>
    </row>
    <row r="204" spans="10:12" ht="13">
      <c r="J204" s="153">
        <v>187</v>
      </c>
      <c r="K204" s="154">
        <f t="shared" si="4"/>
        <v>51.092896174863391</v>
      </c>
      <c r="L204" s="152">
        <v>3.2120952606201172</v>
      </c>
    </row>
    <row r="205" spans="10:12" ht="13">
      <c r="J205" s="153">
        <v>188</v>
      </c>
      <c r="K205" s="154">
        <f t="shared" si="4"/>
        <v>51.366120218579233</v>
      </c>
      <c r="L205" s="152">
        <v>3.1891429424285889</v>
      </c>
    </row>
    <row r="206" spans="10:12" ht="13">
      <c r="J206" s="153">
        <v>189</v>
      </c>
      <c r="K206" s="154">
        <f t="shared" si="4"/>
        <v>51.639344262295083</v>
      </c>
      <c r="L206" s="152">
        <v>3.1700952053070068</v>
      </c>
    </row>
    <row r="207" spans="10:12" ht="13">
      <c r="J207" s="153">
        <v>190</v>
      </c>
      <c r="K207" s="154">
        <f t="shared" si="4"/>
        <v>51.912568306010932</v>
      </c>
      <c r="L207" s="152">
        <v>3.1231904029846191</v>
      </c>
    </row>
    <row r="208" spans="10:12" ht="13">
      <c r="J208" s="153">
        <v>191</v>
      </c>
      <c r="K208" s="154">
        <f t="shared" si="4"/>
        <v>52.185792349726782</v>
      </c>
      <c r="L208" s="152">
        <v>3.0910954475402832</v>
      </c>
    </row>
    <row r="209" spans="10:12" ht="13">
      <c r="J209" s="153">
        <v>192</v>
      </c>
      <c r="K209" s="154">
        <f t="shared" si="4"/>
        <v>52.459016393442624</v>
      </c>
      <c r="L209" s="152">
        <v>3.0576663017272949</v>
      </c>
    </row>
    <row r="210" spans="10:12" ht="13">
      <c r="J210" s="153">
        <v>193</v>
      </c>
      <c r="K210" s="154">
        <f t="shared" si="4"/>
        <v>52.732240437158474</v>
      </c>
      <c r="L210" s="152">
        <v>3.0237622261047363</v>
      </c>
    </row>
    <row r="211" spans="10:12" ht="13">
      <c r="J211" s="153">
        <v>194</v>
      </c>
      <c r="K211" s="154">
        <f t="shared" si="4"/>
        <v>53.005464480874323</v>
      </c>
      <c r="L211" s="152">
        <v>2.9873332977294922</v>
      </c>
    </row>
    <row r="212" spans="10:12" ht="13">
      <c r="J212" s="153">
        <v>195</v>
      </c>
      <c r="K212" s="154">
        <f t="shared" ref="K212:K275" si="5">(J212/366)*100</f>
        <v>53.278688524590166</v>
      </c>
      <c r="L212" s="152">
        <v>2.9628095626831055</v>
      </c>
    </row>
    <row r="213" spans="10:12" ht="13">
      <c r="J213" s="153">
        <v>196</v>
      </c>
      <c r="K213" s="154">
        <f t="shared" si="5"/>
        <v>53.551912568306015</v>
      </c>
      <c r="L213" s="152">
        <v>2.9400951862335205</v>
      </c>
    </row>
    <row r="214" spans="10:12" ht="13">
      <c r="J214" s="153">
        <v>197</v>
      </c>
      <c r="K214" s="154">
        <f t="shared" si="5"/>
        <v>53.825136612021865</v>
      </c>
      <c r="L214" s="152">
        <v>2.9092381000518799</v>
      </c>
    </row>
    <row r="215" spans="10:12" ht="13">
      <c r="J215" s="153">
        <v>198</v>
      </c>
      <c r="K215" s="154">
        <f t="shared" si="5"/>
        <v>54.098360655737707</v>
      </c>
      <c r="L215" s="152">
        <v>2.8746190071105957</v>
      </c>
    </row>
    <row r="216" spans="10:12" ht="13">
      <c r="J216" s="153">
        <v>199</v>
      </c>
      <c r="K216" s="154">
        <f t="shared" si="5"/>
        <v>54.371584699453557</v>
      </c>
      <c r="L216" s="152">
        <v>2.8546664714813232</v>
      </c>
    </row>
    <row r="217" spans="10:12" ht="13">
      <c r="J217" s="153">
        <v>200</v>
      </c>
      <c r="K217" s="154">
        <f t="shared" si="5"/>
        <v>54.644808743169406</v>
      </c>
      <c r="L217" s="152">
        <v>2.8318572044372559</v>
      </c>
    </row>
    <row r="218" spans="10:12" ht="13">
      <c r="J218" s="153">
        <v>201</v>
      </c>
      <c r="K218" s="154">
        <f t="shared" si="5"/>
        <v>54.918032786885249</v>
      </c>
      <c r="L218" s="152">
        <v>2.8023808002471924</v>
      </c>
    </row>
    <row r="219" spans="10:12" ht="13">
      <c r="J219" s="153">
        <v>202</v>
      </c>
      <c r="K219" s="154">
        <f t="shared" si="5"/>
        <v>55.191256830601091</v>
      </c>
      <c r="L219" s="152">
        <v>2.7692379951477051</v>
      </c>
    </row>
    <row r="220" spans="10:12" ht="13">
      <c r="J220" s="153">
        <v>203</v>
      </c>
      <c r="K220" s="154">
        <f t="shared" si="5"/>
        <v>55.464480874316934</v>
      </c>
      <c r="L220" s="152">
        <v>2.7417616844177246</v>
      </c>
    </row>
    <row r="221" spans="10:12" ht="13">
      <c r="J221" s="153">
        <v>204</v>
      </c>
      <c r="K221" s="154">
        <f t="shared" si="5"/>
        <v>55.737704918032783</v>
      </c>
      <c r="L221" s="152">
        <v>2.7125236988067627</v>
      </c>
    </row>
    <row r="222" spans="10:12" ht="13">
      <c r="J222" s="153">
        <v>205</v>
      </c>
      <c r="K222" s="154">
        <f t="shared" si="5"/>
        <v>56.010928961748633</v>
      </c>
      <c r="L222" s="152">
        <v>2.677142858505249</v>
      </c>
    </row>
    <row r="223" spans="10:12" ht="13">
      <c r="J223" s="153">
        <v>206</v>
      </c>
      <c r="K223" s="154">
        <f t="shared" si="5"/>
        <v>56.284153005464475</v>
      </c>
      <c r="L223" s="152">
        <v>2.6372857093811035</v>
      </c>
    </row>
    <row r="224" spans="10:12" ht="13">
      <c r="J224" s="153">
        <v>207</v>
      </c>
      <c r="K224" s="154">
        <f t="shared" si="5"/>
        <v>56.557377049180324</v>
      </c>
      <c r="L224" s="152">
        <v>2.6096668243408203</v>
      </c>
    </row>
    <row r="225" spans="10:12" ht="13">
      <c r="J225" s="153">
        <v>208</v>
      </c>
      <c r="K225" s="154">
        <f t="shared" si="5"/>
        <v>56.830601092896174</v>
      </c>
      <c r="L225" s="152">
        <v>2.5656189918518066</v>
      </c>
    </row>
    <row r="226" spans="10:12" ht="13">
      <c r="J226" s="153">
        <v>209</v>
      </c>
      <c r="K226" s="154">
        <f t="shared" si="5"/>
        <v>57.103825136612016</v>
      </c>
      <c r="L226" s="152">
        <v>2.5141427516937256</v>
      </c>
    </row>
    <row r="227" spans="10:12" ht="13">
      <c r="J227" s="153">
        <v>210</v>
      </c>
      <c r="K227" s="154">
        <f t="shared" si="5"/>
        <v>57.377049180327866</v>
      </c>
      <c r="L227" s="152">
        <v>2.46923828125</v>
      </c>
    </row>
    <row r="228" spans="10:12" ht="13">
      <c r="J228" s="153">
        <v>211</v>
      </c>
      <c r="K228" s="154">
        <f t="shared" si="5"/>
        <v>57.650273224043715</v>
      </c>
      <c r="L228" s="152">
        <v>2.4238572120666504</v>
      </c>
    </row>
    <row r="229" spans="10:12" ht="13">
      <c r="J229" s="153">
        <v>212</v>
      </c>
      <c r="K229" s="154">
        <f t="shared" si="5"/>
        <v>57.923497267759558</v>
      </c>
      <c r="L229" s="152">
        <v>2.3419523239135742</v>
      </c>
    </row>
    <row r="230" spans="10:12" ht="13">
      <c r="J230" s="153">
        <v>213</v>
      </c>
      <c r="K230" s="154">
        <f t="shared" si="5"/>
        <v>58.196721311475407</v>
      </c>
      <c r="L230" s="152">
        <v>2.2866666316986084</v>
      </c>
    </row>
    <row r="231" spans="10:12" ht="13">
      <c r="J231" s="153">
        <v>214</v>
      </c>
      <c r="K231" s="154">
        <f t="shared" si="5"/>
        <v>58.469945355191257</v>
      </c>
      <c r="L231" s="152">
        <v>2.2451906204223633</v>
      </c>
    </row>
    <row r="232" spans="10:12" ht="13">
      <c r="J232" s="153">
        <v>215</v>
      </c>
      <c r="K232" s="154">
        <f t="shared" si="5"/>
        <v>58.743169398907099</v>
      </c>
      <c r="L232" s="152">
        <v>2.1884288787841797</v>
      </c>
    </row>
    <row r="233" spans="10:12" ht="13">
      <c r="J233" s="153">
        <v>216</v>
      </c>
      <c r="K233" s="154">
        <f t="shared" si="5"/>
        <v>59.016393442622949</v>
      </c>
      <c r="L233" s="152">
        <v>2.1408095359802246</v>
      </c>
    </row>
    <row r="234" spans="10:12" ht="13">
      <c r="J234" s="153">
        <v>217</v>
      </c>
      <c r="K234" s="154">
        <f t="shared" si="5"/>
        <v>59.289617486338798</v>
      </c>
      <c r="L234" s="152">
        <v>2.1036670207977295</v>
      </c>
    </row>
    <row r="235" spans="10:12" ht="13">
      <c r="J235" s="153">
        <v>218</v>
      </c>
      <c r="K235" s="154">
        <f t="shared" si="5"/>
        <v>59.562841530054641</v>
      </c>
      <c r="L235" s="152">
        <v>2.051619291305542</v>
      </c>
    </row>
    <row r="236" spans="10:12" ht="13">
      <c r="J236" s="153">
        <v>219</v>
      </c>
      <c r="K236" s="154">
        <f t="shared" si="5"/>
        <v>59.83606557377049</v>
      </c>
      <c r="L236" s="152">
        <v>2.0012855529785156</v>
      </c>
    </row>
    <row r="237" spans="10:12" ht="13">
      <c r="J237" s="153">
        <v>220</v>
      </c>
      <c r="K237" s="154">
        <f t="shared" si="5"/>
        <v>60.10928961748634</v>
      </c>
      <c r="L237" s="152">
        <v>1.9574762582778931</v>
      </c>
    </row>
    <row r="238" spans="10:12" ht="13">
      <c r="J238" s="153">
        <v>221</v>
      </c>
      <c r="K238" s="154">
        <f t="shared" si="5"/>
        <v>60.382513661202189</v>
      </c>
      <c r="L238" s="152">
        <v>1.929047703742981</v>
      </c>
    </row>
    <row r="239" spans="10:12" ht="13">
      <c r="J239" s="153">
        <v>222</v>
      </c>
      <c r="K239" s="154">
        <f t="shared" si="5"/>
        <v>60.655737704918032</v>
      </c>
      <c r="L239" s="152">
        <v>1.8896192312240601</v>
      </c>
    </row>
    <row r="240" spans="10:12" ht="13">
      <c r="J240" s="153">
        <v>223</v>
      </c>
      <c r="K240" s="154">
        <f t="shared" si="5"/>
        <v>60.928961748633881</v>
      </c>
      <c r="L240" s="152">
        <v>1.8523808717727661</v>
      </c>
    </row>
    <row r="241" spans="10:12" ht="13">
      <c r="J241" s="153">
        <v>224</v>
      </c>
      <c r="K241" s="154">
        <f t="shared" si="5"/>
        <v>61.202185792349731</v>
      </c>
      <c r="L241" s="152">
        <v>1.8167142868041992</v>
      </c>
    </row>
    <row r="242" spans="10:12" ht="13">
      <c r="J242" s="153">
        <v>225</v>
      </c>
      <c r="K242" s="154">
        <f t="shared" si="5"/>
        <v>61.475409836065573</v>
      </c>
      <c r="L242" s="152">
        <v>1.784761905670166</v>
      </c>
    </row>
    <row r="243" spans="10:12" ht="13">
      <c r="J243" s="153">
        <v>226</v>
      </c>
      <c r="K243" s="154">
        <f t="shared" si="5"/>
        <v>61.748633879781423</v>
      </c>
      <c r="L243" s="152">
        <v>1.7604761123657227</v>
      </c>
    </row>
    <row r="244" spans="10:12" ht="13">
      <c r="J244" s="153">
        <v>227</v>
      </c>
      <c r="K244" s="154">
        <f t="shared" si="5"/>
        <v>62.021857923497272</v>
      </c>
      <c r="L244" s="152">
        <v>1.7256666421890259</v>
      </c>
    </row>
    <row r="245" spans="10:12" ht="13">
      <c r="J245" s="153">
        <v>228</v>
      </c>
      <c r="K245" s="154">
        <f t="shared" si="5"/>
        <v>62.295081967213115</v>
      </c>
      <c r="L245" s="152">
        <v>1.6833332777023315</v>
      </c>
    </row>
    <row r="246" spans="10:12" ht="13">
      <c r="J246" s="153">
        <v>229</v>
      </c>
      <c r="K246" s="154">
        <f t="shared" si="5"/>
        <v>62.568306010928964</v>
      </c>
      <c r="L246" s="152">
        <v>1.6539522409439087</v>
      </c>
    </row>
    <row r="247" spans="10:12" ht="13">
      <c r="J247" s="153">
        <v>230</v>
      </c>
      <c r="K247" s="154">
        <f t="shared" si="5"/>
        <v>62.841530054644814</v>
      </c>
      <c r="L247" s="152">
        <v>1.6326190233230591</v>
      </c>
    </row>
    <row r="248" spans="10:12" ht="13">
      <c r="J248" s="153">
        <v>231</v>
      </c>
      <c r="K248" s="154">
        <f t="shared" si="5"/>
        <v>63.114754098360656</v>
      </c>
      <c r="L248" s="152">
        <v>1.6078096628189087</v>
      </c>
    </row>
    <row r="249" spans="10:12" ht="13">
      <c r="J249" s="153">
        <v>232</v>
      </c>
      <c r="K249" s="154">
        <f t="shared" si="5"/>
        <v>63.387978142076506</v>
      </c>
      <c r="L249" s="152">
        <v>1.567190408706665</v>
      </c>
    </row>
    <row r="250" spans="10:12" ht="13">
      <c r="J250" s="153">
        <v>233</v>
      </c>
      <c r="K250" s="154">
        <f t="shared" si="5"/>
        <v>63.661202185792355</v>
      </c>
      <c r="L250" s="152">
        <v>1.5393807888031006</v>
      </c>
    </row>
    <row r="251" spans="10:12" ht="13">
      <c r="J251" s="153">
        <v>234</v>
      </c>
      <c r="K251" s="154">
        <f t="shared" si="5"/>
        <v>63.934426229508205</v>
      </c>
      <c r="L251" s="152">
        <v>1.5152856111526489</v>
      </c>
    </row>
    <row r="252" spans="10:12" ht="13">
      <c r="J252" s="153">
        <v>235</v>
      </c>
      <c r="K252" s="154">
        <f t="shared" si="5"/>
        <v>64.207650273224047</v>
      </c>
      <c r="L252" s="152">
        <v>1.4814093112945557</v>
      </c>
    </row>
    <row r="253" spans="10:12" ht="13">
      <c r="J253" s="153">
        <v>236</v>
      </c>
      <c r="K253" s="154">
        <f t="shared" si="5"/>
        <v>64.480874316939889</v>
      </c>
      <c r="L253" s="152">
        <v>1.4518522024154663</v>
      </c>
    </row>
    <row r="254" spans="10:12" ht="13">
      <c r="J254" s="153">
        <v>237</v>
      </c>
      <c r="K254" s="154">
        <f t="shared" si="5"/>
        <v>64.754098360655746</v>
      </c>
      <c r="L254" s="152">
        <v>1.4206665754318237</v>
      </c>
    </row>
    <row r="255" spans="10:12" ht="13">
      <c r="J255" s="153">
        <v>238</v>
      </c>
      <c r="K255" s="154">
        <f t="shared" si="5"/>
        <v>65.027322404371574</v>
      </c>
      <c r="L255" s="152">
        <v>1.3870095014572144</v>
      </c>
    </row>
    <row r="256" spans="10:12" ht="13">
      <c r="J256" s="153">
        <v>239</v>
      </c>
      <c r="K256" s="154">
        <f t="shared" si="5"/>
        <v>65.300546448087431</v>
      </c>
      <c r="L256" s="152">
        <v>1.3554000854492188</v>
      </c>
    </row>
    <row r="257" spans="10:12" ht="13">
      <c r="J257" s="153">
        <v>240</v>
      </c>
      <c r="K257" s="154">
        <f t="shared" si="5"/>
        <v>65.573770491803273</v>
      </c>
      <c r="L257" s="152">
        <v>1.3350191116333008</v>
      </c>
    </row>
    <row r="258" spans="10:12" ht="13">
      <c r="J258" s="153">
        <v>241</v>
      </c>
      <c r="K258" s="154">
        <f t="shared" si="5"/>
        <v>65.846994535519116</v>
      </c>
      <c r="L258" s="152">
        <v>1.308499813079834</v>
      </c>
    </row>
    <row r="259" spans="10:12" ht="13">
      <c r="J259" s="153">
        <v>242</v>
      </c>
      <c r="K259" s="154">
        <f t="shared" si="5"/>
        <v>66.120218579234972</v>
      </c>
      <c r="L259" s="152">
        <v>1.2760190963745117</v>
      </c>
    </row>
    <row r="260" spans="10:12" ht="13">
      <c r="J260" s="153">
        <v>243</v>
      </c>
      <c r="K260" s="154">
        <f t="shared" si="5"/>
        <v>66.393442622950815</v>
      </c>
      <c r="L260" s="152">
        <v>1.2518526315689087</v>
      </c>
    </row>
    <row r="261" spans="10:12" ht="13">
      <c r="J261" s="153">
        <v>244</v>
      </c>
      <c r="K261" s="154">
        <f t="shared" si="5"/>
        <v>66.666666666666657</v>
      </c>
      <c r="L261" s="152">
        <v>1.2317428588867188</v>
      </c>
    </row>
    <row r="262" spans="10:12" ht="13">
      <c r="J262" s="153">
        <v>245</v>
      </c>
      <c r="K262" s="154">
        <f t="shared" si="5"/>
        <v>66.939890710382514</v>
      </c>
      <c r="L262" s="152">
        <v>1.2081857919692993</v>
      </c>
    </row>
    <row r="263" spans="10:12" ht="13">
      <c r="J263" s="153">
        <v>246</v>
      </c>
      <c r="K263" s="154">
        <f t="shared" si="5"/>
        <v>67.213114754098356</v>
      </c>
      <c r="L263" s="152">
        <v>1.175733208656311</v>
      </c>
    </row>
    <row r="264" spans="10:12" ht="13">
      <c r="J264" s="153">
        <v>247</v>
      </c>
      <c r="K264" s="154">
        <f t="shared" si="5"/>
        <v>67.486338797814199</v>
      </c>
      <c r="L264" s="152">
        <v>1.147557258605957</v>
      </c>
    </row>
    <row r="265" spans="10:12" ht="13">
      <c r="J265" s="153">
        <v>248</v>
      </c>
      <c r="K265" s="154">
        <f t="shared" si="5"/>
        <v>67.759562841530055</v>
      </c>
      <c r="L265" s="152">
        <v>1.1347572803497314</v>
      </c>
    </row>
    <row r="266" spans="10:12" ht="13">
      <c r="J266" s="153">
        <v>249</v>
      </c>
      <c r="K266" s="154">
        <f t="shared" si="5"/>
        <v>68.032786885245898</v>
      </c>
      <c r="L266" s="152">
        <v>1.1059999465942383</v>
      </c>
    </row>
    <row r="267" spans="10:12" ht="13">
      <c r="J267" s="153">
        <v>250</v>
      </c>
      <c r="K267" s="154">
        <f t="shared" si="5"/>
        <v>68.30601092896174</v>
      </c>
      <c r="L267" s="152">
        <v>1.0839285850524902</v>
      </c>
    </row>
    <row r="268" spans="10:12" ht="13">
      <c r="J268" s="153">
        <v>251</v>
      </c>
      <c r="K268" s="154">
        <f t="shared" si="5"/>
        <v>68.579234972677597</v>
      </c>
      <c r="L268" s="152">
        <v>1.0618380308151245</v>
      </c>
    </row>
    <row r="269" spans="10:12" ht="13">
      <c r="J269" s="153">
        <v>252</v>
      </c>
      <c r="K269" s="154">
        <f t="shared" si="5"/>
        <v>68.852459016393439</v>
      </c>
      <c r="L269" s="152">
        <v>1.0374523401260376</v>
      </c>
    </row>
    <row r="270" spans="10:12" ht="13">
      <c r="J270" s="153">
        <v>253</v>
      </c>
      <c r="K270" s="154">
        <f t="shared" si="5"/>
        <v>69.125683060109282</v>
      </c>
      <c r="L270" s="152">
        <v>1.0130429267883301</v>
      </c>
    </row>
    <row r="271" spans="10:12" ht="13">
      <c r="J271" s="153">
        <v>254</v>
      </c>
      <c r="K271" s="154">
        <f t="shared" si="5"/>
        <v>69.398907103825138</v>
      </c>
      <c r="L271" s="152">
        <v>0.98859995603561401</v>
      </c>
    </row>
    <row r="272" spans="10:12" ht="13">
      <c r="J272" s="153">
        <v>255</v>
      </c>
      <c r="K272" s="154">
        <f t="shared" si="5"/>
        <v>69.672131147540981</v>
      </c>
      <c r="L272" s="152">
        <v>0.96800941228866577</v>
      </c>
    </row>
    <row r="273" spans="10:12" ht="13">
      <c r="J273" s="153">
        <v>256</v>
      </c>
      <c r="K273" s="154">
        <f t="shared" si="5"/>
        <v>69.945355191256837</v>
      </c>
      <c r="L273" s="152">
        <v>0.94729995727539063</v>
      </c>
    </row>
    <row r="274" spans="10:12" ht="13">
      <c r="J274" s="153">
        <v>257</v>
      </c>
      <c r="K274" s="154">
        <f t="shared" si="5"/>
        <v>70.21857923497268</v>
      </c>
      <c r="L274" s="152">
        <v>0.9188428521156311</v>
      </c>
    </row>
    <row r="275" spans="10:12" ht="13">
      <c r="J275" s="153">
        <v>258</v>
      </c>
      <c r="K275" s="154">
        <f t="shared" si="5"/>
        <v>70.491803278688522</v>
      </c>
      <c r="L275" s="152">
        <v>0.90242385864257813</v>
      </c>
    </row>
    <row r="276" spans="10:12" ht="13">
      <c r="J276" s="153">
        <v>259</v>
      </c>
      <c r="K276" s="154">
        <f t="shared" ref="K276:K339" si="6">(J276/366)*100</f>
        <v>70.765027322404379</v>
      </c>
      <c r="L276" s="152">
        <v>0.87727630138397217</v>
      </c>
    </row>
    <row r="277" spans="10:12" ht="13">
      <c r="J277" s="153">
        <v>260</v>
      </c>
      <c r="K277" s="154">
        <f t="shared" si="6"/>
        <v>71.038251366120221</v>
      </c>
      <c r="L277" s="152">
        <v>0.86186200380325317</v>
      </c>
    </row>
    <row r="278" spans="10:12" ht="13">
      <c r="J278" s="153">
        <v>261</v>
      </c>
      <c r="K278" s="154">
        <f t="shared" si="6"/>
        <v>71.311475409836063</v>
      </c>
      <c r="L278" s="152">
        <v>0.84155237674713135</v>
      </c>
    </row>
    <row r="279" spans="10:12" ht="13">
      <c r="J279" s="153">
        <v>262</v>
      </c>
      <c r="K279" s="154">
        <f t="shared" si="6"/>
        <v>71.58469945355192</v>
      </c>
      <c r="L279" s="152">
        <v>0.817219078540802</v>
      </c>
    </row>
    <row r="280" spans="10:12" ht="13">
      <c r="J280" s="153">
        <v>263</v>
      </c>
      <c r="K280" s="154">
        <f t="shared" si="6"/>
        <v>71.857923497267763</v>
      </c>
      <c r="L280" s="152">
        <v>0.80449038743972778</v>
      </c>
    </row>
    <row r="281" spans="10:12" ht="13">
      <c r="J281" s="153">
        <v>264</v>
      </c>
      <c r="K281" s="154">
        <f t="shared" si="6"/>
        <v>72.131147540983605</v>
      </c>
      <c r="L281" s="152">
        <v>0.78977149724960327</v>
      </c>
    </row>
    <row r="282" spans="10:12" ht="13">
      <c r="J282" s="153">
        <v>265</v>
      </c>
      <c r="K282" s="154">
        <f t="shared" si="6"/>
        <v>72.404371584699462</v>
      </c>
      <c r="L282" s="152">
        <v>0.77573341131210327</v>
      </c>
    </row>
    <row r="283" spans="10:12" ht="13">
      <c r="J283" s="153">
        <v>266</v>
      </c>
      <c r="K283" s="154">
        <f t="shared" si="6"/>
        <v>72.677595628415304</v>
      </c>
      <c r="L283" s="152">
        <v>0.75564283132553101</v>
      </c>
    </row>
    <row r="284" spans="10:12" ht="13">
      <c r="J284" s="153">
        <v>267</v>
      </c>
      <c r="K284" s="154">
        <f t="shared" si="6"/>
        <v>72.950819672131146</v>
      </c>
      <c r="L284" s="152">
        <v>0.73923331499099731</v>
      </c>
    </row>
    <row r="285" spans="10:12" ht="13">
      <c r="J285" s="153">
        <v>268</v>
      </c>
      <c r="K285" s="154">
        <f t="shared" si="6"/>
        <v>73.224043715847003</v>
      </c>
      <c r="L285" s="152">
        <v>0.72100955247879028</v>
      </c>
    </row>
    <row r="286" spans="10:12" ht="13">
      <c r="J286" s="153">
        <v>269</v>
      </c>
      <c r="K286" s="154">
        <f t="shared" si="6"/>
        <v>73.497267759562845</v>
      </c>
      <c r="L286" s="152">
        <v>0.70393818616867065</v>
      </c>
    </row>
    <row r="287" spans="10:12" ht="13">
      <c r="J287" s="153">
        <v>270</v>
      </c>
      <c r="K287" s="154">
        <f t="shared" si="6"/>
        <v>73.770491803278688</v>
      </c>
      <c r="L287" s="152">
        <v>0.68748563528060913</v>
      </c>
    </row>
    <row r="288" spans="10:12" ht="13">
      <c r="J288" s="153">
        <v>271</v>
      </c>
      <c r="K288" s="154">
        <f t="shared" si="6"/>
        <v>74.043715846994544</v>
      </c>
      <c r="L288" s="152">
        <v>0.66540944576263428</v>
      </c>
    </row>
    <row r="289" spans="10:12" ht="13">
      <c r="J289" s="153">
        <v>272</v>
      </c>
      <c r="K289" s="154">
        <f t="shared" si="6"/>
        <v>74.316939890710387</v>
      </c>
      <c r="L289" s="152">
        <v>0.64811909198760986</v>
      </c>
    </row>
    <row r="290" spans="10:12" ht="13">
      <c r="J290" s="153">
        <v>273</v>
      </c>
      <c r="K290" s="154">
        <f t="shared" si="6"/>
        <v>74.590163934426229</v>
      </c>
      <c r="L290" s="152">
        <v>0.6382523775100708</v>
      </c>
    </row>
    <row r="291" spans="10:12" ht="13">
      <c r="J291" s="153">
        <v>274</v>
      </c>
      <c r="K291" s="154">
        <f t="shared" si="6"/>
        <v>74.863387978142086</v>
      </c>
      <c r="L291" s="152">
        <v>0.62361907958984375</v>
      </c>
    </row>
    <row r="292" spans="10:12" ht="13">
      <c r="J292" s="153">
        <v>275</v>
      </c>
      <c r="K292" s="154">
        <f t="shared" si="6"/>
        <v>75.136612021857914</v>
      </c>
      <c r="L292" s="152">
        <v>0.60653334856033325</v>
      </c>
    </row>
    <row r="293" spans="10:12" ht="13">
      <c r="J293" s="153">
        <v>276</v>
      </c>
      <c r="K293" s="154">
        <f t="shared" si="6"/>
        <v>75.409836065573771</v>
      </c>
      <c r="L293" s="152">
        <v>0.59242379665374756</v>
      </c>
    </row>
    <row r="294" spans="10:12" ht="13">
      <c r="J294" s="153">
        <v>277</v>
      </c>
      <c r="K294" s="154">
        <f t="shared" si="6"/>
        <v>75.683060109289613</v>
      </c>
      <c r="L294" s="152">
        <v>0.57643806934356689</v>
      </c>
    </row>
    <row r="295" spans="10:12" ht="13">
      <c r="J295" s="153">
        <v>278</v>
      </c>
      <c r="K295" s="154">
        <f t="shared" si="6"/>
        <v>75.956284153005456</v>
      </c>
      <c r="L295" s="152">
        <v>0.56599998474121094</v>
      </c>
    </row>
    <row r="296" spans="10:12" ht="13">
      <c r="J296" s="153">
        <v>279</v>
      </c>
      <c r="K296" s="154">
        <f t="shared" si="6"/>
        <v>76.229508196721312</v>
      </c>
      <c r="L296" s="152">
        <v>0.55041909217834473</v>
      </c>
    </row>
    <row r="297" spans="10:12" ht="13">
      <c r="J297" s="153">
        <v>280</v>
      </c>
      <c r="K297" s="154">
        <f t="shared" si="6"/>
        <v>76.502732240437155</v>
      </c>
      <c r="L297" s="152">
        <v>0.53521430492401123</v>
      </c>
    </row>
    <row r="298" spans="10:12" ht="13">
      <c r="J298" s="153">
        <v>281</v>
      </c>
      <c r="K298" s="154">
        <f t="shared" si="6"/>
        <v>76.775956284152997</v>
      </c>
      <c r="L298" s="152">
        <v>0.52331912517547607</v>
      </c>
    </row>
    <row r="299" spans="10:12" ht="13">
      <c r="J299" s="153">
        <v>282</v>
      </c>
      <c r="K299" s="154">
        <f t="shared" si="6"/>
        <v>77.049180327868854</v>
      </c>
      <c r="L299" s="152">
        <v>0.50929528474807739</v>
      </c>
    </row>
    <row r="300" spans="10:12" ht="13">
      <c r="J300" s="153">
        <v>283</v>
      </c>
      <c r="K300" s="154">
        <f t="shared" si="6"/>
        <v>77.322404371584696</v>
      </c>
      <c r="L300" s="152">
        <v>0.49529048800468445</v>
      </c>
    </row>
    <row r="301" spans="10:12" ht="13">
      <c r="J301" s="153">
        <v>284</v>
      </c>
      <c r="K301" s="154">
        <f t="shared" si="6"/>
        <v>77.595628415300538</v>
      </c>
      <c r="L301" s="152">
        <v>0.48618575930595398</v>
      </c>
    </row>
    <row r="302" spans="10:12" ht="13">
      <c r="J302" s="153">
        <v>285</v>
      </c>
      <c r="K302" s="154">
        <f t="shared" si="6"/>
        <v>77.868852459016395</v>
      </c>
      <c r="L302" s="152">
        <v>0.47358572483062744</v>
      </c>
    </row>
    <row r="303" spans="10:12" ht="13">
      <c r="J303" s="153">
        <v>286</v>
      </c>
      <c r="K303" s="154">
        <f t="shared" si="6"/>
        <v>78.142076502732237</v>
      </c>
      <c r="L303" s="152">
        <v>0.46274757385253906</v>
      </c>
    </row>
    <row r="304" spans="10:12" ht="13">
      <c r="J304" s="153">
        <v>287</v>
      </c>
      <c r="K304" s="154">
        <f t="shared" si="6"/>
        <v>78.41530054644808</v>
      </c>
      <c r="L304" s="152">
        <v>0.45200946927070618</v>
      </c>
    </row>
    <row r="305" spans="10:12" ht="13">
      <c r="J305" s="153">
        <v>288</v>
      </c>
      <c r="K305" s="154">
        <f t="shared" si="6"/>
        <v>78.688524590163937</v>
      </c>
      <c r="L305" s="152">
        <v>0.44367614388465881</v>
      </c>
    </row>
    <row r="306" spans="10:12" ht="13">
      <c r="J306" s="153">
        <v>289</v>
      </c>
      <c r="K306" s="154">
        <f t="shared" si="6"/>
        <v>78.961748633879779</v>
      </c>
      <c r="L306" s="152">
        <v>0.43317613005638123</v>
      </c>
    </row>
    <row r="307" spans="10:12" ht="13">
      <c r="J307" s="153">
        <v>290</v>
      </c>
      <c r="K307" s="154">
        <f t="shared" si="6"/>
        <v>79.234972677595621</v>
      </c>
      <c r="L307" s="152">
        <v>0.42155709862709045</v>
      </c>
    </row>
    <row r="308" spans="10:12" ht="13">
      <c r="J308" s="153">
        <v>291</v>
      </c>
      <c r="K308" s="154">
        <f t="shared" si="6"/>
        <v>79.508196721311478</v>
      </c>
      <c r="L308" s="152">
        <v>0.41242384910583496</v>
      </c>
    </row>
    <row r="309" spans="10:12" ht="13">
      <c r="J309" s="153">
        <v>292</v>
      </c>
      <c r="K309" s="154">
        <f t="shared" si="6"/>
        <v>79.78142076502732</v>
      </c>
      <c r="L309" s="152">
        <v>0.40030002593994141</v>
      </c>
    </row>
    <row r="310" spans="10:12" ht="13">
      <c r="J310" s="153">
        <v>293</v>
      </c>
      <c r="K310" s="154">
        <f t="shared" si="6"/>
        <v>80.054644808743163</v>
      </c>
      <c r="L310" s="152">
        <v>0.39055237174034119</v>
      </c>
    </row>
    <row r="311" spans="10:12" ht="13">
      <c r="J311" s="153">
        <v>294</v>
      </c>
      <c r="K311" s="154">
        <f t="shared" si="6"/>
        <v>80.327868852459019</v>
      </c>
      <c r="L311" s="152">
        <v>0.38174283504486084</v>
      </c>
    </row>
    <row r="312" spans="10:12" ht="13">
      <c r="J312" s="153">
        <v>295</v>
      </c>
      <c r="K312" s="154">
        <f t="shared" si="6"/>
        <v>80.601092896174862</v>
      </c>
      <c r="L312" s="152">
        <v>0.37353810667991638</v>
      </c>
    </row>
    <row r="313" spans="10:12" ht="13">
      <c r="J313" s="153">
        <v>296</v>
      </c>
      <c r="K313" s="154">
        <f t="shared" si="6"/>
        <v>80.874316939890718</v>
      </c>
      <c r="L313" s="152">
        <v>0.36651903390884399</v>
      </c>
    </row>
    <row r="314" spans="10:12" ht="13">
      <c r="J314" s="153">
        <v>297</v>
      </c>
      <c r="K314" s="154">
        <f t="shared" si="6"/>
        <v>81.147540983606561</v>
      </c>
      <c r="L314" s="152">
        <v>0.35505712032318115</v>
      </c>
    </row>
    <row r="315" spans="10:12" ht="13">
      <c r="J315" s="153">
        <v>298</v>
      </c>
      <c r="K315" s="154">
        <f t="shared" si="6"/>
        <v>81.420765027322403</v>
      </c>
      <c r="L315" s="152">
        <v>0.3457428514957428</v>
      </c>
    </row>
    <row r="316" spans="10:12" ht="13">
      <c r="J316" s="153">
        <v>299</v>
      </c>
      <c r="K316" s="154">
        <f t="shared" si="6"/>
        <v>81.69398907103826</v>
      </c>
      <c r="L316" s="152">
        <v>0.33708092570304871</v>
      </c>
    </row>
    <row r="317" spans="10:12" ht="13">
      <c r="J317" s="153">
        <v>300</v>
      </c>
      <c r="K317" s="154">
        <f t="shared" si="6"/>
        <v>81.967213114754102</v>
      </c>
      <c r="L317" s="152">
        <v>0.32965236902236938</v>
      </c>
    </row>
    <row r="318" spans="10:12" ht="13">
      <c r="J318" s="153">
        <v>301</v>
      </c>
      <c r="K318" s="154">
        <f t="shared" si="6"/>
        <v>82.240437158469945</v>
      </c>
      <c r="L318" s="152">
        <v>0.32136189937591553</v>
      </c>
    </row>
    <row r="319" spans="10:12" ht="13">
      <c r="J319" s="153">
        <v>302</v>
      </c>
      <c r="K319" s="154">
        <f t="shared" si="6"/>
        <v>82.513661202185801</v>
      </c>
      <c r="L319" s="152">
        <v>0.3144666850566864</v>
      </c>
    </row>
    <row r="320" spans="10:12" ht="13">
      <c r="J320" s="153">
        <v>303</v>
      </c>
      <c r="K320" s="154">
        <f t="shared" si="6"/>
        <v>82.786885245901644</v>
      </c>
      <c r="L320" s="152">
        <v>0.30819046497344971</v>
      </c>
    </row>
    <row r="321" spans="10:12" ht="13">
      <c r="J321" s="153">
        <v>304</v>
      </c>
      <c r="K321" s="154">
        <f t="shared" si="6"/>
        <v>83.060109289617486</v>
      </c>
      <c r="L321" s="152">
        <v>0.30262857675552368</v>
      </c>
    </row>
    <row r="322" spans="10:12" ht="13">
      <c r="J322" s="153">
        <v>305</v>
      </c>
      <c r="K322" s="154">
        <f t="shared" si="6"/>
        <v>83.333333333333343</v>
      </c>
      <c r="L322" s="152">
        <v>0.29454284906387329</v>
      </c>
    </row>
    <row r="323" spans="10:12" ht="13">
      <c r="J323" s="153">
        <v>306</v>
      </c>
      <c r="K323" s="154">
        <f t="shared" si="6"/>
        <v>83.606557377049185</v>
      </c>
      <c r="L323" s="152">
        <v>0.28724762797355652</v>
      </c>
    </row>
    <row r="324" spans="10:12" ht="13">
      <c r="J324" s="153">
        <v>307</v>
      </c>
      <c r="K324" s="154">
        <f t="shared" si="6"/>
        <v>83.879781420765028</v>
      </c>
      <c r="L324" s="152">
        <v>0.28182858228683472</v>
      </c>
    </row>
    <row r="325" spans="10:12" ht="13">
      <c r="J325" s="153">
        <v>308</v>
      </c>
      <c r="K325" s="154">
        <f t="shared" si="6"/>
        <v>84.153005464480884</v>
      </c>
      <c r="L325" s="152">
        <v>0.27449527382850647</v>
      </c>
    </row>
    <row r="326" spans="10:12" ht="13">
      <c r="J326" s="153">
        <v>309</v>
      </c>
      <c r="K326" s="154">
        <f t="shared" si="6"/>
        <v>84.426229508196727</v>
      </c>
      <c r="L326" s="152">
        <v>0.26942858099937439</v>
      </c>
    </row>
    <row r="327" spans="10:12" ht="13">
      <c r="J327" s="153">
        <v>310</v>
      </c>
      <c r="K327" s="154">
        <f t="shared" si="6"/>
        <v>84.699453551912569</v>
      </c>
      <c r="L327" s="152">
        <v>0.2647286057472229</v>
      </c>
    </row>
    <row r="328" spans="10:12" ht="13">
      <c r="J328" s="153">
        <v>311</v>
      </c>
      <c r="K328" s="154">
        <f t="shared" si="6"/>
        <v>84.972677595628426</v>
      </c>
      <c r="L328" s="152">
        <v>0.25909522175788879</v>
      </c>
    </row>
    <row r="329" spans="10:12" ht="13">
      <c r="J329" s="153">
        <v>312</v>
      </c>
      <c r="K329" s="154">
        <f t="shared" si="6"/>
        <v>85.245901639344254</v>
      </c>
      <c r="L329" s="152">
        <v>0.25347620248794556</v>
      </c>
    </row>
    <row r="330" spans="10:12" ht="13">
      <c r="J330" s="153">
        <v>313</v>
      </c>
      <c r="K330" s="154">
        <f t="shared" si="6"/>
        <v>85.519125683060111</v>
      </c>
      <c r="L330" s="152">
        <v>0.24730001389980316</v>
      </c>
    </row>
    <row r="331" spans="10:12" ht="13">
      <c r="J331" s="153">
        <v>314</v>
      </c>
      <c r="K331" s="154">
        <f t="shared" si="6"/>
        <v>85.792349726775953</v>
      </c>
      <c r="L331" s="152">
        <v>0.24259524047374725</v>
      </c>
    </row>
    <row r="332" spans="10:12" ht="13">
      <c r="J332" s="153">
        <v>315</v>
      </c>
      <c r="K332" s="154">
        <f t="shared" si="6"/>
        <v>86.065573770491795</v>
      </c>
      <c r="L332" s="152">
        <v>0.23896190524101257</v>
      </c>
    </row>
    <row r="333" spans="10:12" ht="13">
      <c r="J333" s="153">
        <v>316</v>
      </c>
      <c r="K333" s="154">
        <f t="shared" si="6"/>
        <v>86.338797814207652</v>
      </c>
      <c r="L333" s="152">
        <v>0.23400475084781647</v>
      </c>
    </row>
    <row r="334" spans="10:12" ht="13">
      <c r="J334" s="153">
        <v>317</v>
      </c>
      <c r="K334" s="154">
        <f t="shared" si="6"/>
        <v>86.612021857923494</v>
      </c>
      <c r="L334" s="152">
        <v>0.23060953617095947</v>
      </c>
    </row>
    <row r="335" spans="10:12" ht="13">
      <c r="J335" s="153">
        <v>318</v>
      </c>
      <c r="K335" s="154">
        <f t="shared" si="6"/>
        <v>86.885245901639337</v>
      </c>
      <c r="L335" s="152">
        <v>0.22685715556144714</v>
      </c>
    </row>
    <row r="336" spans="10:12" ht="13">
      <c r="J336" s="153">
        <v>319</v>
      </c>
      <c r="K336" s="154">
        <f t="shared" si="6"/>
        <v>87.158469945355193</v>
      </c>
      <c r="L336" s="152">
        <v>0.22252857685089111</v>
      </c>
    </row>
    <row r="337" spans="10:12" ht="13">
      <c r="J337" s="153">
        <v>320</v>
      </c>
      <c r="K337" s="154">
        <f t="shared" si="6"/>
        <v>87.431693989071036</v>
      </c>
      <c r="L337" s="152">
        <v>0.21840003132820129</v>
      </c>
    </row>
    <row r="338" spans="10:12" ht="13">
      <c r="J338" s="153">
        <v>321</v>
      </c>
      <c r="K338" s="154">
        <f t="shared" si="6"/>
        <v>87.704918032786878</v>
      </c>
      <c r="L338" s="152">
        <v>0.21608570218086243</v>
      </c>
    </row>
    <row r="339" spans="10:12" ht="13">
      <c r="J339" s="153">
        <v>322</v>
      </c>
      <c r="K339" s="154">
        <f t="shared" si="6"/>
        <v>87.978142076502735</v>
      </c>
      <c r="L339" s="152">
        <v>0.21266192197799683</v>
      </c>
    </row>
    <row r="340" spans="10:12" ht="13">
      <c r="J340" s="153">
        <v>323</v>
      </c>
      <c r="K340" s="154">
        <f t="shared" ref="K340:K382" si="7">(J340/366)*100</f>
        <v>88.251366120218577</v>
      </c>
      <c r="L340" s="152">
        <v>0.20933333039283752</v>
      </c>
    </row>
    <row r="341" spans="10:12" ht="13">
      <c r="J341" s="153">
        <v>324</v>
      </c>
      <c r="K341" s="154">
        <f t="shared" si="7"/>
        <v>88.52459016393442</v>
      </c>
      <c r="L341" s="152">
        <v>0.20522858202457428</v>
      </c>
    </row>
    <row r="342" spans="10:12" ht="13">
      <c r="J342" s="153">
        <v>325</v>
      </c>
      <c r="K342" s="154">
        <f t="shared" si="7"/>
        <v>88.797814207650276</v>
      </c>
      <c r="L342" s="152">
        <v>0.20331904292106628</v>
      </c>
    </row>
    <row r="343" spans="10:12" ht="13">
      <c r="J343" s="153">
        <v>326</v>
      </c>
      <c r="K343" s="154">
        <f t="shared" si="7"/>
        <v>89.071038251366119</v>
      </c>
      <c r="L343" s="152">
        <v>0.20025716722011566</v>
      </c>
    </row>
    <row r="344" spans="10:12" ht="13">
      <c r="J344" s="153">
        <v>327</v>
      </c>
      <c r="K344" s="154">
        <f t="shared" si="7"/>
        <v>89.344262295081961</v>
      </c>
      <c r="L344" s="152">
        <v>0.1983095109462738</v>
      </c>
    </row>
    <row r="345" spans="10:12" ht="13">
      <c r="J345" s="153">
        <v>328</v>
      </c>
      <c r="K345" s="154">
        <f t="shared" si="7"/>
        <v>89.617486338797818</v>
      </c>
      <c r="L345" s="152">
        <v>0.19577619433403015</v>
      </c>
    </row>
    <row r="346" spans="10:12" ht="13">
      <c r="J346" s="153">
        <v>329</v>
      </c>
      <c r="K346" s="154">
        <f t="shared" si="7"/>
        <v>89.89071038251366</v>
      </c>
      <c r="L346" s="152">
        <v>0.19267141819000244</v>
      </c>
    </row>
    <row r="347" spans="10:12" ht="13">
      <c r="J347" s="153">
        <v>330</v>
      </c>
      <c r="K347" s="154">
        <f t="shared" si="7"/>
        <v>90.163934426229503</v>
      </c>
      <c r="L347" s="152">
        <v>0.19059999287128448</v>
      </c>
    </row>
    <row r="348" spans="10:12" ht="13">
      <c r="J348" s="153">
        <v>331</v>
      </c>
      <c r="K348" s="154">
        <f t="shared" si="7"/>
        <v>90.437158469945359</v>
      </c>
      <c r="L348" s="152">
        <v>0.18801428377628326</v>
      </c>
    </row>
    <row r="349" spans="10:12" ht="13">
      <c r="J349" s="153">
        <v>332</v>
      </c>
      <c r="K349" s="154">
        <f t="shared" si="7"/>
        <v>90.710382513661202</v>
      </c>
      <c r="L349" s="152">
        <v>0.185590460896492</v>
      </c>
    </row>
    <row r="350" spans="10:12" ht="13">
      <c r="J350" s="153">
        <v>333</v>
      </c>
      <c r="K350" s="154">
        <f t="shared" si="7"/>
        <v>90.983606557377044</v>
      </c>
      <c r="L350" s="152">
        <v>0.18309523165225983</v>
      </c>
    </row>
    <row r="351" spans="10:12" ht="13">
      <c r="J351" s="153">
        <v>334</v>
      </c>
      <c r="K351" s="154">
        <f t="shared" si="7"/>
        <v>91.256830601092901</v>
      </c>
      <c r="L351" s="152">
        <v>0.18052856624126434</v>
      </c>
    </row>
    <row r="352" spans="10:12" ht="13">
      <c r="J352" s="153">
        <v>335</v>
      </c>
      <c r="K352" s="154">
        <f t="shared" si="7"/>
        <v>91.530054644808743</v>
      </c>
      <c r="L352" s="152">
        <v>0.17862381041049957</v>
      </c>
    </row>
    <row r="353" spans="10:12" ht="13">
      <c r="J353" s="153">
        <v>336</v>
      </c>
      <c r="K353" s="154">
        <f t="shared" si="7"/>
        <v>91.803278688524586</v>
      </c>
      <c r="L353" s="152">
        <v>0.17623333632946014</v>
      </c>
    </row>
    <row r="354" spans="10:12" ht="13">
      <c r="J354" s="153">
        <v>337</v>
      </c>
      <c r="K354" s="154">
        <f t="shared" si="7"/>
        <v>92.076502732240442</v>
      </c>
      <c r="L354" s="152">
        <v>0.17406666278839111</v>
      </c>
    </row>
    <row r="355" spans="10:12" ht="13">
      <c r="J355" s="153">
        <v>338</v>
      </c>
      <c r="K355" s="154">
        <f t="shared" si="7"/>
        <v>92.349726775956285</v>
      </c>
      <c r="L355" s="152">
        <v>0.17132855951786041</v>
      </c>
    </row>
    <row r="356" spans="10:12" ht="13">
      <c r="J356" s="153">
        <v>339</v>
      </c>
      <c r="K356" s="154">
        <f t="shared" si="7"/>
        <v>92.622950819672127</v>
      </c>
      <c r="L356" s="152">
        <v>0.16955238580703735</v>
      </c>
    </row>
    <row r="357" spans="10:12" ht="13">
      <c r="J357" s="153">
        <v>340</v>
      </c>
      <c r="K357" s="154">
        <f t="shared" si="7"/>
        <v>92.896174863387984</v>
      </c>
      <c r="L357" s="152">
        <v>0.16757620871067047</v>
      </c>
    </row>
    <row r="358" spans="10:12" ht="13">
      <c r="J358" s="153">
        <v>341</v>
      </c>
      <c r="K358" s="154">
        <f t="shared" si="7"/>
        <v>93.169398907103826</v>
      </c>
      <c r="L358" s="152">
        <v>0.16564761102199554</v>
      </c>
    </row>
    <row r="359" spans="10:12" ht="13">
      <c r="J359" s="153">
        <v>342</v>
      </c>
      <c r="K359" s="154">
        <f t="shared" si="7"/>
        <v>93.442622950819683</v>
      </c>
      <c r="L359" s="152">
        <v>0.16436667740345001</v>
      </c>
    </row>
    <row r="360" spans="10:12" ht="13">
      <c r="J360" s="153">
        <v>343</v>
      </c>
      <c r="K360" s="154">
        <f t="shared" si="7"/>
        <v>93.715846994535525</v>
      </c>
      <c r="L360" s="152">
        <v>0.16200952231884003</v>
      </c>
    </row>
    <row r="361" spans="10:12" ht="13">
      <c r="J361" s="153">
        <v>344</v>
      </c>
      <c r="K361" s="154">
        <f t="shared" si="7"/>
        <v>93.989071038251367</v>
      </c>
      <c r="L361" s="152">
        <v>0.15946666896343231</v>
      </c>
    </row>
    <row r="362" spans="10:12" ht="13">
      <c r="J362" s="153">
        <v>345</v>
      </c>
      <c r="K362" s="154">
        <f t="shared" si="7"/>
        <v>94.262295081967224</v>
      </c>
      <c r="L362" s="152">
        <v>0.15789046883583069</v>
      </c>
    </row>
    <row r="363" spans="10:12" ht="13">
      <c r="J363" s="153">
        <v>346</v>
      </c>
      <c r="K363" s="154">
        <f t="shared" si="7"/>
        <v>94.535519125683066</v>
      </c>
      <c r="L363" s="152">
        <v>0.15675237774848938</v>
      </c>
    </row>
    <row r="364" spans="10:12" ht="13">
      <c r="J364" s="153">
        <v>347</v>
      </c>
      <c r="K364" s="154">
        <f t="shared" si="7"/>
        <v>94.808743169398909</v>
      </c>
      <c r="L364" s="152">
        <v>0.15584762394428253</v>
      </c>
    </row>
    <row r="365" spans="10:12" ht="13">
      <c r="J365" s="153">
        <v>348</v>
      </c>
      <c r="K365" s="154">
        <f t="shared" si="7"/>
        <v>95.081967213114751</v>
      </c>
      <c r="L365" s="152">
        <v>0.15414763987064362</v>
      </c>
    </row>
    <row r="366" spans="10:12" ht="13">
      <c r="J366" s="153">
        <v>349</v>
      </c>
      <c r="K366" s="154">
        <f t="shared" si="7"/>
        <v>95.355191256830594</v>
      </c>
      <c r="L366" s="152">
        <v>0.15300001204013824</v>
      </c>
    </row>
    <row r="367" spans="10:12" ht="13">
      <c r="J367" s="153">
        <v>350</v>
      </c>
      <c r="K367" s="154">
        <f t="shared" si="7"/>
        <v>95.628415300546436</v>
      </c>
      <c r="L367" s="152">
        <v>0.15030953288078308</v>
      </c>
    </row>
    <row r="368" spans="10:12" ht="13">
      <c r="J368" s="153">
        <v>351</v>
      </c>
      <c r="K368" s="154">
        <f t="shared" si="7"/>
        <v>95.901639344262293</v>
      </c>
      <c r="L368" s="152">
        <v>0.14886191487312317</v>
      </c>
    </row>
    <row r="369" spans="10:12" ht="13">
      <c r="J369" s="153">
        <v>352</v>
      </c>
      <c r="K369" s="154">
        <f t="shared" si="7"/>
        <v>96.174863387978135</v>
      </c>
      <c r="L369" s="152">
        <v>0.14632856845855713</v>
      </c>
    </row>
    <row r="370" spans="10:12" ht="13">
      <c r="J370" s="153">
        <v>353</v>
      </c>
      <c r="K370" s="154">
        <f t="shared" si="7"/>
        <v>96.448087431693992</v>
      </c>
      <c r="L370" s="152">
        <v>0.14489524066448212</v>
      </c>
    </row>
    <row r="371" spans="10:12" ht="13">
      <c r="J371" s="153">
        <v>354</v>
      </c>
      <c r="K371" s="154">
        <f t="shared" si="7"/>
        <v>96.721311475409834</v>
      </c>
      <c r="L371" s="152">
        <v>0.14352381229400635</v>
      </c>
    </row>
    <row r="372" spans="10:12" ht="13">
      <c r="J372" s="153">
        <v>355</v>
      </c>
      <c r="K372" s="154">
        <f t="shared" si="7"/>
        <v>96.994535519125677</v>
      </c>
      <c r="L372" s="152">
        <v>0.14161430299282074</v>
      </c>
    </row>
    <row r="373" spans="10:12" ht="13">
      <c r="J373" s="153">
        <v>356</v>
      </c>
      <c r="K373" s="154">
        <f t="shared" si="7"/>
        <v>97.267759562841533</v>
      </c>
      <c r="L373" s="152">
        <v>0.13967618346214294</v>
      </c>
    </row>
    <row r="374" spans="10:12" ht="13">
      <c r="J374" s="153">
        <v>357</v>
      </c>
      <c r="K374" s="154">
        <f t="shared" si="7"/>
        <v>97.540983606557376</v>
      </c>
      <c r="L374" s="152">
        <v>0.13722380995750427</v>
      </c>
    </row>
    <row r="375" spans="10:12" ht="13">
      <c r="J375" s="153">
        <v>358</v>
      </c>
      <c r="K375" s="154">
        <f t="shared" si="7"/>
        <v>97.814207650273218</v>
      </c>
      <c r="L375" s="152">
        <v>0.13542377948760986</v>
      </c>
    </row>
    <row r="376" spans="10:12" ht="13">
      <c r="J376" s="153">
        <v>359</v>
      </c>
      <c r="K376" s="154">
        <f t="shared" si="7"/>
        <v>98.087431693989075</v>
      </c>
      <c r="L376" s="152">
        <v>0.13365712761878967</v>
      </c>
    </row>
    <row r="377" spans="10:12" ht="13">
      <c r="J377" s="153">
        <v>360</v>
      </c>
      <c r="K377" s="154">
        <f t="shared" si="7"/>
        <v>98.360655737704917</v>
      </c>
      <c r="L377" s="152">
        <v>0.13147619366645813</v>
      </c>
    </row>
    <row r="378" spans="10:12" ht="13">
      <c r="J378" s="153">
        <v>361</v>
      </c>
      <c r="K378" s="154">
        <f t="shared" si="7"/>
        <v>98.63387978142076</v>
      </c>
      <c r="L378" s="152">
        <v>0.12864762544631958</v>
      </c>
    </row>
    <row r="379" spans="10:12" ht="13">
      <c r="J379" s="153">
        <v>362</v>
      </c>
      <c r="K379" s="154">
        <f t="shared" si="7"/>
        <v>98.907103825136616</v>
      </c>
      <c r="L379" s="152">
        <v>0.12671191990375519</v>
      </c>
    </row>
    <row r="380" spans="10:12" ht="13">
      <c r="J380" s="153">
        <v>363</v>
      </c>
      <c r="K380" s="154">
        <f t="shared" si="7"/>
        <v>99.180327868852459</v>
      </c>
      <c r="L380" s="152">
        <v>0.12409143149852753</v>
      </c>
    </row>
    <row r="381" spans="10:12" ht="13">
      <c r="J381" s="153">
        <v>364</v>
      </c>
      <c r="K381" s="154">
        <f t="shared" si="7"/>
        <v>99.453551912568301</v>
      </c>
      <c r="L381" s="152">
        <v>0.12069094926118851</v>
      </c>
    </row>
    <row r="382" spans="10:12" ht="13">
      <c r="J382" s="158">
        <v>365</v>
      </c>
      <c r="K382" s="159">
        <f t="shared" si="7"/>
        <v>99.726775956284158</v>
      </c>
      <c r="L382" s="157">
        <v>0.11656714975833893</v>
      </c>
    </row>
  </sheetData>
  <mergeCells count="13">
    <mergeCell ref="J16:J17"/>
    <mergeCell ref="D41:F41"/>
    <mergeCell ref="B6:D6"/>
    <mergeCell ref="B7:D7"/>
    <mergeCell ref="B12:H12"/>
    <mergeCell ref="J13:L13"/>
    <mergeCell ref="D2:L2"/>
    <mergeCell ref="D3:L3"/>
    <mergeCell ref="B5:D5"/>
    <mergeCell ref="D14:F14"/>
    <mergeCell ref="J14:L14"/>
    <mergeCell ref="B2:C2"/>
    <mergeCell ref="B3:C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5"/>
  <dimension ref="A1:T382"/>
  <sheetViews>
    <sheetView showGridLines="0" zoomScale="70" zoomScaleNormal="70" workbookViewId="0">
      <selection activeCell="B3" sqref="B3:C3"/>
    </sheetView>
  </sheetViews>
  <sheetFormatPr baseColWidth="10" defaultRowHeight="12.5"/>
  <cols>
    <col min="1" max="1" width="2.81640625" style="3" customWidth="1"/>
    <col min="2" max="2" width="20.1796875" style="3" customWidth="1"/>
    <col min="3" max="3" width="10.1796875" style="3" customWidth="1"/>
    <col min="4" max="4" width="19.81640625" style="3" customWidth="1"/>
    <col min="5" max="5" width="18" style="3" customWidth="1"/>
    <col min="6" max="6" width="17.81640625" style="3" customWidth="1"/>
    <col min="7" max="7" width="13.1796875" style="3" customWidth="1"/>
    <col min="8" max="8" width="9.81640625" style="3" customWidth="1"/>
    <col min="9" max="9" width="11.453125" style="3" customWidth="1"/>
    <col min="10" max="10" width="20.1796875" style="3" customWidth="1"/>
    <col min="11" max="11" width="18.81640625" style="3" customWidth="1"/>
    <col min="12" max="12" width="15.54296875" style="3" customWidth="1"/>
    <col min="13" max="256" width="11.453125" style="3" customWidth="1"/>
    <col min="257" max="257" width="2.81640625" style="3" customWidth="1"/>
    <col min="258" max="258" width="15" style="3" customWidth="1"/>
    <col min="259" max="259" width="10.1796875" style="3" customWidth="1"/>
    <col min="260" max="260" width="19.81640625" style="3" customWidth="1"/>
    <col min="261" max="261" width="18" style="3" customWidth="1"/>
    <col min="262" max="262" width="17.81640625" style="3" customWidth="1"/>
    <col min="263" max="263" width="13.1796875" style="3" customWidth="1"/>
    <col min="264" max="264" width="9.81640625" style="3" customWidth="1"/>
    <col min="265" max="512" width="11.453125" style="3" customWidth="1"/>
    <col min="513" max="513" width="2.81640625" style="3" customWidth="1"/>
    <col min="514" max="514" width="15" style="3" customWidth="1"/>
    <col min="515" max="515" width="10.1796875" style="3" customWidth="1"/>
    <col min="516" max="516" width="19.81640625" style="3" customWidth="1"/>
    <col min="517" max="517" width="18" style="3" customWidth="1"/>
    <col min="518" max="518" width="17.81640625" style="3" customWidth="1"/>
    <col min="519" max="519" width="13.1796875" style="3" customWidth="1"/>
    <col min="520" max="520" width="9.81640625" style="3" customWidth="1"/>
    <col min="521" max="768" width="11.453125" style="3" customWidth="1"/>
    <col min="769" max="769" width="2.81640625" style="3" customWidth="1"/>
    <col min="770" max="770" width="15" style="3" customWidth="1"/>
    <col min="771" max="771" width="10.1796875" style="3" customWidth="1"/>
    <col min="772" max="772" width="19.81640625" style="3" customWidth="1"/>
    <col min="773" max="773" width="18" style="3" customWidth="1"/>
    <col min="774" max="774" width="17.81640625" style="3" customWidth="1"/>
    <col min="775" max="775" width="13.1796875" style="3" customWidth="1"/>
    <col min="776" max="776" width="9.81640625" style="3" customWidth="1"/>
    <col min="777" max="1024" width="11.453125" style="3" customWidth="1"/>
    <col min="1025" max="1025" width="2.81640625" style="3" customWidth="1"/>
    <col min="1026" max="1026" width="15" style="3" customWidth="1"/>
    <col min="1027" max="1027" width="10.1796875" style="3" customWidth="1"/>
    <col min="1028" max="1028" width="19.81640625" style="3" customWidth="1"/>
    <col min="1029" max="1029" width="18" style="3" customWidth="1"/>
    <col min="1030" max="1030" width="17.81640625" style="3" customWidth="1"/>
    <col min="1031" max="1031" width="13.1796875" style="3" customWidth="1"/>
    <col min="1032" max="1032" width="9.81640625" style="3" customWidth="1"/>
    <col min="1033" max="1280" width="11.453125" style="3" customWidth="1"/>
    <col min="1281" max="1281" width="2.81640625" style="3" customWidth="1"/>
    <col min="1282" max="1282" width="15" style="3" customWidth="1"/>
    <col min="1283" max="1283" width="10.1796875" style="3" customWidth="1"/>
    <col min="1284" max="1284" width="19.81640625" style="3" customWidth="1"/>
    <col min="1285" max="1285" width="18" style="3" customWidth="1"/>
    <col min="1286" max="1286" width="17.81640625" style="3" customWidth="1"/>
    <col min="1287" max="1287" width="13.1796875" style="3" customWidth="1"/>
    <col min="1288" max="1288" width="9.81640625" style="3" customWidth="1"/>
    <col min="1289" max="1536" width="11.453125" style="3" customWidth="1"/>
    <col min="1537" max="1537" width="2.81640625" style="3" customWidth="1"/>
    <col min="1538" max="1538" width="15" style="3" customWidth="1"/>
    <col min="1539" max="1539" width="10.1796875" style="3" customWidth="1"/>
    <col min="1540" max="1540" width="19.81640625" style="3" customWidth="1"/>
    <col min="1541" max="1541" width="18" style="3" customWidth="1"/>
    <col min="1542" max="1542" width="17.81640625" style="3" customWidth="1"/>
    <col min="1543" max="1543" width="13.1796875" style="3" customWidth="1"/>
    <col min="1544" max="1544" width="9.81640625" style="3" customWidth="1"/>
    <col min="1545" max="1792" width="11.453125" style="3" customWidth="1"/>
    <col min="1793" max="1793" width="2.81640625" style="3" customWidth="1"/>
    <col min="1794" max="1794" width="15" style="3" customWidth="1"/>
    <col min="1795" max="1795" width="10.1796875" style="3" customWidth="1"/>
    <col min="1796" max="1796" width="19.81640625" style="3" customWidth="1"/>
    <col min="1797" max="1797" width="18" style="3" customWidth="1"/>
    <col min="1798" max="1798" width="17.81640625" style="3" customWidth="1"/>
    <col min="1799" max="1799" width="13.1796875" style="3" customWidth="1"/>
    <col min="1800" max="1800" width="9.81640625" style="3" customWidth="1"/>
    <col min="1801" max="2048" width="11.453125" style="3" customWidth="1"/>
    <col min="2049" max="2049" width="2.81640625" style="3" customWidth="1"/>
    <col min="2050" max="2050" width="15" style="3" customWidth="1"/>
    <col min="2051" max="2051" width="10.1796875" style="3" customWidth="1"/>
    <col min="2052" max="2052" width="19.81640625" style="3" customWidth="1"/>
    <col min="2053" max="2053" width="18" style="3" customWidth="1"/>
    <col min="2054" max="2054" width="17.81640625" style="3" customWidth="1"/>
    <col min="2055" max="2055" width="13.1796875" style="3" customWidth="1"/>
    <col min="2056" max="2056" width="9.81640625" style="3" customWidth="1"/>
    <col min="2057" max="2304" width="11.453125" style="3" customWidth="1"/>
    <col min="2305" max="2305" width="2.81640625" style="3" customWidth="1"/>
    <col min="2306" max="2306" width="15" style="3" customWidth="1"/>
    <col min="2307" max="2307" width="10.1796875" style="3" customWidth="1"/>
    <col min="2308" max="2308" width="19.81640625" style="3" customWidth="1"/>
    <col min="2309" max="2309" width="18" style="3" customWidth="1"/>
    <col min="2310" max="2310" width="17.81640625" style="3" customWidth="1"/>
    <col min="2311" max="2311" width="13.1796875" style="3" customWidth="1"/>
    <col min="2312" max="2312" width="9.81640625" style="3" customWidth="1"/>
    <col min="2313" max="2560" width="11.453125" style="3" customWidth="1"/>
    <col min="2561" max="2561" width="2.81640625" style="3" customWidth="1"/>
    <col min="2562" max="2562" width="15" style="3" customWidth="1"/>
    <col min="2563" max="2563" width="10.1796875" style="3" customWidth="1"/>
    <col min="2564" max="2564" width="19.81640625" style="3" customWidth="1"/>
    <col min="2565" max="2565" width="18" style="3" customWidth="1"/>
    <col min="2566" max="2566" width="17.81640625" style="3" customWidth="1"/>
    <col min="2567" max="2567" width="13.1796875" style="3" customWidth="1"/>
    <col min="2568" max="2568" width="9.81640625" style="3" customWidth="1"/>
    <col min="2569" max="2816" width="11.453125" style="3" customWidth="1"/>
    <col min="2817" max="2817" width="2.81640625" style="3" customWidth="1"/>
    <col min="2818" max="2818" width="15" style="3" customWidth="1"/>
    <col min="2819" max="2819" width="10.1796875" style="3" customWidth="1"/>
    <col min="2820" max="2820" width="19.81640625" style="3" customWidth="1"/>
    <col min="2821" max="2821" width="18" style="3" customWidth="1"/>
    <col min="2822" max="2822" width="17.81640625" style="3" customWidth="1"/>
    <col min="2823" max="2823" width="13.1796875" style="3" customWidth="1"/>
    <col min="2824" max="2824" width="9.81640625" style="3" customWidth="1"/>
    <col min="2825" max="3072" width="11.453125" style="3" customWidth="1"/>
    <col min="3073" max="3073" width="2.81640625" style="3" customWidth="1"/>
    <col min="3074" max="3074" width="15" style="3" customWidth="1"/>
    <col min="3075" max="3075" width="10.1796875" style="3" customWidth="1"/>
    <col min="3076" max="3076" width="19.81640625" style="3" customWidth="1"/>
    <col min="3077" max="3077" width="18" style="3" customWidth="1"/>
    <col min="3078" max="3078" width="17.81640625" style="3" customWidth="1"/>
    <col min="3079" max="3079" width="13.1796875" style="3" customWidth="1"/>
    <col min="3080" max="3080" width="9.81640625" style="3" customWidth="1"/>
    <col min="3081" max="3328" width="11.453125" style="3" customWidth="1"/>
    <col min="3329" max="3329" width="2.81640625" style="3" customWidth="1"/>
    <col min="3330" max="3330" width="15" style="3" customWidth="1"/>
    <col min="3331" max="3331" width="10.1796875" style="3" customWidth="1"/>
    <col min="3332" max="3332" width="19.81640625" style="3" customWidth="1"/>
    <col min="3333" max="3333" width="18" style="3" customWidth="1"/>
    <col min="3334" max="3334" width="17.81640625" style="3" customWidth="1"/>
    <col min="3335" max="3335" width="13.1796875" style="3" customWidth="1"/>
    <col min="3336" max="3336" width="9.81640625" style="3" customWidth="1"/>
    <col min="3337" max="3584" width="11.453125" style="3" customWidth="1"/>
    <col min="3585" max="3585" width="2.81640625" style="3" customWidth="1"/>
    <col min="3586" max="3586" width="15" style="3" customWidth="1"/>
    <col min="3587" max="3587" width="10.1796875" style="3" customWidth="1"/>
    <col min="3588" max="3588" width="19.81640625" style="3" customWidth="1"/>
    <col min="3589" max="3589" width="18" style="3" customWidth="1"/>
    <col min="3590" max="3590" width="17.81640625" style="3" customWidth="1"/>
    <col min="3591" max="3591" width="13.1796875" style="3" customWidth="1"/>
    <col min="3592" max="3592" width="9.81640625" style="3" customWidth="1"/>
    <col min="3593" max="3840" width="11.453125" style="3" customWidth="1"/>
    <col min="3841" max="3841" width="2.81640625" style="3" customWidth="1"/>
    <col min="3842" max="3842" width="15" style="3" customWidth="1"/>
    <col min="3843" max="3843" width="10.1796875" style="3" customWidth="1"/>
    <col min="3844" max="3844" width="19.81640625" style="3" customWidth="1"/>
    <col min="3845" max="3845" width="18" style="3" customWidth="1"/>
    <col min="3846" max="3846" width="17.81640625" style="3" customWidth="1"/>
    <col min="3847" max="3847" width="13.1796875" style="3" customWidth="1"/>
    <col min="3848" max="3848" width="9.81640625" style="3" customWidth="1"/>
    <col min="3849" max="4096" width="11.453125" style="3" customWidth="1"/>
    <col min="4097" max="4097" width="2.81640625" style="3" customWidth="1"/>
    <col min="4098" max="4098" width="15" style="3" customWidth="1"/>
    <col min="4099" max="4099" width="10.1796875" style="3" customWidth="1"/>
    <col min="4100" max="4100" width="19.81640625" style="3" customWidth="1"/>
    <col min="4101" max="4101" width="18" style="3" customWidth="1"/>
    <col min="4102" max="4102" width="17.81640625" style="3" customWidth="1"/>
    <col min="4103" max="4103" width="13.1796875" style="3" customWidth="1"/>
    <col min="4104" max="4104" width="9.81640625" style="3" customWidth="1"/>
    <col min="4105" max="4352" width="11.453125" style="3" customWidth="1"/>
    <col min="4353" max="4353" width="2.81640625" style="3" customWidth="1"/>
    <col min="4354" max="4354" width="15" style="3" customWidth="1"/>
    <col min="4355" max="4355" width="10.1796875" style="3" customWidth="1"/>
    <col min="4356" max="4356" width="19.81640625" style="3" customWidth="1"/>
    <col min="4357" max="4357" width="18" style="3" customWidth="1"/>
    <col min="4358" max="4358" width="17.81640625" style="3" customWidth="1"/>
    <col min="4359" max="4359" width="13.1796875" style="3" customWidth="1"/>
    <col min="4360" max="4360" width="9.81640625" style="3" customWidth="1"/>
    <col min="4361" max="4608" width="11.453125" style="3" customWidth="1"/>
    <col min="4609" max="4609" width="2.81640625" style="3" customWidth="1"/>
    <col min="4610" max="4610" width="15" style="3" customWidth="1"/>
    <col min="4611" max="4611" width="10.1796875" style="3" customWidth="1"/>
    <col min="4612" max="4612" width="19.81640625" style="3" customWidth="1"/>
    <col min="4613" max="4613" width="18" style="3" customWidth="1"/>
    <col min="4614" max="4614" width="17.81640625" style="3" customWidth="1"/>
    <col min="4615" max="4615" width="13.1796875" style="3" customWidth="1"/>
    <col min="4616" max="4616" width="9.81640625" style="3" customWidth="1"/>
    <col min="4617" max="4864" width="11.453125" style="3" customWidth="1"/>
    <col min="4865" max="4865" width="2.81640625" style="3" customWidth="1"/>
    <col min="4866" max="4866" width="15" style="3" customWidth="1"/>
    <col min="4867" max="4867" width="10.1796875" style="3" customWidth="1"/>
    <col min="4868" max="4868" width="19.81640625" style="3" customWidth="1"/>
    <col min="4869" max="4869" width="18" style="3" customWidth="1"/>
    <col min="4870" max="4870" width="17.81640625" style="3" customWidth="1"/>
    <col min="4871" max="4871" width="13.1796875" style="3" customWidth="1"/>
    <col min="4872" max="4872" width="9.81640625" style="3" customWidth="1"/>
    <col min="4873" max="5120" width="11.453125" style="3" customWidth="1"/>
    <col min="5121" max="5121" width="2.81640625" style="3" customWidth="1"/>
    <col min="5122" max="5122" width="15" style="3" customWidth="1"/>
    <col min="5123" max="5123" width="10.1796875" style="3" customWidth="1"/>
    <col min="5124" max="5124" width="19.81640625" style="3" customWidth="1"/>
    <col min="5125" max="5125" width="18" style="3" customWidth="1"/>
    <col min="5126" max="5126" width="17.81640625" style="3" customWidth="1"/>
    <col min="5127" max="5127" width="13.1796875" style="3" customWidth="1"/>
    <col min="5128" max="5128" width="9.81640625" style="3" customWidth="1"/>
    <col min="5129" max="5376" width="11.453125" style="3" customWidth="1"/>
    <col min="5377" max="5377" width="2.81640625" style="3" customWidth="1"/>
    <col min="5378" max="5378" width="15" style="3" customWidth="1"/>
    <col min="5379" max="5379" width="10.1796875" style="3" customWidth="1"/>
    <col min="5380" max="5380" width="19.81640625" style="3" customWidth="1"/>
    <col min="5381" max="5381" width="18" style="3" customWidth="1"/>
    <col min="5382" max="5382" width="17.81640625" style="3" customWidth="1"/>
    <col min="5383" max="5383" width="13.1796875" style="3" customWidth="1"/>
    <col min="5384" max="5384" width="9.81640625" style="3" customWidth="1"/>
    <col min="5385" max="5632" width="11.453125" style="3" customWidth="1"/>
    <col min="5633" max="5633" width="2.81640625" style="3" customWidth="1"/>
    <col min="5634" max="5634" width="15" style="3" customWidth="1"/>
    <col min="5635" max="5635" width="10.1796875" style="3" customWidth="1"/>
    <col min="5636" max="5636" width="19.81640625" style="3" customWidth="1"/>
    <col min="5637" max="5637" width="18" style="3" customWidth="1"/>
    <col min="5638" max="5638" width="17.81640625" style="3" customWidth="1"/>
    <col min="5639" max="5639" width="13.1796875" style="3" customWidth="1"/>
    <col min="5640" max="5640" width="9.81640625" style="3" customWidth="1"/>
    <col min="5641" max="5888" width="11.453125" style="3" customWidth="1"/>
    <col min="5889" max="5889" width="2.81640625" style="3" customWidth="1"/>
    <col min="5890" max="5890" width="15" style="3" customWidth="1"/>
    <col min="5891" max="5891" width="10.1796875" style="3" customWidth="1"/>
    <col min="5892" max="5892" width="19.81640625" style="3" customWidth="1"/>
    <col min="5893" max="5893" width="18" style="3" customWidth="1"/>
    <col min="5894" max="5894" width="17.81640625" style="3" customWidth="1"/>
    <col min="5895" max="5895" width="13.1796875" style="3" customWidth="1"/>
    <col min="5896" max="5896" width="9.81640625" style="3" customWidth="1"/>
    <col min="5897" max="6144" width="11.453125" style="3" customWidth="1"/>
    <col min="6145" max="6145" width="2.81640625" style="3" customWidth="1"/>
    <col min="6146" max="6146" width="15" style="3" customWidth="1"/>
    <col min="6147" max="6147" width="10.1796875" style="3" customWidth="1"/>
    <col min="6148" max="6148" width="19.81640625" style="3" customWidth="1"/>
    <col min="6149" max="6149" width="18" style="3" customWidth="1"/>
    <col min="6150" max="6150" width="17.81640625" style="3" customWidth="1"/>
    <col min="6151" max="6151" width="13.1796875" style="3" customWidth="1"/>
    <col min="6152" max="6152" width="9.81640625" style="3" customWidth="1"/>
    <col min="6153" max="6400" width="11.453125" style="3" customWidth="1"/>
    <col min="6401" max="6401" width="2.81640625" style="3" customWidth="1"/>
    <col min="6402" max="6402" width="15" style="3" customWidth="1"/>
    <col min="6403" max="6403" width="10.1796875" style="3" customWidth="1"/>
    <col min="6404" max="6404" width="19.81640625" style="3" customWidth="1"/>
    <col min="6405" max="6405" width="18" style="3" customWidth="1"/>
    <col min="6406" max="6406" width="17.81640625" style="3" customWidth="1"/>
    <col min="6407" max="6407" width="13.1796875" style="3" customWidth="1"/>
    <col min="6408" max="6408" width="9.81640625" style="3" customWidth="1"/>
    <col min="6409" max="6656" width="11.453125" style="3" customWidth="1"/>
    <col min="6657" max="6657" width="2.81640625" style="3" customWidth="1"/>
    <col min="6658" max="6658" width="15" style="3" customWidth="1"/>
    <col min="6659" max="6659" width="10.1796875" style="3" customWidth="1"/>
    <col min="6660" max="6660" width="19.81640625" style="3" customWidth="1"/>
    <col min="6661" max="6661" width="18" style="3" customWidth="1"/>
    <col min="6662" max="6662" width="17.81640625" style="3" customWidth="1"/>
    <col min="6663" max="6663" width="13.1796875" style="3" customWidth="1"/>
    <col min="6664" max="6664" width="9.81640625" style="3" customWidth="1"/>
    <col min="6665" max="6912" width="11.453125" style="3" customWidth="1"/>
    <col min="6913" max="6913" width="2.81640625" style="3" customWidth="1"/>
    <col min="6914" max="6914" width="15" style="3" customWidth="1"/>
    <col min="6915" max="6915" width="10.1796875" style="3" customWidth="1"/>
    <col min="6916" max="6916" width="19.81640625" style="3" customWidth="1"/>
    <col min="6917" max="6917" width="18" style="3" customWidth="1"/>
    <col min="6918" max="6918" width="17.81640625" style="3" customWidth="1"/>
    <col min="6919" max="6919" width="13.1796875" style="3" customWidth="1"/>
    <col min="6920" max="6920" width="9.81640625" style="3" customWidth="1"/>
    <col min="6921" max="7168" width="11.453125" style="3" customWidth="1"/>
    <col min="7169" max="7169" width="2.81640625" style="3" customWidth="1"/>
    <col min="7170" max="7170" width="15" style="3" customWidth="1"/>
    <col min="7171" max="7171" width="10.1796875" style="3" customWidth="1"/>
    <col min="7172" max="7172" width="19.81640625" style="3" customWidth="1"/>
    <col min="7173" max="7173" width="18" style="3" customWidth="1"/>
    <col min="7174" max="7174" width="17.81640625" style="3" customWidth="1"/>
    <col min="7175" max="7175" width="13.1796875" style="3" customWidth="1"/>
    <col min="7176" max="7176" width="9.81640625" style="3" customWidth="1"/>
    <col min="7177" max="7424" width="11.453125" style="3" customWidth="1"/>
    <col min="7425" max="7425" width="2.81640625" style="3" customWidth="1"/>
    <col min="7426" max="7426" width="15" style="3" customWidth="1"/>
    <col min="7427" max="7427" width="10.1796875" style="3" customWidth="1"/>
    <col min="7428" max="7428" width="19.81640625" style="3" customWidth="1"/>
    <col min="7429" max="7429" width="18" style="3" customWidth="1"/>
    <col min="7430" max="7430" width="17.81640625" style="3" customWidth="1"/>
    <col min="7431" max="7431" width="13.1796875" style="3" customWidth="1"/>
    <col min="7432" max="7432" width="9.81640625" style="3" customWidth="1"/>
    <col min="7433" max="7680" width="11.453125" style="3" customWidth="1"/>
    <col min="7681" max="7681" width="2.81640625" style="3" customWidth="1"/>
    <col min="7682" max="7682" width="15" style="3" customWidth="1"/>
    <col min="7683" max="7683" width="10.1796875" style="3" customWidth="1"/>
    <col min="7684" max="7684" width="19.81640625" style="3" customWidth="1"/>
    <col min="7685" max="7685" width="18" style="3" customWidth="1"/>
    <col min="7686" max="7686" width="17.81640625" style="3" customWidth="1"/>
    <col min="7687" max="7687" width="13.1796875" style="3" customWidth="1"/>
    <col min="7688" max="7688" width="9.81640625" style="3" customWidth="1"/>
    <col min="7689" max="7936" width="11.453125" style="3" customWidth="1"/>
    <col min="7937" max="7937" width="2.81640625" style="3" customWidth="1"/>
    <col min="7938" max="7938" width="15" style="3" customWidth="1"/>
    <col min="7939" max="7939" width="10.1796875" style="3" customWidth="1"/>
    <col min="7940" max="7940" width="19.81640625" style="3" customWidth="1"/>
    <col min="7941" max="7941" width="18" style="3" customWidth="1"/>
    <col min="7942" max="7942" width="17.81640625" style="3" customWidth="1"/>
    <col min="7943" max="7943" width="13.1796875" style="3" customWidth="1"/>
    <col min="7944" max="7944" width="9.81640625" style="3" customWidth="1"/>
    <col min="7945" max="8192" width="11.453125" style="3" customWidth="1"/>
    <col min="8193" max="8193" width="2.81640625" style="3" customWidth="1"/>
    <col min="8194" max="8194" width="15" style="3" customWidth="1"/>
    <col min="8195" max="8195" width="10.1796875" style="3" customWidth="1"/>
    <col min="8196" max="8196" width="19.81640625" style="3" customWidth="1"/>
    <col min="8197" max="8197" width="18" style="3" customWidth="1"/>
    <col min="8198" max="8198" width="17.81640625" style="3" customWidth="1"/>
    <col min="8199" max="8199" width="13.1796875" style="3" customWidth="1"/>
    <col min="8200" max="8200" width="9.81640625" style="3" customWidth="1"/>
    <col min="8201" max="8448" width="11.453125" style="3" customWidth="1"/>
    <col min="8449" max="8449" width="2.81640625" style="3" customWidth="1"/>
    <col min="8450" max="8450" width="15" style="3" customWidth="1"/>
    <col min="8451" max="8451" width="10.1796875" style="3" customWidth="1"/>
    <col min="8452" max="8452" width="19.81640625" style="3" customWidth="1"/>
    <col min="8453" max="8453" width="18" style="3" customWidth="1"/>
    <col min="8454" max="8454" width="17.81640625" style="3" customWidth="1"/>
    <col min="8455" max="8455" width="13.1796875" style="3" customWidth="1"/>
    <col min="8456" max="8456" width="9.81640625" style="3" customWidth="1"/>
    <col min="8457" max="8704" width="11.453125" style="3" customWidth="1"/>
    <col min="8705" max="8705" width="2.81640625" style="3" customWidth="1"/>
    <col min="8706" max="8706" width="15" style="3" customWidth="1"/>
    <col min="8707" max="8707" width="10.1796875" style="3" customWidth="1"/>
    <col min="8708" max="8708" width="19.81640625" style="3" customWidth="1"/>
    <col min="8709" max="8709" width="18" style="3" customWidth="1"/>
    <col min="8710" max="8710" width="17.81640625" style="3" customWidth="1"/>
    <col min="8711" max="8711" width="13.1796875" style="3" customWidth="1"/>
    <col min="8712" max="8712" width="9.81640625" style="3" customWidth="1"/>
    <col min="8713" max="8960" width="11.453125" style="3" customWidth="1"/>
    <col min="8961" max="8961" width="2.81640625" style="3" customWidth="1"/>
    <col min="8962" max="8962" width="15" style="3" customWidth="1"/>
    <col min="8963" max="8963" width="10.1796875" style="3" customWidth="1"/>
    <col min="8964" max="8964" width="19.81640625" style="3" customWidth="1"/>
    <col min="8965" max="8965" width="18" style="3" customWidth="1"/>
    <col min="8966" max="8966" width="17.81640625" style="3" customWidth="1"/>
    <col min="8967" max="8967" width="13.1796875" style="3" customWidth="1"/>
    <col min="8968" max="8968" width="9.81640625" style="3" customWidth="1"/>
    <col min="8969" max="9216" width="11.453125" style="3" customWidth="1"/>
    <col min="9217" max="9217" width="2.81640625" style="3" customWidth="1"/>
    <col min="9218" max="9218" width="15" style="3" customWidth="1"/>
    <col min="9219" max="9219" width="10.1796875" style="3" customWidth="1"/>
    <col min="9220" max="9220" width="19.81640625" style="3" customWidth="1"/>
    <col min="9221" max="9221" width="18" style="3" customWidth="1"/>
    <col min="9222" max="9222" width="17.81640625" style="3" customWidth="1"/>
    <col min="9223" max="9223" width="13.1796875" style="3" customWidth="1"/>
    <col min="9224" max="9224" width="9.81640625" style="3" customWidth="1"/>
    <col min="9225" max="9472" width="11.453125" style="3" customWidth="1"/>
    <col min="9473" max="9473" width="2.81640625" style="3" customWidth="1"/>
    <col min="9474" max="9474" width="15" style="3" customWidth="1"/>
    <col min="9475" max="9475" width="10.1796875" style="3" customWidth="1"/>
    <col min="9476" max="9476" width="19.81640625" style="3" customWidth="1"/>
    <col min="9477" max="9477" width="18" style="3" customWidth="1"/>
    <col min="9478" max="9478" width="17.81640625" style="3" customWidth="1"/>
    <col min="9479" max="9479" width="13.1796875" style="3" customWidth="1"/>
    <col min="9480" max="9480" width="9.81640625" style="3" customWidth="1"/>
    <col min="9481" max="9728" width="11.453125" style="3" customWidth="1"/>
    <col min="9729" max="9729" width="2.81640625" style="3" customWidth="1"/>
    <col min="9730" max="9730" width="15" style="3" customWidth="1"/>
    <col min="9731" max="9731" width="10.1796875" style="3" customWidth="1"/>
    <col min="9732" max="9732" width="19.81640625" style="3" customWidth="1"/>
    <col min="9733" max="9733" width="18" style="3" customWidth="1"/>
    <col min="9734" max="9734" width="17.81640625" style="3" customWidth="1"/>
    <col min="9735" max="9735" width="13.1796875" style="3" customWidth="1"/>
    <col min="9736" max="9736" width="9.81640625" style="3" customWidth="1"/>
    <col min="9737" max="9984" width="11.453125" style="3" customWidth="1"/>
    <col min="9985" max="9985" width="2.81640625" style="3" customWidth="1"/>
    <col min="9986" max="9986" width="15" style="3" customWidth="1"/>
    <col min="9987" max="9987" width="10.1796875" style="3" customWidth="1"/>
    <col min="9988" max="9988" width="19.81640625" style="3" customWidth="1"/>
    <col min="9989" max="9989" width="18" style="3" customWidth="1"/>
    <col min="9990" max="9990" width="17.81640625" style="3" customWidth="1"/>
    <col min="9991" max="9991" width="13.1796875" style="3" customWidth="1"/>
    <col min="9992" max="9992" width="9.81640625" style="3" customWidth="1"/>
    <col min="9993" max="10240" width="11.453125" style="3" customWidth="1"/>
    <col min="10241" max="10241" width="2.81640625" style="3" customWidth="1"/>
    <col min="10242" max="10242" width="15" style="3" customWidth="1"/>
    <col min="10243" max="10243" width="10.1796875" style="3" customWidth="1"/>
    <col min="10244" max="10244" width="19.81640625" style="3" customWidth="1"/>
    <col min="10245" max="10245" width="18" style="3" customWidth="1"/>
    <col min="10246" max="10246" width="17.81640625" style="3" customWidth="1"/>
    <col min="10247" max="10247" width="13.1796875" style="3" customWidth="1"/>
    <col min="10248" max="10248" width="9.81640625" style="3" customWidth="1"/>
    <col min="10249" max="10496" width="11.453125" style="3" customWidth="1"/>
    <col min="10497" max="10497" width="2.81640625" style="3" customWidth="1"/>
    <col min="10498" max="10498" width="15" style="3" customWidth="1"/>
    <col min="10499" max="10499" width="10.1796875" style="3" customWidth="1"/>
    <col min="10500" max="10500" width="19.81640625" style="3" customWidth="1"/>
    <col min="10501" max="10501" width="18" style="3" customWidth="1"/>
    <col min="10502" max="10502" width="17.81640625" style="3" customWidth="1"/>
    <col min="10503" max="10503" width="13.1796875" style="3" customWidth="1"/>
    <col min="10504" max="10504" width="9.81640625" style="3" customWidth="1"/>
    <col min="10505" max="10752" width="11.453125" style="3" customWidth="1"/>
    <col min="10753" max="10753" width="2.81640625" style="3" customWidth="1"/>
    <col min="10754" max="10754" width="15" style="3" customWidth="1"/>
    <col min="10755" max="10755" width="10.1796875" style="3" customWidth="1"/>
    <col min="10756" max="10756" width="19.81640625" style="3" customWidth="1"/>
    <col min="10757" max="10757" width="18" style="3" customWidth="1"/>
    <col min="10758" max="10758" width="17.81640625" style="3" customWidth="1"/>
    <col min="10759" max="10759" width="13.1796875" style="3" customWidth="1"/>
    <col min="10760" max="10760" width="9.81640625" style="3" customWidth="1"/>
    <col min="10761" max="11008" width="11.453125" style="3" customWidth="1"/>
    <col min="11009" max="11009" width="2.81640625" style="3" customWidth="1"/>
    <col min="11010" max="11010" width="15" style="3" customWidth="1"/>
    <col min="11011" max="11011" width="10.1796875" style="3" customWidth="1"/>
    <col min="11012" max="11012" width="19.81640625" style="3" customWidth="1"/>
    <col min="11013" max="11013" width="18" style="3" customWidth="1"/>
    <col min="11014" max="11014" width="17.81640625" style="3" customWidth="1"/>
    <col min="11015" max="11015" width="13.1796875" style="3" customWidth="1"/>
    <col min="11016" max="11016" width="9.81640625" style="3" customWidth="1"/>
    <col min="11017" max="11264" width="11.453125" style="3" customWidth="1"/>
    <col min="11265" max="11265" width="2.81640625" style="3" customWidth="1"/>
    <col min="11266" max="11266" width="15" style="3" customWidth="1"/>
    <col min="11267" max="11267" width="10.1796875" style="3" customWidth="1"/>
    <col min="11268" max="11268" width="19.81640625" style="3" customWidth="1"/>
    <col min="11269" max="11269" width="18" style="3" customWidth="1"/>
    <col min="11270" max="11270" width="17.81640625" style="3" customWidth="1"/>
    <col min="11271" max="11271" width="13.1796875" style="3" customWidth="1"/>
    <col min="11272" max="11272" width="9.81640625" style="3" customWidth="1"/>
    <col min="11273" max="11520" width="11.453125" style="3" customWidth="1"/>
    <col min="11521" max="11521" width="2.81640625" style="3" customWidth="1"/>
    <col min="11522" max="11522" width="15" style="3" customWidth="1"/>
    <col min="11523" max="11523" width="10.1796875" style="3" customWidth="1"/>
    <col min="11524" max="11524" width="19.81640625" style="3" customWidth="1"/>
    <col min="11525" max="11525" width="18" style="3" customWidth="1"/>
    <col min="11526" max="11526" width="17.81640625" style="3" customWidth="1"/>
    <col min="11527" max="11527" width="13.1796875" style="3" customWidth="1"/>
    <col min="11528" max="11528" width="9.81640625" style="3" customWidth="1"/>
    <col min="11529" max="11776" width="11.453125" style="3" customWidth="1"/>
    <col min="11777" max="11777" width="2.81640625" style="3" customWidth="1"/>
    <col min="11778" max="11778" width="15" style="3" customWidth="1"/>
    <col min="11779" max="11779" width="10.1796875" style="3" customWidth="1"/>
    <col min="11780" max="11780" width="19.81640625" style="3" customWidth="1"/>
    <col min="11781" max="11781" width="18" style="3" customWidth="1"/>
    <col min="11782" max="11782" width="17.81640625" style="3" customWidth="1"/>
    <col min="11783" max="11783" width="13.1796875" style="3" customWidth="1"/>
    <col min="11784" max="11784" width="9.81640625" style="3" customWidth="1"/>
    <col min="11785" max="12032" width="11.453125" style="3" customWidth="1"/>
    <col min="12033" max="12033" width="2.81640625" style="3" customWidth="1"/>
    <col min="12034" max="12034" width="15" style="3" customWidth="1"/>
    <col min="12035" max="12035" width="10.1796875" style="3" customWidth="1"/>
    <col min="12036" max="12036" width="19.81640625" style="3" customWidth="1"/>
    <col min="12037" max="12037" width="18" style="3" customWidth="1"/>
    <col min="12038" max="12038" width="17.81640625" style="3" customWidth="1"/>
    <col min="12039" max="12039" width="13.1796875" style="3" customWidth="1"/>
    <col min="12040" max="12040" width="9.81640625" style="3" customWidth="1"/>
    <col min="12041" max="12288" width="11.453125" style="3" customWidth="1"/>
    <col min="12289" max="12289" width="2.81640625" style="3" customWidth="1"/>
    <col min="12290" max="12290" width="15" style="3" customWidth="1"/>
    <col min="12291" max="12291" width="10.1796875" style="3" customWidth="1"/>
    <col min="12292" max="12292" width="19.81640625" style="3" customWidth="1"/>
    <col min="12293" max="12293" width="18" style="3" customWidth="1"/>
    <col min="12294" max="12294" width="17.81640625" style="3" customWidth="1"/>
    <col min="12295" max="12295" width="13.1796875" style="3" customWidth="1"/>
    <col min="12296" max="12296" width="9.81640625" style="3" customWidth="1"/>
    <col min="12297" max="12544" width="11.453125" style="3" customWidth="1"/>
    <col min="12545" max="12545" width="2.81640625" style="3" customWidth="1"/>
    <col min="12546" max="12546" width="15" style="3" customWidth="1"/>
    <col min="12547" max="12547" width="10.1796875" style="3" customWidth="1"/>
    <col min="12548" max="12548" width="19.81640625" style="3" customWidth="1"/>
    <col min="12549" max="12549" width="18" style="3" customWidth="1"/>
    <col min="12550" max="12550" width="17.81640625" style="3" customWidth="1"/>
    <col min="12551" max="12551" width="13.1796875" style="3" customWidth="1"/>
    <col min="12552" max="12552" width="9.81640625" style="3" customWidth="1"/>
    <col min="12553" max="12800" width="11.453125" style="3" customWidth="1"/>
    <col min="12801" max="12801" width="2.81640625" style="3" customWidth="1"/>
    <col min="12802" max="12802" width="15" style="3" customWidth="1"/>
    <col min="12803" max="12803" width="10.1796875" style="3" customWidth="1"/>
    <col min="12804" max="12804" width="19.81640625" style="3" customWidth="1"/>
    <col min="12805" max="12805" width="18" style="3" customWidth="1"/>
    <col min="12806" max="12806" width="17.81640625" style="3" customWidth="1"/>
    <col min="12807" max="12807" width="13.1796875" style="3" customWidth="1"/>
    <col min="12808" max="12808" width="9.81640625" style="3" customWidth="1"/>
    <col min="12809" max="13056" width="11.453125" style="3" customWidth="1"/>
    <col min="13057" max="13057" width="2.81640625" style="3" customWidth="1"/>
    <col min="13058" max="13058" width="15" style="3" customWidth="1"/>
    <col min="13059" max="13059" width="10.1796875" style="3" customWidth="1"/>
    <col min="13060" max="13060" width="19.81640625" style="3" customWidth="1"/>
    <col min="13061" max="13061" width="18" style="3" customWidth="1"/>
    <col min="13062" max="13062" width="17.81640625" style="3" customWidth="1"/>
    <col min="13063" max="13063" width="13.1796875" style="3" customWidth="1"/>
    <col min="13064" max="13064" width="9.81640625" style="3" customWidth="1"/>
    <col min="13065" max="13312" width="11.453125" style="3" customWidth="1"/>
    <col min="13313" max="13313" width="2.81640625" style="3" customWidth="1"/>
    <col min="13314" max="13314" width="15" style="3" customWidth="1"/>
    <col min="13315" max="13315" width="10.1796875" style="3" customWidth="1"/>
    <col min="13316" max="13316" width="19.81640625" style="3" customWidth="1"/>
    <col min="13317" max="13317" width="18" style="3" customWidth="1"/>
    <col min="13318" max="13318" width="17.81640625" style="3" customWidth="1"/>
    <col min="13319" max="13319" width="13.1796875" style="3" customWidth="1"/>
    <col min="13320" max="13320" width="9.81640625" style="3" customWidth="1"/>
    <col min="13321" max="13568" width="11.453125" style="3" customWidth="1"/>
    <col min="13569" max="13569" width="2.81640625" style="3" customWidth="1"/>
    <col min="13570" max="13570" width="15" style="3" customWidth="1"/>
    <col min="13571" max="13571" width="10.1796875" style="3" customWidth="1"/>
    <col min="13572" max="13572" width="19.81640625" style="3" customWidth="1"/>
    <col min="13573" max="13573" width="18" style="3" customWidth="1"/>
    <col min="13574" max="13574" width="17.81640625" style="3" customWidth="1"/>
    <col min="13575" max="13575" width="13.1796875" style="3" customWidth="1"/>
    <col min="13576" max="13576" width="9.81640625" style="3" customWidth="1"/>
    <col min="13577" max="13824" width="11.453125" style="3" customWidth="1"/>
    <col min="13825" max="13825" width="2.81640625" style="3" customWidth="1"/>
    <col min="13826" max="13826" width="15" style="3" customWidth="1"/>
    <col min="13827" max="13827" width="10.1796875" style="3" customWidth="1"/>
    <col min="13828" max="13828" width="19.81640625" style="3" customWidth="1"/>
    <col min="13829" max="13829" width="18" style="3" customWidth="1"/>
    <col min="13830" max="13830" width="17.81640625" style="3" customWidth="1"/>
    <col min="13831" max="13831" width="13.1796875" style="3" customWidth="1"/>
    <col min="13832" max="13832" width="9.81640625" style="3" customWidth="1"/>
    <col min="13833" max="14080" width="11.453125" style="3" customWidth="1"/>
    <col min="14081" max="14081" width="2.81640625" style="3" customWidth="1"/>
    <col min="14082" max="14082" width="15" style="3" customWidth="1"/>
    <col min="14083" max="14083" width="10.1796875" style="3" customWidth="1"/>
    <col min="14084" max="14084" width="19.81640625" style="3" customWidth="1"/>
    <col min="14085" max="14085" width="18" style="3" customWidth="1"/>
    <col min="14086" max="14086" width="17.81640625" style="3" customWidth="1"/>
    <col min="14087" max="14087" width="13.1796875" style="3" customWidth="1"/>
    <col min="14088" max="14088" width="9.81640625" style="3" customWidth="1"/>
    <col min="14089" max="14336" width="11.453125" style="3" customWidth="1"/>
    <col min="14337" max="14337" width="2.81640625" style="3" customWidth="1"/>
    <col min="14338" max="14338" width="15" style="3" customWidth="1"/>
    <col min="14339" max="14339" width="10.1796875" style="3" customWidth="1"/>
    <col min="14340" max="14340" width="19.81640625" style="3" customWidth="1"/>
    <col min="14341" max="14341" width="18" style="3" customWidth="1"/>
    <col min="14342" max="14342" width="17.81640625" style="3" customWidth="1"/>
    <col min="14343" max="14343" width="13.1796875" style="3" customWidth="1"/>
    <col min="14344" max="14344" width="9.81640625" style="3" customWidth="1"/>
    <col min="14345" max="14592" width="11.453125" style="3" customWidth="1"/>
    <col min="14593" max="14593" width="2.81640625" style="3" customWidth="1"/>
    <col min="14594" max="14594" width="15" style="3" customWidth="1"/>
    <col min="14595" max="14595" width="10.1796875" style="3" customWidth="1"/>
    <col min="14596" max="14596" width="19.81640625" style="3" customWidth="1"/>
    <col min="14597" max="14597" width="18" style="3" customWidth="1"/>
    <col min="14598" max="14598" width="17.81640625" style="3" customWidth="1"/>
    <col min="14599" max="14599" width="13.1796875" style="3" customWidth="1"/>
    <col min="14600" max="14600" width="9.81640625" style="3" customWidth="1"/>
    <col min="14601" max="14848" width="11.453125" style="3" customWidth="1"/>
    <col min="14849" max="14849" width="2.81640625" style="3" customWidth="1"/>
    <col min="14850" max="14850" width="15" style="3" customWidth="1"/>
    <col min="14851" max="14851" width="10.1796875" style="3" customWidth="1"/>
    <col min="14852" max="14852" width="19.81640625" style="3" customWidth="1"/>
    <col min="14853" max="14853" width="18" style="3" customWidth="1"/>
    <col min="14854" max="14854" width="17.81640625" style="3" customWidth="1"/>
    <col min="14855" max="14855" width="13.1796875" style="3" customWidth="1"/>
    <col min="14856" max="14856" width="9.81640625" style="3" customWidth="1"/>
    <col min="14857" max="15104" width="11.453125" style="3" customWidth="1"/>
    <col min="15105" max="15105" width="2.81640625" style="3" customWidth="1"/>
    <col min="15106" max="15106" width="15" style="3" customWidth="1"/>
    <col min="15107" max="15107" width="10.1796875" style="3" customWidth="1"/>
    <col min="15108" max="15108" width="19.81640625" style="3" customWidth="1"/>
    <col min="15109" max="15109" width="18" style="3" customWidth="1"/>
    <col min="15110" max="15110" width="17.81640625" style="3" customWidth="1"/>
    <col min="15111" max="15111" width="13.1796875" style="3" customWidth="1"/>
    <col min="15112" max="15112" width="9.81640625" style="3" customWidth="1"/>
    <col min="15113" max="15360" width="11.453125" style="3" customWidth="1"/>
    <col min="15361" max="15361" width="2.81640625" style="3" customWidth="1"/>
    <col min="15362" max="15362" width="15" style="3" customWidth="1"/>
    <col min="15363" max="15363" width="10.1796875" style="3" customWidth="1"/>
    <col min="15364" max="15364" width="19.81640625" style="3" customWidth="1"/>
    <col min="15365" max="15365" width="18" style="3" customWidth="1"/>
    <col min="15366" max="15366" width="17.81640625" style="3" customWidth="1"/>
    <col min="15367" max="15367" width="13.1796875" style="3" customWidth="1"/>
    <col min="15368" max="15368" width="9.81640625" style="3" customWidth="1"/>
    <col min="15369" max="15616" width="11.453125" style="3" customWidth="1"/>
    <col min="15617" max="15617" width="2.81640625" style="3" customWidth="1"/>
    <col min="15618" max="15618" width="15" style="3" customWidth="1"/>
    <col min="15619" max="15619" width="10.1796875" style="3" customWidth="1"/>
    <col min="15620" max="15620" width="19.81640625" style="3" customWidth="1"/>
    <col min="15621" max="15621" width="18" style="3" customWidth="1"/>
    <col min="15622" max="15622" width="17.81640625" style="3" customWidth="1"/>
    <col min="15623" max="15623" width="13.1796875" style="3" customWidth="1"/>
    <col min="15624" max="15624" width="9.81640625" style="3" customWidth="1"/>
    <col min="15625" max="15872" width="11.453125" style="3" customWidth="1"/>
    <col min="15873" max="15873" width="2.81640625" style="3" customWidth="1"/>
    <col min="15874" max="15874" width="15" style="3" customWidth="1"/>
    <col min="15875" max="15875" width="10.1796875" style="3" customWidth="1"/>
    <col min="15876" max="15876" width="19.81640625" style="3" customWidth="1"/>
    <col min="15877" max="15877" width="18" style="3" customWidth="1"/>
    <col min="15878" max="15878" width="17.81640625" style="3" customWidth="1"/>
    <col min="15879" max="15879" width="13.1796875" style="3" customWidth="1"/>
    <col min="15880" max="15880" width="9.81640625" style="3" customWidth="1"/>
    <col min="15881" max="16128" width="11.453125" style="3" customWidth="1"/>
    <col min="16129" max="16129" width="2.81640625" style="3" customWidth="1"/>
    <col min="16130" max="16130" width="15" style="3" customWidth="1"/>
    <col min="16131" max="16131" width="10.1796875" style="3" customWidth="1"/>
    <col min="16132" max="16132" width="19.81640625" style="3" customWidth="1"/>
    <col min="16133" max="16133" width="18" style="3" customWidth="1"/>
    <col min="16134" max="16134" width="17.81640625" style="3" customWidth="1"/>
    <col min="16135" max="16135" width="13.1796875" style="3" customWidth="1"/>
    <col min="16136" max="16136" width="9.81640625" style="3" customWidth="1"/>
    <col min="16137" max="16384" width="11.453125" style="3" customWidth="1"/>
  </cols>
  <sheetData>
    <row r="1" spans="1:18">
      <c r="A1" s="134"/>
      <c r="B1" s="135"/>
      <c r="C1" s="84"/>
      <c r="D1" s="83"/>
      <c r="E1" s="83"/>
      <c r="F1" s="83"/>
      <c r="G1" s="83"/>
      <c r="H1" s="83"/>
    </row>
    <row r="2" spans="1:18" ht="18">
      <c r="B2" s="687" t="s">
        <v>274</v>
      </c>
      <c r="C2" s="687"/>
      <c r="D2" s="688" t="str">
        <f>UPPER(REPORTS!$AB$2)</f>
        <v>ALTERED FLOW</v>
      </c>
      <c r="E2" s="688"/>
      <c r="F2" s="688"/>
      <c r="G2" s="688"/>
      <c r="H2" s="688"/>
      <c r="I2" s="688"/>
      <c r="J2" s="688"/>
      <c r="K2" s="688"/>
      <c r="L2" s="688"/>
      <c r="M2" s="136"/>
      <c r="N2" s="136"/>
      <c r="O2" s="136"/>
      <c r="P2" s="136"/>
      <c r="Q2" s="136"/>
      <c r="R2" s="136"/>
    </row>
    <row r="3" spans="1:18" ht="18">
      <c r="B3" s="687" t="s">
        <v>364</v>
      </c>
      <c r="C3" s="687"/>
      <c r="D3" s="689" t="s">
        <v>354</v>
      </c>
      <c r="E3" s="688"/>
      <c r="F3" s="688"/>
      <c r="G3" s="688"/>
      <c r="H3" s="688"/>
      <c r="I3" s="688"/>
      <c r="J3" s="688"/>
      <c r="K3" s="688"/>
      <c r="L3" s="688"/>
      <c r="M3" s="136"/>
      <c r="N3" s="136"/>
      <c r="O3" s="136"/>
      <c r="P3" s="136"/>
      <c r="Q3" s="136"/>
      <c r="R3" s="136"/>
    </row>
    <row r="5" spans="1:18" ht="15.75" customHeight="1">
      <c r="B5" s="556" t="s">
        <v>1</v>
      </c>
      <c r="C5" s="556"/>
      <c r="D5" s="556"/>
      <c r="E5" s="484" t="str">
        <f>REPORTS!E7</f>
        <v>Natural Flow (Nat_F)</v>
      </c>
      <c r="F5" s="489"/>
      <c r="G5" s="489"/>
      <c r="H5" s="489"/>
      <c r="I5" s="489"/>
      <c r="J5" s="95"/>
      <c r="K5" s="95"/>
      <c r="L5" s="95"/>
      <c r="M5" s="95"/>
      <c r="N5" s="95"/>
      <c r="O5" s="95"/>
      <c r="P5" s="95"/>
      <c r="Q5" s="95"/>
      <c r="R5" s="95"/>
    </row>
    <row r="6" spans="1:18" ht="15.75" customHeight="1">
      <c r="B6" s="556" t="s">
        <v>2</v>
      </c>
      <c r="C6" s="556"/>
      <c r="D6" s="556"/>
      <c r="E6" s="484" t="str">
        <f>REPORTS!E8</f>
        <v>Altered Flow (Alt_F)</v>
      </c>
      <c r="F6" s="489"/>
      <c r="G6" s="489"/>
      <c r="H6" s="489"/>
      <c r="I6" s="489"/>
      <c r="J6" s="95"/>
      <c r="K6" s="95"/>
      <c r="L6" s="95"/>
      <c r="M6" s="95"/>
      <c r="N6" s="95"/>
      <c r="O6" s="95"/>
      <c r="P6" s="95"/>
      <c r="Q6" s="95"/>
      <c r="R6" s="95"/>
    </row>
    <row r="7" spans="1:18" ht="13">
      <c r="B7" s="556" t="s">
        <v>3</v>
      </c>
      <c r="C7" s="556"/>
      <c r="D7" s="556"/>
      <c r="E7" s="484" t="s">
        <v>4</v>
      </c>
      <c r="F7" s="489"/>
      <c r="G7" s="489"/>
      <c r="H7" s="489"/>
      <c r="I7" s="489"/>
      <c r="J7" s="95"/>
      <c r="K7" s="95"/>
      <c r="L7" s="95"/>
      <c r="M7" s="95"/>
      <c r="N7" s="95"/>
      <c r="O7" s="95"/>
      <c r="P7" s="95"/>
      <c r="Q7" s="95"/>
      <c r="R7" s="95"/>
    </row>
    <row r="8" spans="1:18" ht="13">
      <c r="B8" s="482"/>
      <c r="C8" s="482"/>
      <c r="D8" s="482"/>
      <c r="E8" s="477"/>
      <c r="F8" s="484"/>
      <c r="G8" s="484"/>
      <c r="H8" s="484"/>
      <c r="I8" s="484"/>
      <c r="J8" s="95"/>
      <c r="K8" s="95"/>
      <c r="L8" s="95"/>
      <c r="M8" s="95"/>
      <c r="N8" s="95"/>
      <c r="O8" s="95"/>
      <c r="P8" s="95"/>
      <c r="Q8" s="95"/>
      <c r="R8" s="95"/>
    </row>
    <row r="9" spans="1:18" ht="13">
      <c r="B9" s="482"/>
      <c r="C9" s="482"/>
      <c r="D9" s="482"/>
      <c r="E9" s="484"/>
      <c r="F9" s="484"/>
      <c r="G9" s="484"/>
      <c r="H9" s="484"/>
      <c r="I9" s="484"/>
      <c r="J9" s="95"/>
      <c r="K9" s="95"/>
      <c r="L9" s="95"/>
      <c r="M9" s="95"/>
      <c r="N9" s="95"/>
      <c r="O9" s="95"/>
      <c r="P9" s="95"/>
      <c r="Q9" s="95"/>
      <c r="R9" s="95"/>
    </row>
    <row r="12" spans="1:18" ht="18">
      <c r="B12" s="798" t="s">
        <v>156</v>
      </c>
      <c r="C12" s="798"/>
      <c r="D12" s="798"/>
      <c r="E12" s="798"/>
      <c r="F12" s="798"/>
      <c r="G12" s="798"/>
      <c r="H12" s="798"/>
    </row>
    <row r="13" spans="1:18" ht="14">
      <c r="J13" s="794" t="s">
        <v>355</v>
      </c>
      <c r="K13" s="794"/>
      <c r="L13" s="794"/>
    </row>
    <row r="14" spans="1:18" ht="15.5">
      <c r="C14" s="17"/>
      <c r="D14" s="793" t="s">
        <v>356</v>
      </c>
      <c r="E14" s="793"/>
      <c r="F14" s="793"/>
      <c r="J14" s="794" t="s">
        <v>357</v>
      </c>
      <c r="K14" s="794"/>
      <c r="L14" s="794"/>
    </row>
    <row r="16" spans="1:18">
      <c r="D16" s="137" t="s">
        <v>358</v>
      </c>
      <c r="E16" s="138" t="s">
        <v>359</v>
      </c>
      <c r="F16" s="139" t="s">
        <v>360</v>
      </c>
      <c r="G16" s="140"/>
      <c r="J16" s="795" t="s">
        <v>361</v>
      </c>
      <c r="K16" s="138" t="s">
        <v>359</v>
      </c>
      <c r="L16" s="139" t="s">
        <v>360</v>
      </c>
    </row>
    <row r="17" spans="4:20">
      <c r="D17" s="141" t="s">
        <v>362</v>
      </c>
      <c r="E17" s="142" t="s">
        <v>363</v>
      </c>
      <c r="F17" s="143" t="str">
        <f>UPPER(REPORTS!$AA$2)</f>
        <v>ALT_F</v>
      </c>
      <c r="G17" s="140"/>
      <c r="J17" s="796"/>
      <c r="K17" s="142" t="s">
        <v>363</v>
      </c>
      <c r="L17" s="143" t="str">
        <f>UPPER(REPORTS!$AA$2)</f>
        <v>ALT_F</v>
      </c>
    </row>
    <row r="18" spans="4:20" ht="13">
      <c r="D18" s="144">
        <f>366*(E18/100)</f>
        <v>1.83</v>
      </c>
      <c r="E18" s="145">
        <v>0.5</v>
      </c>
      <c r="F18" s="160">
        <f>_xlfn.PERCENTILE.EXC(L$18:L$382,(1-(E18/100)))</f>
        <v>6.7730229187011766</v>
      </c>
      <c r="G18" s="147"/>
      <c r="J18" s="148">
        <v>1</v>
      </c>
      <c r="K18" s="149">
        <f>(J18/366)*100</f>
        <v>0.27322404371584702</v>
      </c>
      <c r="L18" s="160">
        <v>7.0158576965332031</v>
      </c>
    </row>
    <row r="19" spans="4:20" ht="13">
      <c r="D19" s="150">
        <f>366*(E19/100)</f>
        <v>3.66</v>
      </c>
      <c r="E19" s="151">
        <v>1</v>
      </c>
      <c r="F19" s="161">
        <f>_xlfn.PERCENTILE.EXC(L$18:L$382,(1-E19/100))</f>
        <v>6.4699947738647419</v>
      </c>
      <c r="G19" s="147"/>
      <c r="J19" s="153">
        <v>2</v>
      </c>
      <c r="K19" s="154">
        <f>(J19/366)*100</f>
        <v>0.54644808743169404</v>
      </c>
      <c r="L19" s="161">
        <v>6.7232856750488281</v>
      </c>
    </row>
    <row r="20" spans="4:20" ht="13">
      <c r="D20" s="150">
        <f t="shared" ref="D20:D39" si="0">366*(E20/100)</f>
        <v>18.3</v>
      </c>
      <c r="E20" s="151">
        <v>5</v>
      </c>
      <c r="F20" s="161">
        <f>_xlfn.PERCENTILE.EXC(L$18:L$382,(1-E20/100))</f>
        <v>5.2555333137512203</v>
      </c>
      <c r="G20" s="147"/>
      <c r="J20" s="153">
        <v>3</v>
      </c>
      <c r="K20" s="154">
        <f t="shared" ref="K20:K83" si="1">(J20/366)*100</f>
        <v>0.81967213114754101</v>
      </c>
      <c r="L20" s="161">
        <v>6.5810952186584473</v>
      </c>
    </row>
    <row r="21" spans="4:20" ht="13">
      <c r="D21" s="150">
        <f t="shared" si="0"/>
        <v>36.6</v>
      </c>
      <c r="E21" s="151">
        <v>10</v>
      </c>
      <c r="F21" s="161">
        <f t="shared" ref="F21:F40" si="2">_xlfn.PERCENTILE.EXC(L$18:L$382,(1-E21/100))</f>
        <v>4.5649522781372083</v>
      </c>
      <c r="G21" s="147"/>
      <c r="J21" s="153">
        <v>4</v>
      </c>
      <c r="K21" s="154">
        <f t="shared" si="1"/>
        <v>1.0928961748633881</v>
      </c>
      <c r="L21" s="161">
        <v>6.4127612113952637</v>
      </c>
    </row>
    <row r="22" spans="4:20" ht="13">
      <c r="D22" s="150">
        <f t="shared" si="0"/>
        <v>54.9</v>
      </c>
      <c r="E22" s="151">
        <v>15</v>
      </c>
      <c r="F22" s="161">
        <f t="shared" si="2"/>
        <v>3.9982052087783804</v>
      </c>
      <c r="G22" s="147"/>
      <c r="J22" s="153">
        <v>5</v>
      </c>
      <c r="K22" s="154">
        <f t="shared" si="1"/>
        <v>1.3661202185792349</v>
      </c>
      <c r="L22" s="161">
        <v>6.2649040222167969</v>
      </c>
    </row>
    <row r="23" spans="4:20" ht="14">
      <c r="D23" s="150">
        <f t="shared" si="0"/>
        <v>73.2</v>
      </c>
      <c r="E23" s="151">
        <v>20</v>
      </c>
      <c r="F23" s="161">
        <f t="shared" si="2"/>
        <v>3.415447330474854</v>
      </c>
      <c r="G23" s="147"/>
      <c r="J23" s="153">
        <v>6</v>
      </c>
      <c r="K23" s="154">
        <f t="shared" si="1"/>
        <v>1.639344262295082</v>
      </c>
      <c r="L23" s="161">
        <v>6.1413335800170898</v>
      </c>
      <c r="Q23" s="93"/>
      <c r="R23" s="93"/>
      <c r="S23" s="93"/>
      <c r="T23" s="93"/>
    </row>
    <row r="24" spans="4:20" ht="14">
      <c r="D24" s="150">
        <f t="shared" si="0"/>
        <v>91.5</v>
      </c>
      <c r="E24" s="151">
        <v>25</v>
      </c>
      <c r="F24" s="161">
        <f t="shared" si="2"/>
        <v>2.9222614765167236</v>
      </c>
      <c r="G24" s="147"/>
      <c r="J24" s="153">
        <v>7</v>
      </c>
      <c r="K24" s="154">
        <f t="shared" si="1"/>
        <v>1.9125683060109291</v>
      </c>
      <c r="L24" s="161">
        <v>6.0595235824584961</v>
      </c>
      <c r="Q24" s="13"/>
      <c r="R24" s="13"/>
      <c r="S24" s="13"/>
      <c r="T24" s="13"/>
    </row>
    <row r="25" spans="4:20" ht="13">
      <c r="D25" s="150">
        <f t="shared" si="0"/>
        <v>109.8</v>
      </c>
      <c r="E25" s="151">
        <v>30</v>
      </c>
      <c r="F25" s="161">
        <f t="shared" si="2"/>
        <v>2.4889334201812741</v>
      </c>
      <c r="G25" s="147"/>
      <c r="J25" s="153">
        <v>8</v>
      </c>
      <c r="K25" s="154">
        <f t="shared" si="1"/>
        <v>2.1857923497267762</v>
      </c>
      <c r="L25" s="161">
        <v>5.9428572654724121</v>
      </c>
    </row>
    <row r="26" spans="4:20" ht="13">
      <c r="D26" s="150">
        <f t="shared" si="0"/>
        <v>128.1</v>
      </c>
      <c r="E26" s="151">
        <v>35</v>
      </c>
      <c r="F26" s="161">
        <f t="shared" si="2"/>
        <v>2.1204906463623048</v>
      </c>
      <c r="G26" s="147"/>
      <c r="J26" s="153">
        <v>9</v>
      </c>
      <c r="K26" s="154">
        <f t="shared" si="1"/>
        <v>2.459016393442623</v>
      </c>
      <c r="L26" s="161">
        <v>5.8819046020507813</v>
      </c>
    </row>
    <row r="27" spans="4:20" ht="13">
      <c r="D27" s="150">
        <f t="shared" si="0"/>
        <v>146.4</v>
      </c>
      <c r="E27" s="151">
        <v>40</v>
      </c>
      <c r="F27" s="161">
        <f t="shared" si="2"/>
        <v>1.8078953504562376</v>
      </c>
      <c r="G27" s="147"/>
      <c r="J27" s="153">
        <v>10</v>
      </c>
      <c r="K27" s="154">
        <f t="shared" si="1"/>
        <v>2.7322404371584699</v>
      </c>
      <c r="L27" s="161">
        <v>5.8059520721435547</v>
      </c>
    </row>
    <row r="28" spans="4:20" ht="13">
      <c r="D28" s="150">
        <f t="shared" si="0"/>
        <v>164.70000000000002</v>
      </c>
      <c r="E28" s="151">
        <v>45</v>
      </c>
      <c r="F28" s="161">
        <f t="shared" si="2"/>
        <v>1.4833919644355775</v>
      </c>
      <c r="G28" s="147"/>
      <c r="J28" s="153">
        <v>11</v>
      </c>
      <c r="K28" s="154">
        <f t="shared" si="1"/>
        <v>3.0054644808743167</v>
      </c>
      <c r="L28" s="161">
        <v>5.7172374725341797</v>
      </c>
    </row>
    <row r="29" spans="4:20" ht="13">
      <c r="D29" s="150">
        <f t="shared" si="0"/>
        <v>183</v>
      </c>
      <c r="E29" s="151">
        <v>50</v>
      </c>
      <c r="F29" s="161">
        <f t="shared" si="2"/>
        <v>1.165357232093811</v>
      </c>
      <c r="G29" s="147"/>
      <c r="J29" s="153">
        <v>12</v>
      </c>
      <c r="K29" s="154">
        <f t="shared" si="1"/>
        <v>3.278688524590164</v>
      </c>
      <c r="L29" s="161">
        <v>5.648714542388916</v>
      </c>
    </row>
    <row r="30" spans="4:20" ht="13">
      <c r="D30" s="150">
        <f t="shared" si="0"/>
        <v>201.3</v>
      </c>
      <c r="E30" s="151">
        <v>55</v>
      </c>
      <c r="F30" s="161">
        <f t="shared" si="2"/>
        <v>0.77912665605545006</v>
      </c>
      <c r="G30" s="147"/>
      <c r="J30" s="153">
        <v>13</v>
      </c>
      <c r="K30" s="154">
        <f t="shared" si="1"/>
        <v>3.5519125683060109</v>
      </c>
      <c r="L30" s="161">
        <v>5.5853333473205566</v>
      </c>
    </row>
    <row r="31" spans="4:20" ht="13">
      <c r="D31" s="150">
        <f t="shared" si="0"/>
        <v>219.6</v>
      </c>
      <c r="E31" s="151">
        <v>60</v>
      </c>
      <c r="F31" s="161">
        <f t="shared" si="2"/>
        <v>0.44463809728622444</v>
      </c>
      <c r="G31" s="147"/>
      <c r="J31" s="153">
        <v>14</v>
      </c>
      <c r="K31" s="154">
        <f t="shared" si="1"/>
        <v>3.8251366120218582</v>
      </c>
      <c r="L31" s="161">
        <v>5.5156192779541016</v>
      </c>
    </row>
    <row r="32" spans="4:20" ht="13">
      <c r="D32" s="150">
        <f t="shared" si="0"/>
        <v>237.9</v>
      </c>
      <c r="E32" s="151">
        <v>65</v>
      </c>
      <c r="F32" s="161">
        <f t="shared" si="2"/>
        <v>0.26924380064010617</v>
      </c>
      <c r="G32" s="147"/>
      <c r="J32" s="153">
        <v>15</v>
      </c>
      <c r="K32" s="154">
        <f t="shared" si="1"/>
        <v>4.0983606557377046</v>
      </c>
      <c r="L32" s="161">
        <v>5.4606194496154785</v>
      </c>
    </row>
    <row r="33" spans="3:12" ht="13">
      <c r="D33" s="150">
        <f t="shared" si="0"/>
        <v>256.2</v>
      </c>
      <c r="E33" s="151">
        <v>70</v>
      </c>
      <c r="F33" s="161">
        <f t="shared" si="2"/>
        <v>0.17793836593627935</v>
      </c>
      <c r="G33" s="147"/>
      <c r="J33" s="153">
        <v>16</v>
      </c>
      <c r="K33" s="154">
        <f t="shared" si="1"/>
        <v>4.3715846994535523</v>
      </c>
      <c r="L33" s="161">
        <v>5.3839998245239258</v>
      </c>
    </row>
    <row r="34" spans="3:12" ht="13">
      <c r="D34" s="150">
        <f t="shared" si="0"/>
        <v>274.5</v>
      </c>
      <c r="E34" s="151">
        <v>75</v>
      </c>
      <c r="F34" s="161">
        <f t="shared" si="2"/>
        <v>0.12717024981975555</v>
      </c>
      <c r="G34" s="147"/>
      <c r="J34" s="153">
        <v>17</v>
      </c>
      <c r="K34" s="154">
        <f t="shared" si="1"/>
        <v>4.6448087431693992</v>
      </c>
      <c r="L34" s="161">
        <v>5.308286190032959</v>
      </c>
    </row>
    <row r="35" spans="3:12" ht="13">
      <c r="D35" s="150">
        <f t="shared" si="0"/>
        <v>292.8</v>
      </c>
      <c r="E35" s="151">
        <v>80</v>
      </c>
      <c r="F35" s="161">
        <f t="shared" si="2"/>
        <v>9.9078476428985582E-2</v>
      </c>
      <c r="G35" s="147"/>
      <c r="J35" s="153">
        <v>18</v>
      </c>
      <c r="K35" s="154">
        <f t="shared" si="1"/>
        <v>4.918032786885246</v>
      </c>
      <c r="L35" s="161">
        <v>5.2676191329956055</v>
      </c>
    </row>
    <row r="36" spans="3:12" ht="13">
      <c r="D36" s="150">
        <f t="shared" si="0"/>
        <v>311.09999999999997</v>
      </c>
      <c r="E36" s="151">
        <v>85</v>
      </c>
      <c r="F36" s="161">
        <f t="shared" si="2"/>
        <v>8.174913451075555E-2</v>
      </c>
      <c r="G36" s="147"/>
      <c r="J36" s="153">
        <v>19</v>
      </c>
      <c r="K36" s="154">
        <f t="shared" si="1"/>
        <v>5.1912568306010929</v>
      </c>
      <c r="L36" s="161">
        <v>5.2273330688476563</v>
      </c>
    </row>
    <row r="37" spans="3:12" ht="13">
      <c r="D37" s="150">
        <f t="shared" si="0"/>
        <v>329.40000000000003</v>
      </c>
      <c r="E37" s="151">
        <v>90</v>
      </c>
      <c r="F37" s="161">
        <f t="shared" si="2"/>
        <v>7.0125046372413624E-2</v>
      </c>
      <c r="G37" s="147"/>
      <c r="J37" s="153">
        <v>20</v>
      </c>
      <c r="K37" s="154">
        <f t="shared" si="1"/>
        <v>5.4644808743169397</v>
      </c>
      <c r="L37" s="161">
        <v>5.189666748046875</v>
      </c>
    </row>
    <row r="38" spans="3:12" ht="13">
      <c r="D38" s="150">
        <f t="shared" si="0"/>
        <v>347.7</v>
      </c>
      <c r="E38" s="151">
        <v>95</v>
      </c>
      <c r="F38" s="161">
        <f t="shared" si="2"/>
        <v>5.9231094643473634E-2</v>
      </c>
      <c r="G38" s="147"/>
      <c r="J38" s="153">
        <v>21</v>
      </c>
      <c r="K38" s="154">
        <f t="shared" si="1"/>
        <v>5.7377049180327866</v>
      </c>
      <c r="L38" s="161">
        <v>5.1496667861938477</v>
      </c>
    </row>
    <row r="39" spans="3:12" ht="13">
      <c r="D39" s="150">
        <f t="shared" si="0"/>
        <v>362.34</v>
      </c>
      <c r="E39" s="151">
        <v>99</v>
      </c>
      <c r="F39" s="161">
        <f t="shared" si="2"/>
        <v>4.8281905874609947E-2</v>
      </c>
      <c r="G39" s="147"/>
      <c r="J39" s="153">
        <v>22</v>
      </c>
      <c r="K39" s="154">
        <f t="shared" si="1"/>
        <v>6.0109289617486334</v>
      </c>
      <c r="L39" s="161">
        <v>5.1119046211242676</v>
      </c>
    </row>
    <row r="40" spans="3:12" ht="13">
      <c r="D40" s="155">
        <f>366*(E40/100)</f>
        <v>364.17</v>
      </c>
      <c r="E40" s="156">
        <v>99.5</v>
      </c>
      <c r="F40" s="162">
        <f t="shared" si="2"/>
        <v>4.6310820467770103E-2</v>
      </c>
      <c r="G40" s="147"/>
      <c r="J40" s="153">
        <v>23</v>
      </c>
      <c r="K40" s="154">
        <f t="shared" si="1"/>
        <v>6.2841530054644812</v>
      </c>
      <c r="L40" s="161">
        <v>5.0858569145202637</v>
      </c>
    </row>
    <row r="41" spans="3:12" ht="12.75" customHeight="1">
      <c r="D41" s="797"/>
      <c r="E41" s="797"/>
      <c r="F41" s="797"/>
      <c r="J41" s="153">
        <v>24</v>
      </c>
      <c r="K41" s="154">
        <f t="shared" si="1"/>
        <v>6.557377049180328</v>
      </c>
      <c r="L41" s="161">
        <v>5.0369997024536133</v>
      </c>
    </row>
    <row r="42" spans="3:12" ht="13">
      <c r="C42" s="3" t="str">
        <f>CONCATENATE("RATED FLOW CURVE. ",D2)</f>
        <v>RATED FLOW CURVE. ALTERED FLOW</v>
      </c>
      <c r="J42" s="153">
        <v>25</v>
      </c>
      <c r="K42" s="154">
        <f t="shared" si="1"/>
        <v>6.8306010928961758</v>
      </c>
      <c r="L42" s="161">
        <v>4.9998092651367188</v>
      </c>
    </row>
    <row r="43" spans="3:12" ht="13">
      <c r="J43" s="153">
        <v>26</v>
      </c>
      <c r="K43" s="154">
        <f t="shared" si="1"/>
        <v>7.1038251366120218</v>
      </c>
      <c r="L43" s="161">
        <v>4.9539041519165039</v>
      </c>
    </row>
    <row r="44" spans="3:12" ht="13">
      <c r="J44" s="153">
        <v>27</v>
      </c>
      <c r="K44" s="154">
        <f t="shared" si="1"/>
        <v>7.3770491803278686</v>
      </c>
      <c r="L44" s="161">
        <v>4.9182853698730469</v>
      </c>
    </row>
    <row r="45" spans="3:12" ht="13">
      <c r="J45" s="153">
        <v>28</v>
      </c>
      <c r="K45" s="154">
        <f t="shared" si="1"/>
        <v>7.6502732240437163</v>
      </c>
      <c r="L45" s="161">
        <v>4.8738088607788086</v>
      </c>
    </row>
    <row r="46" spans="3:12" ht="13">
      <c r="J46" s="153">
        <v>29</v>
      </c>
      <c r="K46" s="154">
        <f t="shared" si="1"/>
        <v>7.9234972677595632</v>
      </c>
      <c r="L46" s="161">
        <v>4.8284287452697754</v>
      </c>
    </row>
    <row r="47" spans="3:12" ht="13">
      <c r="J47" s="153">
        <v>30</v>
      </c>
      <c r="K47" s="154">
        <f t="shared" si="1"/>
        <v>8.1967213114754092</v>
      </c>
      <c r="L47" s="161">
        <v>4.7950477600097656</v>
      </c>
    </row>
    <row r="48" spans="3:12" ht="13">
      <c r="J48" s="153">
        <v>31</v>
      </c>
      <c r="K48" s="154">
        <f t="shared" si="1"/>
        <v>8.4699453551912569</v>
      </c>
      <c r="L48" s="161">
        <v>4.7501430511474609</v>
      </c>
    </row>
    <row r="49" spans="10:12" ht="13">
      <c r="J49" s="153">
        <v>32</v>
      </c>
      <c r="K49" s="154">
        <f t="shared" si="1"/>
        <v>8.7431693989071047</v>
      </c>
      <c r="L49" s="161">
        <v>4.7060952186584473</v>
      </c>
    </row>
    <row r="50" spans="10:12" ht="13">
      <c r="J50" s="153">
        <v>33</v>
      </c>
      <c r="K50" s="154">
        <f t="shared" si="1"/>
        <v>9.0163934426229506</v>
      </c>
      <c r="L50" s="161">
        <v>4.6723337173461914</v>
      </c>
    </row>
    <row r="51" spans="10:12" ht="13">
      <c r="J51" s="153">
        <v>34</v>
      </c>
      <c r="K51" s="154">
        <f t="shared" si="1"/>
        <v>9.2896174863387984</v>
      </c>
      <c r="L51" s="161">
        <v>4.6510477066040039</v>
      </c>
    </row>
    <row r="52" spans="10:12" ht="13">
      <c r="J52" s="153">
        <v>35</v>
      </c>
      <c r="K52" s="154">
        <f t="shared" si="1"/>
        <v>9.5628415300546443</v>
      </c>
      <c r="L52" s="161">
        <v>4.6132864952087402</v>
      </c>
    </row>
    <row r="53" spans="10:12" ht="13">
      <c r="J53" s="153">
        <v>36</v>
      </c>
      <c r="K53" s="154">
        <f t="shared" si="1"/>
        <v>9.8360655737704921</v>
      </c>
      <c r="L53" s="161">
        <v>4.5862374305725098</v>
      </c>
    </row>
    <row r="54" spans="10:12" ht="13">
      <c r="J54" s="153">
        <v>37</v>
      </c>
      <c r="K54" s="154">
        <f t="shared" si="1"/>
        <v>10.10928961748634</v>
      </c>
      <c r="L54" s="161">
        <v>4.5507621765136719</v>
      </c>
    </row>
    <row r="55" spans="10:12" ht="13">
      <c r="J55" s="153">
        <v>38</v>
      </c>
      <c r="K55" s="154">
        <f t="shared" si="1"/>
        <v>10.382513661202186</v>
      </c>
      <c r="L55" s="161">
        <v>4.5282378196716309</v>
      </c>
    </row>
    <row r="56" spans="10:12" ht="13">
      <c r="J56" s="153">
        <v>39</v>
      </c>
      <c r="K56" s="154">
        <f t="shared" si="1"/>
        <v>10.655737704918032</v>
      </c>
      <c r="L56" s="161">
        <v>4.5066184997558594</v>
      </c>
    </row>
    <row r="57" spans="10:12" ht="13">
      <c r="J57" s="153">
        <v>40</v>
      </c>
      <c r="K57" s="154">
        <f t="shared" si="1"/>
        <v>10.928961748633879</v>
      </c>
      <c r="L57" s="161">
        <v>4.4744763374328613</v>
      </c>
    </row>
    <row r="58" spans="10:12" ht="13">
      <c r="J58" s="153">
        <v>41</v>
      </c>
      <c r="K58" s="154">
        <f t="shared" si="1"/>
        <v>11.202185792349727</v>
      </c>
      <c r="L58" s="161">
        <v>4.4517135620117188</v>
      </c>
    </row>
    <row r="59" spans="10:12" ht="13">
      <c r="J59" s="153">
        <v>42</v>
      </c>
      <c r="K59" s="154">
        <f t="shared" si="1"/>
        <v>11.475409836065573</v>
      </c>
      <c r="L59" s="161">
        <v>4.4199519157409668</v>
      </c>
    </row>
    <row r="60" spans="10:12" ht="13">
      <c r="J60" s="153">
        <v>43</v>
      </c>
      <c r="K60" s="154">
        <f t="shared" si="1"/>
        <v>11.748633879781421</v>
      </c>
      <c r="L60" s="161">
        <v>4.3980469703674316</v>
      </c>
    </row>
    <row r="61" spans="10:12" ht="13">
      <c r="J61" s="153">
        <v>44</v>
      </c>
      <c r="K61" s="154">
        <f t="shared" si="1"/>
        <v>12.021857923497267</v>
      </c>
      <c r="L61" s="161">
        <v>4.3655233383178711</v>
      </c>
    </row>
    <row r="62" spans="10:12" ht="13">
      <c r="J62" s="153">
        <v>45</v>
      </c>
      <c r="K62" s="154">
        <f t="shared" si="1"/>
        <v>12.295081967213115</v>
      </c>
      <c r="L62" s="161">
        <v>4.3269524574279785</v>
      </c>
    </row>
    <row r="63" spans="10:12" ht="13">
      <c r="J63" s="153">
        <v>46</v>
      </c>
      <c r="K63" s="154">
        <f t="shared" si="1"/>
        <v>12.568306010928962</v>
      </c>
      <c r="L63" s="161">
        <v>4.2983808517456055</v>
      </c>
    </row>
    <row r="64" spans="10:12" ht="13">
      <c r="J64" s="153">
        <v>47</v>
      </c>
      <c r="K64" s="154">
        <f t="shared" si="1"/>
        <v>12.841530054644808</v>
      </c>
      <c r="L64" s="161">
        <v>4.2648568153381348</v>
      </c>
    </row>
    <row r="65" spans="10:12" ht="13">
      <c r="J65" s="153">
        <v>48</v>
      </c>
      <c r="K65" s="154">
        <f t="shared" si="1"/>
        <v>13.114754098360656</v>
      </c>
      <c r="L65" s="161">
        <v>4.2328095436096191</v>
      </c>
    </row>
    <row r="66" spans="10:12" ht="13">
      <c r="J66" s="153">
        <v>49</v>
      </c>
      <c r="K66" s="154">
        <f t="shared" si="1"/>
        <v>13.387978142076504</v>
      </c>
      <c r="L66" s="161">
        <v>4.1904764175415039</v>
      </c>
    </row>
    <row r="67" spans="10:12" ht="13">
      <c r="J67" s="153">
        <v>50</v>
      </c>
      <c r="K67" s="154">
        <f t="shared" si="1"/>
        <v>13.661202185792352</v>
      </c>
      <c r="L67" s="161">
        <v>4.1705231666564941</v>
      </c>
    </row>
    <row r="68" spans="10:12" ht="13">
      <c r="J68" s="153">
        <v>51</v>
      </c>
      <c r="K68" s="154">
        <f t="shared" si="1"/>
        <v>13.934426229508196</v>
      </c>
      <c r="L68" s="161">
        <v>4.1364760398864746</v>
      </c>
    </row>
    <row r="69" spans="10:12" ht="13">
      <c r="J69" s="153">
        <v>52</v>
      </c>
      <c r="K69" s="154">
        <f t="shared" si="1"/>
        <v>14.207650273224044</v>
      </c>
      <c r="L69" s="161">
        <v>4.1043334007263184</v>
      </c>
    </row>
    <row r="70" spans="10:12" ht="13">
      <c r="J70" s="153">
        <v>53</v>
      </c>
      <c r="K70" s="154">
        <f t="shared" si="1"/>
        <v>14.480874316939889</v>
      </c>
      <c r="L70" s="161">
        <v>4.0580472946166992</v>
      </c>
    </row>
    <row r="71" spans="10:12" ht="13">
      <c r="J71" s="153">
        <v>54</v>
      </c>
      <c r="K71" s="154">
        <f t="shared" si="1"/>
        <v>14.754098360655737</v>
      </c>
      <c r="L71" s="161">
        <v>4.0274758338928223</v>
      </c>
    </row>
    <row r="72" spans="10:12" ht="13">
      <c r="J72" s="153">
        <v>55</v>
      </c>
      <c r="K72" s="154">
        <f t="shared" si="1"/>
        <v>15.027322404371585</v>
      </c>
      <c r="L72" s="161">
        <v>3.994952917098999</v>
      </c>
    </row>
    <row r="73" spans="10:12" ht="13">
      <c r="J73" s="153">
        <v>56</v>
      </c>
      <c r="K73" s="154">
        <f t="shared" si="1"/>
        <v>15.300546448087433</v>
      </c>
      <c r="L73" s="161">
        <v>3.9622378349304199</v>
      </c>
    </row>
    <row r="74" spans="10:12" ht="13">
      <c r="J74" s="153">
        <v>57</v>
      </c>
      <c r="K74" s="154">
        <f t="shared" si="1"/>
        <v>15.573770491803279</v>
      </c>
      <c r="L74" s="161">
        <v>3.933189868927002</v>
      </c>
    </row>
    <row r="75" spans="10:12" ht="13">
      <c r="J75" s="153">
        <v>58</v>
      </c>
      <c r="K75" s="154">
        <f t="shared" si="1"/>
        <v>15.846994535519126</v>
      </c>
      <c r="L75" s="161">
        <v>3.9041905403137207</v>
      </c>
    </row>
    <row r="76" spans="10:12" ht="13">
      <c r="J76" s="153">
        <v>59</v>
      </c>
      <c r="K76" s="154">
        <f t="shared" si="1"/>
        <v>16.120218579234972</v>
      </c>
      <c r="L76" s="161">
        <v>3.8633332252502441</v>
      </c>
    </row>
    <row r="77" spans="10:12" ht="13">
      <c r="J77" s="153">
        <v>60</v>
      </c>
      <c r="K77" s="154">
        <f t="shared" si="1"/>
        <v>16.393442622950818</v>
      </c>
      <c r="L77" s="161">
        <v>3.8303806781768799</v>
      </c>
    </row>
    <row r="78" spans="10:12" ht="13">
      <c r="J78" s="153">
        <v>61</v>
      </c>
      <c r="K78" s="154">
        <f t="shared" si="1"/>
        <v>16.666666666666664</v>
      </c>
      <c r="L78" s="161">
        <v>3.8008575439453125</v>
      </c>
    </row>
    <row r="79" spans="10:12" ht="13">
      <c r="J79" s="153">
        <v>62</v>
      </c>
      <c r="K79" s="154">
        <f t="shared" si="1"/>
        <v>16.939890710382514</v>
      </c>
      <c r="L79" s="161">
        <v>3.7787621021270752</v>
      </c>
    </row>
    <row r="80" spans="10:12" ht="13">
      <c r="J80" s="153">
        <v>63</v>
      </c>
      <c r="K80" s="154">
        <f t="shared" si="1"/>
        <v>17.21311475409836</v>
      </c>
      <c r="L80" s="161">
        <v>3.7378101348876953</v>
      </c>
    </row>
    <row r="81" spans="10:12" ht="13">
      <c r="J81" s="153">
        <v>64</v>
      </c>
      <c r="K81" s="154">
        <f t="shared" si="1"/>
        <v>17.486338797814209</v>
      </c>
      <c r="L81" s="161">
        <v>3.696380615234375</v>
      </c>
    </row>
    <row r="82" spans="10:12" ht="13">
      <c r="J82" s="153">
        <v>65</v>
      </c>
      <c r="K82" s="154">
        <f t="shared" si="1"/>
        <v>17.759562841530055</v>
      </c>
      <c r="L82" s="161">
        <v>3.6709046363830566</v>
      </c>
    </row>
    <row r="83" spans="10:12" ht="13">
      <c r="J83" s="153">
        <v>66</v>
      </c>
      <c r="K83" s="154">
        <f t="shared" si="1"/>
        <v>18.032786885245901</v>
      </c>
      <c r="L83" s="161">
        <v>3.6476190090179443</v>
      </c>
    </row>
    <row r="84" spans="10:12" ht="13">
      <c r="J84" s="153">
        <v>67</v>
      </c>
      <c r="K84" s="154">
        <f t="shared" ref="K84:K147" si="3">(J84/366)*100</f>
        <v>18.306010928961751</v>
      </c>
      <c r="L84" s="161">
        <v>3.6255714893341064</v>
      </c>
    </row>
    <row r="85" spans="10:12" ht="13">
      <c r="J85" s="153">
        <v>68</v>
      </c>
      <c r="K85" s="154">
        <f t="shared" si="3"/>
        <v>18.579234972677597</v>
      </c>
      <c r="L85" s="161">
        <v>3.5880951881408691</v>
      </c>
    </row>
    <row r="86" spans="10:12" ht="13">
      <c r="J86" s="153">
        <v>69</v>
      </c>
      <c r="K86" s="154">
        <f t="shared" si="3"/>
        <v>18.852459016393443</v>
      </c>
      <c r="L86" s="161">
        <v>3.5636188983917236</v>
      </c>
    </row>
    <row r="87" spans="10:12" ht="13">
      <c r="J87" s="153">
        <v>70</v>
      </c>
      <c r="K87" s="154">
        <f t="shared" si="3"/>
        <v>19.125683060109289</v>
      </c>
      <c r="L87" s="161">
        <v>3.51104736328125</v>
      </c>
    </row>
    <row r="88" spans="10:12" ht="13">
      <c r="J88" s="153">
        <v>71</v>
      </c>
      <c r="K88" s="154">
        <f t="shared" si="3"/>
        <v>19.398907103825135</v>
      </c>
      <c r="L88" s="161">
        <v>3.4686665534973145</v>
      </c>
    </row>
    <row r="89" spans="10:12" ht="13">
      <c r="J89" s="153">
        <v>72</v>
      </c>
      <c r="K89" s="154">
        <f t="shared" si="3"/>
        <v>19.672131147540984</v>
      </c>
      <c r="L89" s="161">
        <v>3.4459521770477295</v>
      </c>
    </row>
    <row r="90" spans="10:12" ht="13">
      <c r="J90" s="153">
        <v>73</v>
      </c>
      <c r="K90" s="154">
        <f t="shared" si="3"/>
        <v>19.94535519125683</v>
      </c>
      <c r="L90" s="161">
        <v>3.4225711822509766</v>
      </c>
    </row>
    <row r="91" spans="10:12" ht="13">
      <c r="J91" s="153">
        <v>74</v>
      </c>
      <c r="K91" s="154">
        <f t="shared" si="3"/>
        <v>20.21857923497268</v>
      </c>
      <c r="L91" s="161">
        <v>3.3869519233703613</v>
      </c>
    </row>
    <row r="92" spans="10:12" ht="13">
      <c r="J92" s="153">
        <v>75</v>
      </c>
      <c r="K92" s="154">
        <f t="shared" si="3"/>
        <v>20.491803278688526</v>
      </c>
      <c r="L92" s="161">
        <v>3.3550477027893066</v>
      </c>
    </row>
    <row r="93" spans="10:12" ht="13">
      <c r="J93" s="153">
        <v>76</v>
      </c>
      <c r="K93" s="154">
        <f t="shared" si="3"/>
        <v>20.765027322404372</v>
      </c>
      <c r="L93" s="161">
        <v>3.3266663551330566</v>
      </c>
    </row>
    <row r="94" spans="10:12" ht="13">
      <c r="J94" s="153">
        <v>77</v>
      </c>
      <c r="K94" s="154">
        <f t="shared" si="3"/>
        <v>21.038251366120221</v>
      </c>
      <c r="L94" s="161">
        <v>3.3044285774230957</v>
      </c>
    </row>
    <row r="95" spans="10:12" ht="13">
      <c r="J95" s="153">
        <v>78</v>
      </c>
      <c r="K95" s="154">
        <f t="shared" si="3"/>
        <v>21.311475409836063</v>
      </c>
      <c r="L95" s="161">
        <v>3.2776670455932617</v>
      </c>
    </row>
    <row r="96" spans="10:12" ht="13">
      <c r="J96" s="153">
        <v>79</v>
      </c>
      <c r="K96" s="154">
        <f t="shared" si="3"/>
        <v>21.584699453551913</v>
      </c>
      <c r="L96" s="161">
        <v>3.2536664009094238</v>
      </c>
    </row>
    <row r="97" spans="10:12" ht="13">
      <c r="J97" s="153">
        <v>80</v>
      </c>
      <c r="K97" s="154">
        <f t="shared" si="3"/>
        <v>21.857923497267759</v>
      </c>
      <c r="L97" s="161">
        <v>3.2264764308929443</v>
      </c>
    </row>
    <row r="98" spans="10:12" ht="13">
      <c r="J98" s="153">
        <v>81</v>
      </c>
      <c r="K98" s="154">
        <f t="shared" si="3"/>
        <v>22.131147540983605</v>
      </c>
      <c r="L98" s="161">
        <v>3.1955239772796631</v>
      </c>
    </row>
    <row r="99" spans="10:12" ht="13">
      <c r="J99" s="153">
        <v>82</v>
      </c>
      <c r="K99" s="154">
        <f t="shared" si="3"/>
        <v>22.404371584699454</v>
      </c>
      <c r="L99" s="161">
        <v>3.1676664352416992</v>
      </c>
    </row>
    <row r="100" spans="10:12" ht="13">
      <c r="J100" s="153">
        <v>83</v>
      </c>
      <c r="K100" s="154">
        <f t="shared" si="3"/>
        <v>22.6775956284153</v>
      </c>
      <c r="L100" s="161">
        <v>3.1350951194763184</v>
      </c>
    </row>
    <row r="101" spans="10:12" ht="13">
      <c r="J101" s="153">
        <v>84</v>
      </c>
      <c r="K101" s="154">
        <f t="shared" si="3"/>
        <v>22.950819672131146</v>
      </c>
      <c r="L101" s="161">
        <v>3.1141910552978516</v>
      </c>
    </row>
    <row r="102" spans="10:12" ht="13">
      <c r="J102" s="153">
        <v>85</v>
      </c>
      <c r="K102" s="154">
        <f t="shared" si="3"/>
        <v>23.224043715846996</v>
      </c>
      <c r="L102" s="161">
        <v>3.087571382522583</v>
      </c>
    </row>
    <row r="103" spans="10:12" ht="13">
      <c r="J103" s="153">
        <v>86</v>
      </c>
      <c r="K103" s="154">
        <f t="shared" si="3"/>
        <v>23.497267759562842</v>
      </c>
      <c r="L103" s="161">
        <v>3.0524284839630127</v>
      </c>
    </row>
    <row r="104" spans="10:12" ht="13">
      <c r="J104" s="153">
        <v>87</v>
      </c>
      <c r="K104" s="154">
        <f t="shared" si="3"/>
        <v>23.770491803278688</v>
      </c>
      <c r="L104" s="161">
        <v>3.0319523811340332</v>
      </c>
    </row>
    <row r="105" spans="10:12" ht="13">
      <c r="J105" s="153">
        <v>88</v>
      </c>
      <c r="K105" s="154">
        <f t="shared" si="3"/>
        <v>24.043715846994534</v>
      </c>
      <c r="L105" s="161">
        <v>3.0113809108734131</v>
      </c>
    </row>
    <row r="106" spans="10:12" ht="13">
      <c r="J106" s="153">
        <v>89</v>
      </c>
      <c r="K106" s="154">
        <f t="shared" si="3"/>
        <v>24.316939890710383</v>
      </c>
      <c r="L106" s="161">
        <v>2.9844286441802979</v>
      </c>
    </row>
    <row r="107" spans="10:12" ht="13">
      <c r="J107" s="153">
        <v>90</v>
      </c>
      <c r="K107" s="154">
        <f t="shared" si="3"/>
        <v>24.590163934426229</v>
      </c>
      <c r="L107" s="161">
        <v>2.9592859745025635</v>
      </c>
    </row>
    <row r="108" spans="10:12" ht="13">
      <c r="J108" s="153">
        <v>91</v>
      </c>
      <c r="K108" s="154">
        <f t="shared" si="3"/>
        <v>24.863387978142075</v>
      </c>
      <c r="L108" s="161">
        <v>2.9333806037902832</v>
      </c>
    </row>
    <row r="109" spans="10:12" ht="13">
      <c r="J109" s="153">
        <v>92</v>
      </c>
      <c r="K109" s="154">
        <f t="shared" si="3"/>
        <v>25.136612021857925</v>
      </c>
      <c r="L109" s="161">
        <v>2.9111423492431641</v>
      </c>
    </row>
    <row r="110" spans="10:12" ht="13">
      <c r="J110" s="153">
        <v>93</v>
      </c>
      <c r="K110" s="154">
        <f t="shared" si="3"/>
        <v>25.409836065573771</v>
      </c>
      <c r="L110" s="161">
        <v>2.8947141170501709</v>
      </c>
    </row>
    <row r="111" spans="10:12" ht="13">
      <c r="J111" s="153">
        <v>94</v>
      </c>
      <c r="K111" s="154">
        <f t="shared" si="3"/>
        <v>25.683060109289617</v>
      </c>
      <c r="L111" s="161">
        <v>2.8657138347625732</v>
      </c>
    </row>
    <row r="112" spans="10:12" ht="13">
      <c r="J112" s="153">
        <v>95</v>
      </c>
      <c r="K112" s="154">
        <f t="shared" si="3"/>
        <v>25.956284153005466</v>
      </c>
      <c r="L112" s="161">
        <v>2.8350954055786133</v>
      </c>
    </row>
    <row r="113" spans="10:12" ht="13">
      <c r="J113" s="153">
        <v>96</v>
      </c>
      <c r="K113" s="154">
        <f t="shared" si="3"/>
        <v>26.229508196721312</v>
      </c>
      <c r="L113" s="161">
        <v>2.8180477619171143</v>
      </c>
    </row>
    <row r="114" spans="10:12" ht="13">
      <c r="J114" s="153">
        <v>97</v>
      </c>
      <c r="K114" s="154">
        <f t="shared" si="3"/>
        <v>26.502732240437162</v>
      </c>
      <c r="L114" s="161">
        <v>2.7971429824829102</v>
      </c>
    </row>
    <row r="115" spans="10:12" ht="13">
      <c r="J115" s="153">
        <v>98</v>
      </c>
      <c r="K115" s="154">
        <f t="shared" si="3"/>
        <v>26.775956284153008</v>
      </c>
      <c r="L115" s="161">
        <v>2.7726190090179443</v>
      </c>
    </row>
    <row r="116" spans="10:12" ht="13">
      <c r="J116" s="153">
        <v>99</v>
      </c>
      <c r="K116" s="154">
        <f t="shared" si="3"/>
        <v>27.049180327868854</v>
      </c>
      <c r="L116" s="161">
        <v>2.7508571147918701</v>
      </c>
    </row>
    <row r="117" spans="10:12" ht="13">
      <c r="J117" s="153">
        <v>100</v>
      </c>
      <c r="K117" s="154">
        <f t="shared" si="3"/>
        <v>27.322404371584703</v>
      </c>
      <c r="L117" s="161">
        <v>2.7189524173736572</v>
      </c>
    </row>
    <row r="118" spans="10:12" ht="13">
      <c r="J118" s="153">
        <v>101</v>
      </c>
      <c r="K118" s="154">
        <f t="shared" si="3"/>
        <v>27.595628415300546</v>
      </c>
      <c r="L118" s="161">
        <v>2.6981427669525146</v>
      </c>
    </row>
    <row r="119" spans="10:12" ht="13">
      <c r="J119" s="153">
        <v>102</v>
      </c>
      <c r="K119" s="154">
        <f t="shared" si="3"/>
        <v>27.868852459016392</v>
      </c>
      <c r="L119" s="161">
        <v>2.6692378520965576</v>
      </c>
    </row>
    <row r="120" spans="10:12" ht="13">
      <c r="J120" s="153">
        <v>103</v>
      </c>
      <c r="K120" s="154">
        <f t="shared" si="3"/>
        <v>28.142076502732237</v>
      </c>
      <c r="L120" s="161">
        <v>2.6496191024780273</v>
      </c>
    </row>
    <row r="121" spans="10:12" ht="13">
      <c r="J121" s="153">
        <v>104</v>
      </c>
      <c r="K121" s="154">
        <f t="shared" si="3"/>
        <v>28.415300546448087</v>
      </c>
      <c r="L121" s="161">
        <v>2.6341426372528076</v>
      </c>
    </row>
    <row r="122" spans="10:12" ht="13">
      <c r="J122" s="153">
        <v>105</v>
      </c>
      <c r="K122" s="154">
        <f t="shared" si="3"/>
        <v>28.688524590163933</v>
      </c>
      <c r="L122" s="161">
        <v>2.612809419631958</v>
      </c>
    </row>
    <row r="123" spans="10:12" ht="13">
      <c r="J123" s="153">
        <v>106</v>
      </c>
      <c r="K123" s="154">
        <f t="shared" si="3"/>
        <v>28.961748633879779</v>
      </c>
      <c r="L123" s="161">
        <v>2.5921428203582764</v>
      </c>
    </row>
    <row r="124" spans="10:12" ht="13">
      <c r="J124" s="153">
        <v>107</v>
      </c>
      <c r="K124" s="154">
        <f t="shared" si="3"/>
        <v>29.234972677595628</v>
      </c>
      <c r="L124" s="161">
        <v>2.5677616596221924</v>
      </c>
    </row>
    <row r="125" spans="10:12" ht="13">
      <c r="J125" s="153">
        <v>108</v>
      </c>
      <c r="K125" s="154">
        <f t="shared" si="3"/>
        <v>29.508196721311474</v>
      </c>
      <c r="L125" s="161">
        <v>2.54376220703125</v>
      </c>
    </row>
    <row r="126" spans="10:12" ht="13">
      <c r="J126" s="153">
        <v>109</v>
      </c>
      <c r="K126" s="154">
        <f t="shared" si="3"/>
        <v>29.78142076502732</v>
      </c>
      <c r="L126" s="161">
        <v>2.5117142200469971</v>
      </c>
    </row>
    <row r="127" spans="10:12" ht="13">
      <c r="J127" s="153">
        <v>110</v>
      </c>
      <c r="K127" s="154">
        <f t="shared" si="3"/>
        <v>30.05464480874317</v>
      </c>
      <c r="L127" s="161">
        <v>2.4832382202148438</v>
      </c>
    </row>
    <row r="128" spans="10:12" ht="13">
      <c r="J128" s="153">
        <v>111</v>
      </c>
      <c r="K128" s="154">
        <f t="shared" si="3"/>
        <v>30.327868852459016</v>
      </c>
      <c r="L128" s="161">
        <v>2.4583332538604736</v>
      </c>
    </row>
    <row r="129" spans="10:12" ht="13">
      <c r="J129" s="153">
        <v>112</v>
      </c>
      <c r="K129" s="154">
        <f t="shared" si="3"/>
        <v>30.601092896174865</v>
      </c>
      <c r="L129" s="161">
        <v>2.4417140483856201</v>
      </c>
    </row>
    <row r="130" spans="10:12" ht="13">
      <c r="J130" s="153">
        <v>113</v>
      </c>
      <c r="K130" s="154">
        <f t="shared" si="3"/>
        <v>30.874316939890711</v>
      </c>
      <c r="L130" s="161">
        <v>2.421619176864624</v>
      </c>
    </row>
    <row r="131" spans="10:12" ht="13">
      <c r="J131" s="153">
        <v>114</v>
      </c>
      <c r="K131" s="154">
        <f t="shared" si="3"/>
        <v>31.147540983606557</v>
      </c>
      <c r="L131" s="161">
        <v>2.4009048938751221</v>
      </c>
    </row>
    <row r="132" spans="10:12" ht="13">
      <c r="J132" s="153">
        <v>115</v>
      </c>
      <c r="K132" s="154">
        <f t="shared" si="3"/>
        <v>31.420765027322407</v>
      </c>
      <c r="L132" s="161">
        <v>2.3756191730499268</v>
      </c>
    </row>
    <row r="133" spans="10:12" ht="13">
      <c r="J133" s="153">
        <v>116</v>
      </c>
      <c r="K133" s="154">
        <f t="shared" si="3"/>
        <v>31.693989071038253</v>
      </c>
      <c r="L133" s="161">
        <v>2.3507621288299561</v>
      </c>
    </row>
    <row r="134" spans="10:12" ht="13">
      <c r="J134" s="153">
        <v>117</v>
      </c>
      <c r="K134" s="154">
        <f t="shared" si="3"/>
        <v>31.967213114754102</v>
      </c>
      <c r="L134" s="161">
        <v>2.330714225769043</v>
      </c>
    </row>
    <row r="135" spans="10:12" ht="13">
      <c r="J135" s="153">
        <v>118</v>
      </c>
      <c r="K135" s="154">
        <f t="shared" si="3"/>
        <v>32.240437158469945</v>
      </c>
      <c r="L135" s="161">
        <v>2.3089048862457275</v>
      </c>
    </row>
    <row r="136" spans="10:12" ht="13">
      <c r="J136" s="153">
        <v>119</v>
      </c>
      <c r="K136" s="154">
        <f t="shared" si="3"/>
        <v>32.513661202185787</v>
      </c>
      <c r="L136" s="161">
        <v>2.298619270324707</v>
      </c>
    </row>
    <row r="137" spans="10:12" ht="13">
      <c r="J137" s="153">
        <v>120</v>
      </c>
      <c r="K137" s="154">
        <f t="shared" si="3"/>
        <v>32.786885245901637</v>
      </c>
      <c r="L137" s="161">
        <v>2.276237964630127</v>
      </c>
    </row>
    <row r="138" spans="10:12" ht="13">
      <c r="J138" s="153">
        <v>121</v>
      </c>
      <c r="K138" s="154">
        <f t="shared" si="3"/>
        <v>33.060109289617486</v>
      </c>
      <c r="L138" s="161">
        <v>2.2508571147918701</v>
      </c>
    </row>
    <row r="139" spans="10:12" ht="13">
      <c r="J139" s="153">
        <v>122</v>
      </c>
      <c r="K139" s="154">
        <f t="shared" si="3"/>
        <v>33.333333333333329</v>
      </c>
      <c r="L139" s="161">
        <v>2.2333812713623047</v>
      </c>
    </row>
    <row r="140" spans="10:12" ht="13">
      <c r="J140" s="153">
        <v>123</v>
      </c>
      <c r="K140" s="154">
        <f t="shared" si="3"/>
        <v>33.606557377049178</v>
      </c>
      <c r="L140" s="161">
        <v>2.2183332443237305</v>
      </c>
    </row>
    <row r="141" spans="10:12" ht="13">
      <c r="J141" s="153">
        <v>124</v>
      </c>
      <c r="K141" s="154">
        <f t="shared" si="3"/>
        <v>33.879781420765028</v>
      </c>
      <c r="L141" s="161">
        <v>2.1977620124816895</v>
      </c>
    </row>
    <row r="142" spans="10:12" ht="13">
      <c r="J142" s="153">
        <v>125</v>
      </c>
      <c r="K142" s="154">
        <f t="shared" si="3"/>
        <v>34.15300546448087</v>
      </c>
      <c r="L142" s="161">
        <v>2.1797616481781006</v>
      </c>
    </row>
    <row r="143" spans="10:12" ht="13">
      <c r="J143" s="153">
        <v>126</v>
      </c>
      <c r="K143" s="154">
        <f t="shared" si="3"/>
        <v>34.42622950819672</v>
      </c>
      <c r="L143" s="161">
        <v>2.1603336334228516</v>
      </c>
    </row>
    <row r="144" spans="10:12" ht="13">
      <c r="J144" s="153">
        <v>127</v>
      </c>
      <c r="K144" s="154">
        <f t="shared" si="3"/>
        <v>34.699453551912569</v>
      </c>
      <c r="L144" s="161">
        <v>2.1471905708312988</v>
      </c>
    </row>
    <row r="145" spans="10:12" ht="13">
      <c r="J145" s="153">
        <v>128</v>
      </c>
      <c r="K145" s="154">
        <f t="shared" si="3"/>
        <v>34.972677595628419</v>
      </c>
      <c r="L145" s="161">
        <v>2.121809720993042</v>
      </c>
    </row>
    <row r="146" spans="10:12" ht="13">
      <c r="J146" s="153">
        <v>129</v>
      </c>
      <c r="K146" s="154">
        <f t="shared" si="3"/>
        <v>35.245901639344261</v>
      </c>
      <c r="L146" s="161">
        <v>2.1086189746856689</v>
      </c>
    </row>
    <row r="147" spans="10:12" ht="13">
      <c r="J147" s="153">
        <v>130</v>
      </c>
      <c r="K147" s="154">
        <f t="shared" si="3"/>
        <v>35.519125683060111</v>
      </c>
      <c r="L147" s="161">
        <v>2.096428394317627</v>
      </c>
    </row>
    <row r="148" spans="10:12" ht="13">
      <c r="J148" s="153">
        <v>131</v>
      </c>
      <c r="K148" s="154">
        <f t="shared" ref="K148:K211" si="4">(J148/366)*100</f>
        <v>35.79234972677596</v>
      </c>
      <c r="L148" s="161">
        <v>2.0766670703887939</v>
      </c>
    </row>
    <row r="149" spans="10:12" ht="13">
      <c r="J149" s="153">
        <v>132</v>
      </c>
      <c r="K149" s="154">
        <f t="shared" si="4"/>
        <v>36.065573770491802</v>
      </c>
      <c r="L149" s="161">
        <v>2.0516667366027832</v>
      </c>
    </row>
    <row r="150" spans="10:12" ht="13">
      <c r="J150" s="153">
        <v>133</v>
      </c>
      <c r="K150" s="154">
        <f t="shared" si="4"/>
        <v>36.338797814207652</v>
      </c>
      <c r="L150" s="161">
        <v>2.0367617607116699</v>
      </c>
    </row>
    <row r="151" spans="10:12" ht="13">
      <c r="J151" s="153">
        <v>134</v>
      </c>
      <c r="K151" s="154">
        <f t="shared" si="4"/>
        <v>36.612021857923501</v>
      </c>
      <c r="L151" s="161">
        <v>2.0181906223297119</v>
      </c>
    </row>
    <row r="152" spans="10:12" ht="13">
      <c r="J152" s="153">
        <v>135</v>
      </c>
      <c r="K152" s="154">
        <f t="shared" si="4"/>
        <v>36.885245901639344</v>
      </c>
      <c r="L152" s="161">
        <v>2.0021903514862061</v>
      </c>
    </row>
    <row r="153" spans="10:12" ht="13">
      <c r="J153" s="153">
        <v>136</v>
      </c>
      <c r="K153" s="154">
        <f t="shared" si="4"/>
        <v>37.158469945355193</v>
      </c>
      <c r="L153" s="161">
        <v>1.9804285764694214</v>
      </c>
    </row>
    <row r="154" spans="10:12" ht="13">
      <c r="J154" s="153">
        <v>137</v>
      </c>
      <c r="K154" s="154">
        <f t="shared" si="4"/>
        <v>37.431693989071043</v>
      </c>
      <c r="L154" s="161">
        <v>1.9656194448471069</v>
      </c>
    </row>
    <row r="155" spans="10:12" ht="13">
      <c r="J155" s="153">
        <v>138</v>
      </c>
      <c r="K155" s="154">
        <f t="shared" si="4"/>
        <v>37.704918032786885</v>
      </c>
      <c r="L155" s="161">
        <v>1.9519999027252197</v>
      </c>
    </row>
    <row r="156" spans="10:12" ht="13">
      <c r="J156" s="153">
        <v>139</v>
      </c>
      <c r="K156" s="154">
        <f t="shared" si="4"/>
        <v>37.978142076502728</v>
      </c>
      <c r="L156" s="161">
        <v>1.9319999217987061</v>
      </c>
    </row>
    <row r="157" spans="10:12" ht="13">
      <c r="J157" s="153">
        <v>140</v>
      </c>
      <c r="K157" s="154">
        <f t="shared" si="4"/>
        <v>38.251366120218577</v>
      </c>
      <c r="L157" s="161">
        <v>1.9173810482025146</v>
      </c>
    </row>
    <row r="158" spans="10:12" ht="13">
      <c r="J158" s="153">
        <v>141</v>
      </c>
      <c r="K158" s="154">
        <f t="shared" si="4"/>
        <v>38.524590163934427</v>
      </c>
      <c r="L158" s="161">
        <v>1.906523585319519</v>
      </c>
    </row>
    <row r="159" spans="10:12" ht="13">
      <c r="J159" s="153">
        <v>142</v>
      </c>
      <c r="K159" s="154">
        <f t="shared" si="4"/>
        <v>38.797814207650269</v>
      </c>
      <c r="L159" s="161">
        <v>1.8912855386734009</v>
      </c>
    </row>
    <row r="160" spans="10:12" ht="13">
      <c r="J160" s="153">
        <v>143</v>
      </c>
      <c r="K160" s="154">
        <f t="shared" si="4"/>
        <v>39.071038251366119</v>
      </c>
      <c r="L160" s="161">
        <v>1.8668572902679443</v>
      </c>
    </row>
    <row r="161" spans="10:12" ht="13">
      <c r="J161" s="153">
        <v>144</v>
      </c>
      <c r="K161" s="154">
        <f t="shared" si="4"/>
        <v>39.344262295081968</v>
      </c>
      <c r="L161" s="161">
        <v>1.8465712070465088</v>
      </c>
    </row>
    <row r="162" spans="10:12" ht="13">
      <c r="J162" s="153">
        <v>145</v>
      </c>
      <c r="K162" s="154">
        <f t="shared" si="4"/>
        <v>39.617486338797811</v>
      </c>
      <c r="L162" s="161">
        <v>1.8320475816726685</v>
      </c>
    </row>
    <row r="163" spans="10:12" ht="13">
      <c r="J163" s="153">
        <v>146</v>
      </c>
      <c r="K163" s="154">
        <f t="shared" si="4"/>
        <v>39.89071038251366</v>
      </c>
      <c r="L163" s="161">
        <v>1.8158572912216187</v>
      </c>
    </row>
    <row r="164" spans="10:12" ht="13">
      <c r="J164" s="153">
        <v>147</v>
      </c>
      <c r="K164" s="154">
        <f t="shared" si="4"/>
        <v>40.16393442622951</v>
      </c>
      <c r="L164" s="161">
        <v>1.7959524393081665</v>
      </c>
    </row>
    <row r="165" spans="10:12" ht="13">
      <c r="J165" s="153">
        <v>148</v>
      </c>
      <c r="K165" s="154">
        <f t="shared" si="4"/>
        <v>40.437158469945359</v>
      </c>
      <c r="L165" s="161">
        <v>1.7724761962890625</v>
      </c>
    </row>
    <row r="166" spans="10:12" ht="13">
      <c r="J166" s="153">
        <v>149</v>
      </c>
      <c r="K166" s="154">
        <f t="shared" si="4"/>
        <v>40.710382513661202</v>
      </c>
      <c r="L166" s="161">
        <v>1.7644288539886475</v>
      </c>
    </row>
    <row r="167" spans="10:12" ht="13">
      <c r="J167" s="153">
        <v>150</v>
      </c>
      <c r="K167" s="154">
        <f t="shared" si="4"/>
        <v>40.983606557377051</v>
      </c>
      <c r="L167" s="161">
        <v>1.7402857542037964</v>
      </c>
    </row>
    <row r="168" spans="10:12" ht="13">
      <c r="J168" s="153">
        <v>151</v>
      </c>
      <c r="K168" s="154">
        <f t="shared" si="4"/>
        <v>41.256830601092901</v>
      </c>
      <c r="L168" s="161">
        <v>1.7273333072662354</v>
      </c>
    </row>
    <row r="169" spans="10:12" ht="13">
      <c r="J169" s="153">
        <v>152</v>
      </c>
      <c r="K169" s="154">
        <f t="shared" si="4"/>
        <v>41.530054644808743</v>
      </c>
      <c r="L169" s="161">
        <v>1.7066667079925537</v>
      </c>
    </row>
    <row r="170" spans="10:12" ht="13">
      <c r="J170" s="153">
        <v>153</v>
      </c>
      <c r="K170" s="154">
        <f t="shared" si="4"/>
        <v>41.803278688524593</v>
      </c>
      <c r="L170" s="161">
        <v>1.689190149307251</v>
      </c>
    </row>
    <row r="171" spans="10:12" ht="13">
      <c r="J171" s="153">
        <v>154</v>
      </c>
      <c r="K171" s="154">
        <f t="shared" si="4"/>
        <v>42.076502732240442</v>
      </c>
      <c r="L171" s="161">
        <v>1.6714286804199219</v>
      </c>
    </row>
    <row r="172" spans="10:12" ht="13">
      <c r="J172" s="153">
        <v>155</v>
      </c>
      <c r="K172" s="154">
        <f t="shared" si="4"/>
        <v>42.349726775956285</v>
      </c>
      <c r="L172" s="161">
        <v>1.6567143201828003</v>
      </c>
    </row>
    <row r="173" spans="10:12" ht="13">
      <c r="J173" s="153">
        <v>156</v>
      </c>
      <c r="K173" s="154">
        <f t="shared" si="4"/>
        <v>42.622950819672127</v>
      </c>
      <c r="L173" s="161">
        <v>1.6387144327163696</v>
      </c>
    </row>
    <row r="174" spans="10:12" ht="13">
      <c r="J174" s="153">
        <v>157</v>
      </c>
      <c r="K174" s="154">
        <f t="shared" si="4"/>
        <v>42.896174863387976</v>
      </c>
      <c r="L174" s="161">
        <v>1.6202905178070068</v>
      </c>
    </row>
    <row r="175" spans="10:12" ht="13">
      <c r="J175" s="153">
        <v>158</v>
      </c>
      <c r="K175" s="154">
        <f t="shared" si="4"/>
        <v>43.169398907103826</v>
      </c>
      <c r="L175" s="161">
        <v>1.6036046743392944</v>
      </c>
    </row>
    <row r="176" spans="10:12" ht="13">
      <c r="J176" s="153">
        <v>159</v>
      </c>
      <c r="K176" s="154">
        <f t="shared" si="4"/>
        <v>43.442622950819668</v>
      </c>
      <c r="L176" s="161">
        <v>1.5863714218139648</v>
      </c>
    </row>
    <row r="177" spans="10:12" ht="13">
      <c r="J177" s="153">
        <v>160</v>
      </c>
      <c r="K177" s="154">
        <f t="shared" si="4"/>
        <v>43.715846994535518</v>
      </c>
      <c r="L177" s="161">
        <v>1.5686953067779541</v>
      </c>
    </row>
    <row r="178" spans="10:12" ht="13">
      <c r="J178" s="153">
        <v>161</v>
      </c>
      <c r="K178" s="154">
        <f t="shared" si="4"/>
        <v>43.989071038251367</v>
      </c>
      <c r="L178" s="161">
        <v>1.5497045516967773</v>
      </c>
    </row>
    <row r="179" spans="10:12" ht="13">
      <c r="J179" s="153">
        <v>162</v>
      </c>
      <c r="K179" s="154">
        <f t="shared" si="4"/>
        <v>44.26229508196721</v>
      </c>
      <c r="L179" s="161">
        <v>1.5309046506881714</v>
      </c>
    </row>
    <row r="180" spans="10:12" ht="13">
      <c r="J180" s="153">
        <v>163</v>
      </c>
      <c r="K180" s="154">
        <f t="shared" si="4"/>
        <v>44.535519125683059</v>
      </c>
      <c r="L180" s="161">
        <v>1.5117285251617432</v>
      </c>
    </row>
    <row r="181" spans="10:12" ht="13">
      <c r="J181" s="153">
        <v>164</v>
      </c>
      <c r="K181" s="154">
        <f t="shared" si="4"/>
        <v>44.808743169398909</v>
      </c>
      <c r="L181" s="161">
        <v>1.4961950778961182</v>
      </c>
    </row>
    <row r="182" spans="10:12" ht="13">
      <c r="J182" s="153">
        <v>165</v>
      </c>
      <c r="K182" s="154">
        <f t="shared" si="4"/>
        <v>45.081967213114751</v>
      </c>
      <c r="L182" s="161">
        <v>1.4779049158096313</v>
      </c>
    </row>
    <row r="183" spans="10:12" ht="13">
      <c r="J183" s="153">
        <v>166</v>
      </c>
      <c r="K183" s="154">
        <f t="shared" si="4"/>
        <v>45.355191256830601</v>
      </c>
      <c r="L183" s="161">
        <v>1.4684903621673584</v>
      </c>
    </row>
    <row r="184" spans="10:12" ht="13">
      <c r="J184" s="153">
        <v>167</v>
      </c>
      <c r="K184" s="154">
        <f t="shared" si="4"/>
        <v>45.62841530054645</v>
      </c>
      <c r="L184" s="161">
        <v>1.4557857513427734</v>
      </c>
    </row>
    <row r="185" spans="10:12" ht="13">
      <c r="J185" s="153">
        <v>168</v>
      </c>
      <c r="K185" s="154">
        <f t="shared" si="4"/>
        <v>45.901639344262293</v>
      </c>
      <c r="L185" s="161">
        <v>1.4367810487747192</v>
      </c>
    </row>
    <row r="186" spans="10:12" ht="13">
      <c r="J186" s="153">
        <v>169</v>
      </c>
      <c r="K186" s="154">
        <f t="shared" si="4"/>
        <v>46.174863387978142</v>
      </c>
      <c r="L186" s="161">
        <v>1.4219379425048828</v>
      </c>
    </row>
    <row r="187" spans="10:12" ht="13">
      <c r="J187" s="153">
        <v>170</v>
      </c>
      <c r="K187" s="154">
        <f t="shared" si="4"/>
        <v>46.448087431693992</v>
      </c>
      <c r="L187" s="161">
        <v>1.4091571569442749</v>
      </c>
    </row>
    <row r="188" spans="10:12" ht="13">
      <c r="J188" s="153">
        <v>171</v>
      </c>
      <c r="K188" s="154">
        <f t="shared" si="4"/>
        <v>46.721311475409841</v>
      </c>
      <c r="L188" s="161">
        <v>1.3859713077545166</v>
      </c>
    </row>
    <row r="189" spans="10:12" ht="13">
      <c r="J189" s="153">
        <v>172</v>
      </c>
      <c r="K189" s="154">
        <f t="shared" si="4"/>
        <v>46.994535519125684</v>
      </c>
      <c r="L189" s="161">
        <v>1.3630284070968628</v>
      </c>
    </row>
    <row r="190" spans="10:12" ht="13">
      <c r="J190" s="153">
        <v>173</v>
      </c>
      <c r="K190" s="154">
        <f t="shared" si="4"/>
        <v>47.267759562841533</v>
      </c>
      <c r="L190" s="161">
        <v>1.3375524282455444</v>
      </c>
    </row>
    <row r="191" spans="10:12" ht="13">
      <c r="J191" s="153">
        <v>174</v>
      </c>
      <c r="K191" s="154">
        <f t="shared" si="4"/>
        <v>47.540983606557376</v>
      </c>
      <c r="L191" s="161">
        <v>1.3157714605331421</v>
      </c>
    </row>
    <row r="192" spans="10:12" ht="13">
      <c r="J192" s="153">
        <v>175</v>
      </c>
      <c r="K192" s="154">
        <f t="shared" si="4"/>
        <v>47.814207650273218</v>
      </c>
      <c r="L192" s="161">
        <v>1.3005999326705933</v>
      </c>
    </row>
    <row r="193" spans="10:12" ht="13">
      <c r="J193" s="153">
        <v>176</v>
      </c>
      <c r="K193" s="154">
        <f t="shared" si="4"/>
        <v>48.087431693989068</v>
      </c>
      <c r="L193" s="161">
        <v>1.2858619689941406</v>
      </c>
    </row>
    <row r="194" spans="10:12" ht="13">
      <c r="J194" s="153">
        <v>177</v>
      </c>
      <c r="K194" s="154">
        <f t="shared" si="4"/>
        <v>48.360655737704917</v>
      </c>
      <c r="L194" s="161">
        <v>1.2701619863510132</v>
      </c>
    </row>
    <row r="195" spans="10:12" ht="13">
      <c r="J195" s="153">
        <v>178</v>
      </c>
      <c r="K195" s="154">
        <f t="shared" si="4"/>
        <v>48.633879781420767</v>
      </c>
      <c r="L195" s="161">
        <v>1.2573094367980957</v>
      </c>
    </row>
    <row r="196" spans="10:12" ht="13">
      <c r="J196" s="153">
        <v>179</v>
      </c>
      <c r="K196" s="154">
        <f t="shared" si="4"/>
        <v>48.907103825136609</v>
      </c>
      <c r="L196" s="161">
        <v>1.2414522171020508</v>
      </c>
    </row>
    <row r="197" spans="10:12" ht="13">
      <c r="J197" s="153">
        <v>180</v>
      </c>
      <c r="K197" s="154">
        <f t="shared" si="4"/>
        <v>49.180327868852459</v>
      </c>
      <c r="L197" s="161">
        <v>1.2184617519378662</v>
      </c>
    </row>
    <row r="198" spans="10:12" ht="13">
      <c r="J198" s="153">
        <v>181</v>
      </c>
      <c r="K198" s="154">
        <f t="shared" si="4"/>
        <v>49.453551912568308</v>
      </c>
      <c r="L198" s="161">
        <v>1.2046047449111938</v>
      </c>
    </row>
    <row r="199" spans="10:12" ht="13">
      <c r="J199" s="153">
        <v>182</v>
      </c>
      <c r="K199" s="154">
        <f t="shared" si="4"/>
        <v>49.72677595628415</v>
      </c>
      <c r="L199" s="161">
        <v>1.1882714033126831</v>
      </c>
    </row>
    <row r="200" spans="10:12" ht="13">
      <c r="J200" s="153">
        <v>183</v>
      </c>
      <c r="K200" s="154">
        <f t="shared" si="4"/>
        <v>50</v>
      </c>
      <c r="L200" s="161">
        <v>1.165357232093811</v>
      </c>
    </row>
    <row r="201" spans="10:12" ht="13">
      <c r="J201" s="153">
        <v>184</v>
      </c>
      <c r="K201" s="154">
        <f t="shared" si="4"/>
        <v>50.27322404371585</v>
      </c>
      <c r="L201" s="161">
        <v>1.1446477174758911</v>
      </c>
    </row>
    <row r="202" spans="10:12" ht="13">
      <c r="J202" s="153">
        <v>185</v>
      </c>
      <c r="K202" s="154">
        <f t="shared" si="4"/>
        <v>50.546448087431692</v>
      </c>
      <c r="L202" s="161">
        <v>1.1234999895095825</v>
      </c>
    </row>
    <row r="203" spans="10:12" ht="13">
      <c r="J203" s="153">
        <v>186</v>
      </c>
      <c r="K203" s="154">
        <f t="shared" si="4"/>
        <v>50.819672131147541</v>
      </c>
      <c r="L203" s="161">
        <v>1.1071476936340332</v>
      </c>
    </row>
    <row r="204" spans="10:12" ht="13">
      <c r="J204" s="153">
        <v>187</v>
      </c>
      <c r="K204" s="154">
        <f t="shared" si="4"/>
        <v>51.092896174863391</v>
      </c>
      <c r="L204" s="161">
        <v>1.0893000364303589</v>
      </c>
    </row>
    <row r="205" spans="10:12" ht="13">
      <c r="J205" s="153">
        <v>188</v>
      </c>
      <c r="K205" s="154">
        <f t="shared" si="4"/>
        <v>51.366120218579233</v>
      </c>
      <c r="L205" s="161">
        <v>1.0550856590270996</v>
      </c>
    </row>
    <row r="206" spans="10:12" ht="13">
      <c r="J206" s="153">
        <v>189</v>
      </c>
      <c r="K206" s="154">
        <f t="shared" si="4"/>
        <v>51.639344262295083</v>
      </c>
      <c r="L206" s="161">
        <v>1.0356951951980591</v>
      </c>
    </row>
    <row r="207" spans="10:12" ht="13">
      <c r="J207" s="153">
        <v>190</v>
      </c>
      <c r="K207" s="154">
        <f t="shared" si="4"/>
        <v>51.912568306010932</v>
      </c>
      <c r="L207" s="161">
        <v>1.0087189674377441</v>
      </c>
    </row>
    <row r="208" spans="10:12" ht="13">
      <c r="J208" s="153">
        <v>191</v>
      </c>
      <c r="K208" s="154">
        <f t="shared" si="4"/>
        <v>52.185792349726782</v>
      </c>
      <c r="L208" s="161">
        <v>0.98683327436447144</v>
      </c>
    </row>
    <row r="209" spans="10:12" ht="13">
      <c r="J209" s="153">
        <v>192</v>
      </c>
      <c r="K209" s="154">
        <f t="shared" si="4"/>
        <v>52.459016393442624</v>
      </c>
      <c r="L209" s="161">
        <v>0.96423810720443726</v>
      </c>
    </row>
    <row r="210" spans="10:12" ht="13">
      <c r="J210" s="153">
        <v>193</v>
      </c>
      <c r="K210" s="154">
        <f t="shared" si="4"/>
        <v>52.732240437158474</v>
      </c>
      <c r="L210" s="161">
        <v>0.94301432371139526</v>
      </c>
    </row>
    <row r="211" spans="10:12" ht="13">
      <c r="J211" s="153">
        <v>194</v>
      </c>
      <c r="K211" s="154">
        <f t="shared" si="4"/>
        <v>53.005464480874323</v>
      </c>
      <c r="L211" s="161">
        <v>0.92199528217315674</v>
      </c>
    </row>
    <row r="212" spans="10:12" ht="13">
      <c r="J212" s="153">
        <v>195</v>
      </c>
      <c r="K212" s="154">
        <f t="shared" ref="K212:K275" si="5">(J212/366)*100</f>
        <v>53.278688524590166</v>
      </c>
      <c r="L212" s="161">
        <v>0.90238571166992188</v>
      </c>
    </row>
    <row r="213" spans="10:12" ht="13">
      <c r="J213" s="153">
        <v>196</v>
      </c>
      <c r="K213" s="154">
        <f t="shared" si="5"/>
        <v>53.551912568306015</v>
      </c>
      <c r="L213" s="161">
        <v>0.88002866506576538</v>
      </c>
    </row>
    <row r="214" spans="10:12" ht="13">
      <c r="J214" s="153">
        <v>197</v>
      </c>
      <c r="K214" s="154">
        <f t="shared" si="5"/>
        <v>53.825136612021865</v>
      </c>
      <c r="L214" s="161">
        <v>0.86402374505996704</v>
      </c>
    </row>
    <row r="215" spans="10:12" ht="13">
      <c r="J215" s="153">
        <v>198</v>
      </c>
      <c r="K215" s="154">
        <f t="shared" si="5"/>
        <v>54.098360655737707</v>
      </c>
      <c r="L215" s="161">
        <v>0.84434765577316284</v>
      </c>
    </row>
    <row r="216" spans="10:12" ht="13">
      <c r="J216" s="153">
        <v>199</v>
      </c>
      <c r="K216" s="154">
        <f t="shared" si="5"/>
        <v>54.371584699453557</v>
      </c>
      <c r="L216" s="161">
        <v>0.82400476932525635</v>
      </c>
    </row>
    <row r="217" spans="10:12" ht="13">
      <c r="J217" s="153">
        <v>200</v>
      </c>
      <c r="K217" s="154">
        <f t="shared" si="5"/>
        <v>54.644808743169406</v>
      </c>
      <c r="L217" s="161">
        <v>0.8045000433921814</v>
      </c>
    </row>
    <row r="218" spans="10:12" ht="13">
      <c r="J218" s="153">
        <v>201</v>
      </c>
      <c r="K218" s="154">
        <f t="shared" si="5"/>
        <v>54.918032786885249</v>
      </c>
      <c r="L218" s="161">
        <v>0.78788095712661743</v>
      </c>
    </row>
    <row r="219" spans="10:12" ht="13">
      <c r="J219" s="153">
        <v>202</v>
      </c>
      <c r="K219" s="154">
        <f t="shared" si="5"/>
        <v>55.191256830601091</v>
      </c>
      <c r="L219" s="161">
        <v>0.75869995355606079</v>
      </c>
    </row>
    <row r="220" spans="10:12" ht="13">
      <c r="J220" s="153">
        <v>203</v>
      </c>
      <c r="K220" s="154">
        <f t="shared" si="5"/>
        <v>55.464480874316934</v>
      </c>
      <c r="L220" s="161">
        <v>0.74060952663421631</v>
      </c>
    </row>
    <row r="221" spans="10:12" ht="13">
      <c r="J221" s="153">
        <v>204</v>
      </c>
      <c r="K221" s="154">
        <f t="shared" si="5"/>
        <v>55.737704918032783</v>
      </c>
      <c r="L221" s="161">
        <v>0.71940946578979492</v>
      </c>
    </row>
    <row r="222" spans="10:12" ht="13">
      <c r="J222" s="153">
        <v>205</v>
      </c>
      <c r="K222" s="154">
        <f t="shared" si="5"/>
        <v>56.010928961748633</v>
      </c>
      <c r="L222" s="161">
        <v>0.69735723733901978</v>
      </c>
    </row>
    <row r="223" spans="10:12" ht="13">
      <c r="J223" s="153">
        <v>206</v>
      </c>
      <c r="K223" s="154">
        <f t="shared" si="5"/>
        <v>56.284153005464475</v>
      </c>
      <c r="L223" s="161">
        <v>0.67128092050552368</v>
      </c>
    </row>
    <row r="224" spans="10:12" ht="13">
      <c r="J224" s="153">
        <v>207</v>
      </c>
      <c r="K224" s="154">
        <f t="shared" si="5"/>
        <v>56.557377049180324</v>
      </c>
      <c r="L224" s="161">
        <v>0.659138023853302</v>
      </c>
    </row>
    <row r="225" spans="10:12" ht="13">
      <c r="J225" s="153">
        <v>208</v>
      </c>
      <c r="K225" s="154">
        <f t="shared" si="5"/>
        <v>56.830601092896174</v>
      </c>
      <c r="L225" s="161">
        <v>0.63705718517303467</v>
      </c>
    </row>
    <row r="226" spans="10:12" ht="13">
      <c r="J226" s="153">
        <v>209</v>
      </c>
      <c r="K226" s="154">
        <f t="shared" si="5"/>
        <v>57.103825136612016</v>
      </c>
      <c r="L226" s="161">
        <v>0.61373329162597656</v>
      </c>
    </row>
    <row r="227" spans="10:12" ht="13">
      <c r="J227" s="153">
        <v>210</v>
      </c>
      <c r="K227" s="154">
        <f t="shared" si="5"/>
        <v>57.377049180327866</v>
      </c>
      <c r="L227" s="161">
        <v>0.59760951995849609</v>
      </c>
    </row>
    <row r="228" spans="10:12" ht="13">
      <c r="J228" s="153">
        <v>211</v>
      </c>
      <c r="K228" s="154">
        <f t="shared" si="5"/>
        <v>57.650273224043715</v>
      </c>
      <c r="L228" s="161">
        <v>0.58283340930938721</v>
      </c>
    </row>
    <row r="229" spans="10:12" ht="13">
      <c r="J229" s="153">
        <v>212</v>
      </c>
      <c r="K229" s="154">
        <f t="shared" si="5"/>
        <v>57.923497267759558</v>
      </c>
      <c r="L229" s="161">
        <v>0.56537145376205444</v>
      </c>
    </row>
    <row r="230" spans="10:12" ht="13">
      <c r="J230" s="153">
        <v>213</v>
      </c>
      <c r="K230" s="154">
        <f t="shared" si="5"/>
        <v>58.196721311475407</v>
      </c>
      <c r="L230" s="161">
        <v>0.55147618055343628</v>
      </c>
    </row>
    <row r="231" spans="10:12" ht="13">
      <c r="J231" s="153">
        <v>214</v>
      </c>
      <c r="K231" s="154">
        <f t="shared" si="5"/>
        <v>58.469945355191257</v>
      </c>
      <c r="L231" s="161">
        <v>0.53636181354522705</v>
      </c>
    </row>
    <row r="232" spans="10:12" ht="13">
      <c r="J232" s="153">
        <v>215</v>
      </c>
      <c r="K232" s="154">
        <f t="shared" si="5"/>
        <v>58.743169398907099</v>
      </c>
      <c r="L232" s="161">
        <v>0.51914763450622559</v>
      </c>
    </row>
    <row r="233" spans="10:12" ht="13">
      <c r="J233" s="153">
        <v>216</v>
      </c>
      <c r="K233" s="154">
        <f t="shared" si="5"/>
        <v>59.016393442622949</v>
      </c>
      <c r="L233" s="161">
        <v>0.50336188077926636</v>
      </c>
    </row>
    <row r="234" spans="10:12" ht="13">
      <c r="J234" s="153">
        <v>217</v>
      </c>
      <c r="K234" s="154">
        <f t="shared" si="5"/>
        <v>59.289617486338798</v>
      </c>
      <c r="L234" s="161">
        <v>0.48257619142532349</v>
      </c>
    </row>
    <row r="235" spans="10:12" ht="13">
      <c r="J235" s="153">
        <v>218</v>
      </c>
      <c r="K235" s="154">
        <f t="shared" si="5"/>
        <v>59.562841530054641</v>
      </c>
      <c r="L235" s="161">
        <v>0.46548572182655334</v>
      </c>
    </row>
    <row r="236" spans="10:12" ht="13">
      <c r="J236" s="153">
        <v>219</v>
      </c>
      <c r="K236" s="154">
        <f t="shared" si="5"/>
        <v>59.83606557377049</v>
      </c>
      <c r="L236" s="161">
        <v>0.45223808288574219</v>
      </c>
    </row>
    <row r="237" spans="10:12" ht="13">
      <c r="J237" s="153">
        <v>220</v>
      </c>
      <c r="K237" s="154">
        <f t="shared" si="5"/>
        <v>60.10928961748634</v>
      </c>
      <c r="L237" s="161">
        <v>0.43957144021987915</v>
      </c>
    </row>
    <row r="238" spans="10:12" ht="13">
      <c r="J238" s="153">
        <v>221</v>
      </c>
      <c r="K238" s="154">
        <f t="shared" si="5"/>
        <v>60.382513661202189</v>
      </c>
      <c r="L238" s="161">
        <v>0.42689996957778931</v>
      </c>
    </row>
    <row r="239" spans="10:12" ht="13">
      <c r="J239" s="153">
        <v>222</v>
      </c>
      <c r="K239" s="154">
        <f t="shared" si="5"/>
        <v>60.655737704918032</v>
      </c>
      <c r="L239" s="161">
        <v>0.41313335299491882</v>
      </c>
    </row>
    <row r="240" spans="10:12" ht="13">
      <c r="J240" s="153">
        <v>223</v>
      </c>
      <c r="K240" s="154">
        <f t="shared" si="5"/>
        <v>60.928961748633881</v>
      </c>
      <c r="L240" s="161">
        <v>0.40404760837554932</v>
      </c>
    </row>
    <row r="241" spans="10:12" ht="13">
      <c r="J241" s="153">
        <v>224</v>
      </c>
      <c r="K241" s="154">
        <f t="shared" si="5"/>
        <v>61.202185792349731</v>
      </c>
      <c r="L241" s="161">
        <v>0.39189523458480835</v>
      </c>
    </row>
    <row r="242" spans="10:12" ht="13">
      <c r="J242" s="153">
        <v>225</v>
      </c>
      <c r="K242" s="154">
        <f t="shared" si="5"/>
        <v>61.475409836065573</v>
      </c>
      <c r="L242" s="161">
        <v>0.37951427698135376</v>
      </c>
    </row>
    <row r="243" spans="10:12" ht="13">
      <c r="J243" s="153">
        <v>226</v>
      </c>
      <c r="K243" s="154">
        <f t="shared" si="5"/>
        <v>61.748633879781423</v>
      </c>
      <c r="L243" s="161">
        <v>0.36800473928451538</v>
      </c>
    </row>
    <row r="244" spans="10:12" ht="13">
      <c r="J244" s="153">
        <v>227</v>
      </c>
      <c r="K244" s="154">
        <f t="shared" si="5"/>
        <v>62.021857923497272</v>
      </c>
      <c r="L244" s="161">
        <v>0.35802856087684631</v>
      </c>
    </row>
    <row r="245" spans="10:12" ht="13">
      <c r="J245" s="153">
        <v>228</v>
      </c>
      <c r="K245" s="154">
        <f t="shared" si="5"/>
        <v>62.295081967213115</v>
      </c>
      <c r="L245" s="161">
        <v>0.3485381007194519</v>
      </c>
    </row>
    <row r="246" spans="10:12" ht="13">
      <c r="J246" s="153">
        <v>229</v>
      </c>
      <c r="K246" s="154">
        <f t="shared" si="5"/>
        <v>62.568306010928964</v>
      </c>
      <c r="L246" s="161">
        <v>0.33971908688545227</v>
      </c>
    </row>
    <row r="247" spans="10:12" ht="13">
      <c r="J247" s="153">
        <v>230</v>
      </c>
      <c r="K247" s="154">
        <f t="shared" si="5"/>
        <v>62.841530054644814</v>
      </c>
      <c r="L247" s="161">
        <v>0.33224764466285706</v>
      </c>
    </row>
    <row r="248" spans="10:12" ht="13">
      <c r="J248" s="153">
        <v>231</v>
      </c>
      <c r="K248" s="154">
        <f t="shared" si="5"/>
        <v>63.114754098360656</v>
      </c>
      <c r="L248" s="161">
        <v>0.32630476355552673</v>
      </c>
    </row>
    <row r="249" spans="10:12" ht="13">
      <c r="J249" s="153">
        <v>232</v>
      </c>
      <c r="K249" s="154">
        <f t="shared" si="5"/>
        <v>63.387978142076506</v>
      </c>
      <c r="L249" s="161">
        <v>0.31650003790855408</v>
      </c>
    </row>
    <row r="250" spans="10:12" ht="13">
      <c r="J250" s="153">
        <v>233</v>
      </c>
      <c r="K250" s="154">
        <f t="shared" si="5"/>
        <v>63.661202185792355</v>
      </c>
      <c r="L250" s="161">
        <v>0.30624285340309143</v>
      </c>
    </row>
    <row r="251" spans="10:12" ht="13">
      <c r="J251" s="153">
        <v>234</v>
      </c>
      <c r="K251" s="154">
        <f t="shared" si="5"/>
        <v>63.934426229508205</v>
      </c>
      <c r="L251" s="161">
        <v>0.29941901564598083</v>
      </c>
    </row>
    <row r="252" spans="10:12" ht="13">
      <c r="J252" s="153">
        <v>235</v>
      </c>
      <c r="K252" s="154">
        <f t="shared" si="5"/>
        <v>64.207650273224047</v>
      </c>
      <c r="L252" s="161">
        <v>0.2929571270942688</v>
      </c>
    </row>
    <row r="253" spans="10:12" ht="13">
      <c r="J253" s="153">
        <v>236</v>
      </c>
      <c r="K253" s="154">
        <f t="shared" si="5"/>
        <v>64.480874316939889</v>
      </c>
      <c r="L253" s="161">
        <v>0.28483337163925171</v>
      </c>
    </row>
    <row r="254" spans="10:12" ht="13">
      <c r="J254" s="153">
        <v>237</v>
      </c>
      <c r="K254" s="154">
        <f t="shared" si="5"/>
        <v>64.754098360655746</v>
      </c>
      <c r="L254" s="161">
        <v>0.27465242147445679</v>
      </c>
    </row>
    <row r="255" spans="10:12" ht="13">
      <c r="J255" s="153">
        <v>238</v>
      </c>
      <c r="K255" s="154">
        <f t="shared" si="5"/>
        <v>65.027322404371574</v>
      </c>
      <c r="L255" s="161">
        <v>0.2686428427696228</v>
      </c>
    </row>
    <row r="256" spans="10:12" ht="13">
      <c r="J256" s="153">
        <v>239</v>
      </c>
      <c r="K256" s="154">
        <f t="shared" si="5"/>
        <v>65.300546448087431</v>
      </c>
      <c r="L256" s="161">
        <v>0.26274284720420837</v>
      </c>
    </row>
    <row r="257" spans="10:12" ht="13">
      <c r="J257" s="153">
        <v>240</v>
      </c>
      <c r="K257" s="154">
        <f t="shared" si="5"/>
        <v>65.573770491803273</v>
      </c>
      <c r="L257" s="161">
        <v>0.25789046287536621</v>
      </c>
    </row>
    <row r="258" spans="10:12" ht="13">
      <c r="J258" s="153">
        <v>241</v>
      </c>
      <c r="K258" s="154">
        <f t="shared" si="5"/>
        <v>65.846994535519116</v>
      </c>
      <c r="L258" s="161">
        <v>0.25156664848327637</v>
      </c>
    </row>
    <row r="259" spans="10:12" ht="13">
      <c r="J259" s="153">
        <v>242</v>
      </c>
      <c r="K259" s="154">
        <f t="shared" si="5"/>
        <v>66.120218579234972</v>
      </c>
      <c r="L259" s="161">
        <v>0.24606668949127197</v>
      </c>
    </row>
    <row r="260" spans="10:12" ht="13">
      <c r="J260" s="153">
        <v>243</v>
      </c>
      <c r="K260" s="154">
        <f t="shared" si="5"/>
        <v>66.393442622950815</v>
      </c>
      <c r="L260" s="161">
        <v>0.2399476170539856</v>
      </c>
    </row>
    <row r="261" spans="10:12" ht="13">
      <c r="J261" s="153">
        <v>244</v>
      </c>
      <c r="K261" s="154">
        <f t="shared" si="5"/>
        <v>66.666666666666657</v>
      </c>
      <c r="L261" s="161">
        <v>0.23177143931388855</v>
      </c>
    </row>
    <row r="262" spans="10:12" ht="13">
      <c r="J262" s="153">
        <v>245</v>
      </c>
      <c r="K262" s="154">
        <f t="shared" si="5"/>
        <v>66.939890710382514</v>
      </c>
      <c r="L262" s="161">
        <v>0.22796666622161865</v>
      </c>
    </row>
    <row r="263" spans="10:12" ht="13">
      <c r="J263" s="153">
        <v>246</v>
      </c>
      <c r="K263" s="154">
        <f t="shared" si="5"/>
        <v>67.213114754098356</v>
      </c>
      <c r="L263" s="161">
        <v>0.22171904146671295</v>
      </c>
    </row>
    <row r="264" spans="10:12" ht="13">
      <c r="J264" s="153">
        <v>247</v>
      </c>
      <c r="K264" s="154">
        <f t="shared" si="5"/>
        <v>67.486338797814199</v>
      </c>
      <c r="L264" s="161">
        <v>0.21719525754451752</v>
      </c>
    </row>
    <row r="265" spans="10:12" ht="13">
      <c r="J265" s="153">
        <v>248</v>
      </c>
      <c r="K265" s="154">
        <f t="shared" si="5"/>
        <v>67.759562841530055</v>
      </c>
      <c r="L265" s="161">
        <v>0.21196191012859344</v>
      </c>
    </row>
    <row r="266" spans="10:12" ht="13">
      <c r="J266" s="153">
        <v>249</v>
      </c>
      <c r="K266" s="154">
        <f t="shared" si="5"/>
        <v>68.032786885245898</v>
      </c>
      <c r="L266" s="161">
        <v>0.20817144215106964</v>
      </c>
    </row>
    <row r="267" spans="10:12" ht="13">
      <c r="J267" s="153">
        <v>250</v>
      </c>
      <c r="K267" s="154">
        <f t="shared" si="5"/>
        <v>68.30601092896174</v>
      </c>
      <c r="L267" s="161">
        <v>0.20500001311302185</v>
      </c>
    </row>
    <row r="268" spans="10:12" ht="13">
      <c r="J268" s="153">
        <v>251</v>
      </c>
      <c r="K268" s="154">
        <f t="shared" si="5"/>
        <v>68.579234972677597</v>
      </c>
      <c r="L268" s="161">
        <v>0.19977621734142303</v>
      </c>
    </row>
    <row r="269" spans="10:12" ht="13">
      <c r="J269" s="153">
        <v>252</v>
      </c>
      <c r="K269" s="154">
        <f t="shared" si="5"/>
        <v>68.852459016393439</v>
      </c>
      <c r="L269" s="161">
        <v>0.19508093595504761</v>
      </c>
    </row>
    <row r="270" spans="10:12" ht="13">
      <c r="J270" s="153">
        <v>253</v>
      </c>
      <c r="K270" s="154">
        <f t="shared" si="5"/>
        <v>69.125683060109282</v>
      </c>
      <c r="L270" s="161">
        <v>0.19061429798603058</v>
      </c>
    </row>
    <row r="271" spans="10:12" ht="13">
      <c r="J271" s="153">
        <v>254</v>
      </c>
      <c r="K271" s="154">
        <f t="shared" si="5"/>
        <v>69.398907103825138</v>
      </c>
      <c r="L271" s="161">
        <v>0.18625238537788391</v>
      </c>
    </row>
    <row r="272" spans="10:12" ht="13">
      <c r="J272" s="153">
        <v>255</v>
      </c>
      <c r="K272" s="154">
        <f t="shared" si="5"/>
        <v>69.672131147540981</v>
      </c>
      <c r="L272" s="161">
        <v>0.18263570964336395</v>
      </c>
    </row>
    <row r="273" spans="10:12" ht="13">
      <c r="J273" s="153">
        <v>256</v>
      </c>
      <c r="K273" s="154">
        <f t="shared" si="5"/>
        <v>69.945355191256837</v>
      </c>
      <c r="L273" s="161">
        <v>0.17863236367702484</v>
      </c>
    </row>
    <row r="274" spans="10:12" ht="13">
      <c r="J274" s="153">
        <v>257</v>
      </c>
      <c r="K274" s="154">
        <f t="shared" si="5"/>
        <v>70.21857923497268</v>
      </c>
      <c r="L274" s="161">
        <v>0.17516237497329712</v>
      </c>
    </row>
    <row r="275" spans="10:12" ht="13">
      <c r="J275" s="153">
        <v>258</v>
      </c>
      <c r="K275" s="154">
        <f t="shared" si="5"/>
        <v>70.491803278688522</v>
      </c>
      <c r="L275" s="161">
        <v>0.17208667099475861</v>
      </c>
    </row>
    <row r="276" spans="10:12" ht="13">
      <c r="J276" s="153">
        <v>259</v>
      </c>
      <c r="K276" s="154">
        <f t="shared" ref="K276:K339" si="6">(J276/366)*100</f>
        <v>70.765027322404379</v>
      </c>
      <c r="L276" s="161">
        <v>0.16873380541801453</v>
      </c>
    </row>
    <row r="277" spans="10:12" ht="13">
      <c r="J277" s="153">
        <v>260</v>
      </c>
      <c r="K277" s="154">
        <f t="shared" si="6"/>
        <v>71.038251366120221</v>
      </c>
      <c r="L277" s="161">
        <v>0.16596570611000061</v>
      </c>
    </row>
    <row r="278" spans="10:12" ht="13">
      <c r="J278" s="153">
        <v>261</v>
      </c>
      <c r="K278" s="154">
        <f t="shared" si="6"/>
        <v>71.311475409836063</v>
      </c>
      <c r="L278" s="161">
        <v>0.16299951076507568</v>
      </c>
    </row>
    <row r="279" spans="10:12" ht="13">
      <c r="J279" s="153">
        <v>262</v>
      </c>
      <c r="K279" s="154">
        <f t="shared" si="6"/>
        <v>71.58469945355192</v>
      </c>
      <c r="L279" s="161">
        <v>0.16006426513195038</v>
      </c>
    </row>
    <row r="280" spans="10:12" ht="13">
      <c r="J280" s="153">
        <v>263</v>
      </c>
      <c r="K280" s="154">
        <f t="shared" si="6"/>
        <v>71.857923497267763</v>
      </c>
      <c r="L280" s="161">
        <v>0.1575266569852829</v>
      </c>
    </row>
    <row r="281" spans="10:12" ht="13">
      <c r="J281" s="153">
        <v>264</v>
      </c>
      <c r="K281" s="154">
        <f t="shared" si="6"/>
        <v>72.131147540983605</v>
      </c>
      <c r="L281" s="161">
        <v>0.15258191525936127</v>
      </c>
    </row>
    <row r="282" spans="10:12" ht="13">
      <c r="J282" s="153">
        <v>265</v>
      </c>
      <c r="K282" s="154">
        <f t="shared" si="6"/>
        <v>72.404371584699462</v>
      </c>
      <c r="L282" s="161">
        <v>0.14899285137653351</v>
      </c>
    </row>
    <row r="283" spans="10:12" ht="13">
      <c r="J283" s="153">
        <v>266</v>
      </c>
      <c r="K283" s="154">
        <f t="shared" si="6"/>
        <v>72.677595628415304</v>
      </c>
      <c r="L283" s="161">
        <v>0.1460857093334198</v>
      </c>
    </row>
    <row r="284" spans="10:12" ht="13">
      <c r="J284" s="153">
        <v>267</v>
      </c>
      <c r="K284" s="154">
        <f t="shared" si="6"/>
        <v>72.950819672131146</v>
      </c>
      <c r="L284" s="161">
        <v>0.14325523376464844</v>
      </c>
    </row>
    <row r="285" spans="10:12" ht="13">
      <c r="J285" s="153">
        <v>268</v>
      </c>
      <c r="K285" s="154">
        <f t="shared" si="6"/>
        <v>73.224043715847003</v>
      </c>
      <c r="L285" s="161">
        <v>0.14138570427894592</v>
      </c>
    </row>
    <row r="286" spans="10:12" ht="13">
      <c r="J286" s="153">
        <v>269</v>
      </c>
      <c r="K286" s="154">
        <f t="shared" si="6"/>
        <v>73.497267759562845</v>
      </c>
      <c r="L286" s="161">
        <v>0.13895523548126221</v>
      </c>
    </row>
    <row r="287" spans="10:12" ht="13">
      <c r="J287" s="153">
        <v>270</v>
      </c>
      <c r="K287" s="154">
        <f t="shared" si="6"/>
        <v>73.770491803278688</v>
      </c>
      <c r="L287" s="161">
        <v>0.13568761944770813</v>
      </c>
    </row>
    <row r="288" spans="10:12" ht="13">
      <c r="J288" s="153">
        <v>271</v>
      </c>
      <c r="K288" s="154">
        <f t="shared" si="6"/>
        <v>74.043715846994544</v>
      </c>
      <c r="L288" s="161">
        <v>0.13434191048145294</v>
      </c>
    </row>
    <row r="289" spans="10:12" ht="13">
      <c r="J289" s="153">
        <v>272</v>
      </c>
      <c r="K289" s="154">
        <f t="shared" si="6"/>
        <v>74.316939890710387</v>
      </c>
      <c r="L289" s="161">
        <v>0.13189142942428589</v>
      </c>
    </row>
    <row r="290" spans="10:12" ht="13">
      <c r="J290" s="153">
        <v>273</v>
      </c>
      <c r="K290" s="154">
        <f t="shared" si="6"/>
        <v>74.590163934426229</v>
      </c>
      <c r="L290" s="161">
        <v>0.13020619750022888</v>
      </c>
    </row>
    <row r="291" spans="10:12" ht="13">
      <c r="J291" s="153">
        <v>274</v>
      </c>
      <c r="K291" s="154">
        <f t="shared" si="6"/>
        <v>74.863387978142086</v>
      </c>
      <c r="L291" s="161">
        <v>0.12816478312015533</v>
      </c>
    </row>
    <row r="292" spans="10:12" ht="13">
      <c r="J292" s="153">
        <v>275</v>
      </c>
      <c r="K292" s="154">
        <f t="shared" si="6"/>
        <v>75.136612021857914</v>
      </c>
      <c r="L292" s="161">
        <v>0.12617571651935577</v>
      </c>
    </row>
    <row r="293" spans="10:12" ht="13">
      <c r="J293" s="153">
        <v>276</v>
      </c>
      <c r="K293" s="154">
        <f t="shared" si="6"/>
        <v>75.409836065573771</v>
      </c>
      <c r="L293" s="161">
        <v>0.12461332231760025</v>
      </c>
    </row>
    <row r="294" spans="10:12" ht="13">
      <c r="J294" s="153">
        <v>277</v>
      </c>
      <c r="K294" s="154">
        <f t="shared" si="6"/>
        <v>75.683060109289613</v>
      </c>
      <c r="L294" s="161">
        <v>0.12276621162891388</v>
      </c>
    </row>
    <row r="295" spans="10:12" ht="13">
      <c r="J295" s="153">
        <v>278</v>
      </c>
      <c r="K295" s="154">
        <f t="shared" si="6"/>
        <v>75.956284153005456</v>
      </c>
      <c r="L295" s="161">
        <v>0.12134762853384018</v>
      </c>
    </row>
    <row r="296" spans="10:12" ht="13">
      <c r="J296" s="153">
        <v>279</v>
      </c>
      <c r="K296" s="154">
        <f t="shared" si="6"/>
        <v>76.229508196721312</v>
      </c>
      <c r="L296" s="161">
        <v>0.11927475035190582</v>
      </c>
    </row>
    <row r="297" spans="10:12" ht="13">
      <c r="J297" s="153">
        <v>280</v>
      </c>
      <c r="K297" s="154">
        <f t="shared" si="6"/>
        <v>76.502732240437155</v>
      </c>
      <c r="L297" s="161">
        <v>0.11745189130306244</v>
      </c>
    </row>
    <row r="298" spans="10:12" ht="13">
      <c r="J298" s="153">
        <v>281</v>
      </c>
      <c r="K298" s="154">
        <f t="shared" si="6"/>
        <v>76.775956284152997</v>
      </c>
      <c r="L298" s="161">
        <v>0.1153833270072937</v>
      </c>
    </row>
    <row r="299" spans="10:12" ht="13">
      <c r="J299" s="153">
        <v>282</v>
      </c>
      <c r="K299" s="154">
        <f t="shared" si="6"/>
        <v>77.049180327868854</v>
      </c>
      <c r="L299" s="161">
        <v>0.11364904791116714</v>
      </c>
    </row>
    <row r="300" spans="10:12" ht="13">
      <c r="J300" s="153">
        <v>283</v>
      </c>
      <c r="K300" s="154">
        <f t="shared" si="6"/>
        <v>77.322404371584696</v>
      </c>
      <c r="L300" s="161">
        <v>0.11230475455522537</v>
      </c>
    </row>
    <row r="301" spans="10:12" ht="13">
      <c r="J301" s="153">
        <v>284</v>
      </c>
      <c r="K301" s="154">
        <f t="shared" si="6"/>
        <v>77.595628415300538</v>
      </c>
      <c r="L301" s="161">
        <v>0.11076667159795761</v>
      </c>
    </row>
    <row r="302" spans="10:12" ht="13">
      <c r="J302" s="153">
        <v>285</v>
      </c>
      <c r="K302" s="154">
        <f t="shared" si="6"/>
        <v>77.868852459016395</v>
      </c>
      <c r="L302" s="161">
        <v>0.1094028502702713</v>
      </c>
    </row>
    <row r="303" spans="10:12" ht="13">
      <c r="J303" s="153">
        <v>286</v>
      </c>
      <c r="K303" s="154">
        <f t="shared" si="6"/>
        <v>78.142076502732237</v>
      </c>
      <c r="L303" s="161">
        <v>0.10817284882068634</v>
      </c>
    </row>
    <row r="304" spans="10:12" ht="13">
      <c r="J304" s="153">
        <v>287</v>
      </c>
      <c r="K304" s="154">
        <f t="shared" si="6"/>
        <v>78.41530054644808</v>
      </c>
      <c r="L304" s="161">
        <v>0.10689761489629745</v>
      </c>
    </row>
    <row r="305" spans="10:12" ht="13">
      <c r="J305" s="153">
        <v>288</v>
      </c>
      <c r="K305" s="154">
        <f t="shared" si="6"/>
        <v>78.688524590163937</v>
      </c>
      <c r="L305" s="161">
        <v>0.10586903989315033</v>
      </c>
    </row>
    <row r="306" spans="10:12" ht="13">
      <c r="J306" s="153">
        <v>289</v>
      </c>
      <c r="K306" s="154">
        <f t="shared" si="6"/>
        <v>78.961748633879779</v>
      </c>
      <c r="L306" s="161">
        <v>0.10397999733686447</v>
      </c>
    </row>
    <row r="307" spans="10:12" ht="13">
      <c r="J307" s="153">
        <v>290</v>
      </c>
      <c r="K307" s="154">
        <f t="shared" si="6"/>
        <v>79.234972677595621</v>
      </c>
      <c r="L307" s="161">
        <v>0.10281809419393539</v>
      </c>
    </row>
    <row r="308" spans="10:12" ht="13">
      <c r="J308" s="153">
        <v>291</v>
      </c>
      <c r="K308" s="154">
        <f t="shared" si="6"/>
        <v>79.508196721311478</v>
      </c>
      <c r="L308" s="161">
        <v>0.10136809945106506</v>
      </c>
    </row>
    <row r="309" spans="10:12" ht="13">
      <c r="J309" s="153">
        <v>292</v>
      </c>
      <c r="K309" s="154">
        <f t="shared" si="6"/>
        <v>79.78142076502732</v>
      </c>
      <c r="L309" s="161">
        <v>0.10020190477371216</v>
      </c>
    </row>
    <row r="310" spans="10:12" ht="13">
      <c r="J310" s="153">
        <v>293</v>
      </c>
      <c r="K310" s="154">
        <f t="shared" si="6"/>
        <v>80.054644808743163</v>
      </c>
      <c r="L310" s="161">
        <v>9.8797619342803955E-2</v>
      </c>
    </row>
    <row r="311" spans="10:12" ht="13">
      <c r="J311" s="153">
        <v>294</v>
      </c>
      <c r="K311" s="154">
        <f t="shared" si="6"/>
        <v>80.327868852459019</v>
      </c>
      <c r="L311" s="161">
        <v>9.7572393715381622E-2</v>
      </c>
    </row>
    <row r="312" spans="10:12" ht="13">
      <c r="J312" s="153">
        <v>295</v>
      </c>
      <c r="K312" s="154">
        <f t="shared" si="6"/>
        <v>80.601092896174862</v>
      </c>
      <c r="L312" s="161">
        <v>9.6440471708774567E-2</v>
      </c>
    </row>
    <row r="313" spans="10:12" ht="13">
      <c r="J313" s="153">
        <v>296</v>
      </c>
      <c r="K313" s="154">
        <f t="shared" si="6"/>
        <v>80.874316939890718</v>
      </c>
      <c r="L313" s="161">
        <v>9.5399513840675354E-2</v>
      </c>
    </row>
    <row r="314" spans="10:12" ht="13">
      <c r="J314" s="153">
        <v>297</v>
      </c>
      <c r="K314" s="154">
        <f t="shared" si="6"/>
        <v>81.147540983606561</v>
      </c>
      <c r="L314" s="161">
        <v>9.4057142734527588E-2</v>
      </c>
    </row>
    <row r="315" spans="10:12" ht="13">
      <c r="J315" s="153">
        <v>298</v>
      </c>
      <c r="K315" s="154">
        <f t="shared" si="6"/>
        <v>81.420765027322403</v>
      </c>
      <c r="L315" s="161">
        <v>9.3217149376869202E-2</v>
      </c>
    </row>
    <row r="316" spans="10:12" ht="13">
      <c r="J316" s="153">
        <v>299</v>
      </c>
      <c r="K316" s="154">
        <f t="shared" si="6"/>
        <v>81.69398907103826</v>
      </c>
      <c r="L316" s="161">
        <v>9.2504285275936127E-2</v>
      </c>
    </row>
    <row r="317" spans="10:12" ht="13">
      <c r="J317" s="153">
        <v>300</v>
      </c>
      <c r="K317" s="154">
        <f t="shared" si="6"/>
        <v>81.967213114754102</v>
      </c>
      <c r="L317" s="161">
        <v>9.0974755585193634E-2</v>
      </c>
    </row>
    <row r="318" spans="10:12" ht="13">
      <c r="J318" s="153">
        <v>301</v>
      </c>
      <c r="K318" s="154">
        <f t="shared" si="6"/>
        <v>82.240437158469945</v>
      </c>
      <c r="L318" s="161">
        <v>9.0247631072998047E-2</v>
      </c>
    </row>
    <row r="319" spans="10:12" ht="13">
      <c r="J319" s="153">
        <v>302</v>
      </c>
      <c r="K319" s="154">
        <f t="shared" si="6"/>
        <v>82.513661202185801</v>
      </c>
      <c r="L319" s="161">
        <v>8.9180469512939453E-2</v>
      </c>
    </row>
    <row r="320" spans="10:12" ht="13">
      <c r="J320" s="153">
        <v>303</v>
      </c>
      <c r="K320" s="154">
        <f t="shared" si="6"/>
        <v>82.786885245901644</v>
      </c>
      <c r="L320" s="161">
        <v>8.8548094034194946E-2</v>
      </c>
    </row>
    <row r="321" spans="10:12" ht="13">
      <c r="J321" s="153">
        <v>304</v>
      </c>
      <c r="K321" s="154">
        <f t="shared" si="6"/>
        <v>83.060109289617486</v>
      </c>
      <c r="L321" s="161">
        <v>8.7719529867172241E-2</v>
      </c>
    </row>
    <row r="322" spans="10:12" ht="13">
      <c r="J322" s="153">
        <v>305</v>
      </c>
      <c r="K322" s="154">
        <f t="shared" si="6"/>
        <v>83.333333333333343</v>
      </c>
      <c r="L322" s="161">
        <v>8.681333065032959E-2</v>
      </c>
    </row>
    <row r="323" spans="10:12" ht="13">
      <c r="J323" s="153">
        <v>306</v>
      </c>
      <c r="K323" s="154">
        <f t="shared" si="6"/>
        <v>83.606557377049185</v>
      </c>
      <c r="L323" s="161">
        <v>8.6047150194644928E-2</v>
      </c>
    </row>
    <row r="324" spans="10:12" ht="13">
      <c r="J324" s="153">
        <v>307</v>
      </c>
      <c r="K324" s="154">
        <f t="shared" si="6"/>
        <v>83.879781420765028</v>
      </c>
      <c r="L324" s="161">
        <v>8.5043802857398987E-2</v>
      </c>
    </row>
    <row r="325" spans="10:12" ht="13">
      <c r="J325" s="153">
        <v>308</v>
      </c>
      <c r="K325" s="154">
        <f t="shared" si="6"/>
        <v>84.153005464480884</v>
      </c>
      <c r="L325" s="161">
        <v>8.4210462868213654E-2</v>
      </c>
    </row>
    <row r="326" spans="10:12" ht="13">
      <c r="J326" s="153">
        <v>309</v>
      </c>
      <c r="K326" s="154">
        <f t="shared" si="6"/>
        <v>84.426229508196727</v>
      </c>
      <c r="L326" s="161">
        <v>8.3355233073234558E-2</v>
      </c>
    </row>
    <row r="327" spans="10:12" ht="13">
      <c r="J327" s="153">
        <v>310</v>
      </c>
      <c r="K327" s="154">
        <f t="shared" si="6"/>
        <v>84.699453551912569</v>
      </c>
      <c r="L327" s="161">
        <v>8.2903802394866943E-2</v>
      </c>
    </row>
    <row r="328" spans="10:12" ht="13">
      <c r="J328" s="153">
        <v>311</v>
      </c>
      <c r="K328" s="154">
        <f t="shared" si="6"/>
        <v>84.972677595628426</v>
      </c>
      <c r="L328" s="161">
        <v>8.1827610731124878E-2</v>
      </c>
    </row>
    <row r="329" spans="10:12" ht="13">
      <c r="J329" s="153">
        <v>312</v>
      </c>
      <c r="K329" s="154">
        <f t="shared" si="6"/>
        <v>85.245901639344254</v>
      </c>
      <c r="L329" s="161">
        <v>8.1042848527431488E-2</v>
      </c>
    </row>
    <row r="330" spans="10:12" ht="13">
      <c r="J330" s="153">
        <v>313</v>
      </c>
      <c r="K330" s="154">
        <f t="shared" si="6"/>
        <v>85.519125683060111</v>
      </c>
      <c r="L330" s="161">
        <v>8.0211430788040161E-2</v>
      </c>
    </row>
    <row r="331" spans="10:12" ht="13">
      <c r="J331" s="153">
        <v>314</v>
      </c>
      <c r="K331" s="154">
        <f t="shared" si="6"/>
        <v>85.792349726775953</v>
      </c>
      <c r="L331" s="161">
        <v>7.9377144575119019E-2</v>
      </c>
    </row>
    <row r="332" spans="10:12" ht="13">
      <c r="J332" s="153">
        <v>315</v>
      </c>
      <c r="K332" s="154">
        <f t="shared" si="6"/>
        <v>86.065573770491795</v>
      </c>
      <c r="L332" s="161">
        <v>7.8831426799297333E-2</v>
      </c>
    </row>
    <row r="333" spans="10:12" ht="13">
      <c r="J333" s="153">
        <v>316</v>
      </c>
      <c r="K333" s="154">
        <f t="shared" si="6"/>
        <v>86.338797814207652</v>
      </c>
      <c r="L333" s="161">
        <v>7.8092858195304871E-2</v>
      </c>
    </row>
    <row r="334" spans="10:12" ht="13">
      <c r="J334" s="153">
        <v>317</v>
      </c>
      <c r="K334" s="154">
        <f t="shared" si="6"/>
        <v>86.612021857923494</v>
      </c>
      <c r="L334" s="161">
        <v>7.7668569982051849E-2</v>
      </c>
    </row>
    <row r="335" spans="10:12" ht="13">
      <c r="J335" s="153">
        <v>318</v>
      </c>
      <c r="K335" s="154">
        <f t="shared" si="6"/>
        <v>86.885245901639337</v>
      </c>
      <c r="L335" s="161">
        <v>7.6770476996898651E-2</v>
      </c>
    </row>
    <row r="336" spans="10:12" ht="13">
      <c r="J336" s="153">
        <v>319</v>
      </c>
      <c r="K336" s="154">
        <f t="shared" si="6"/>
        <v>87.158469945355193</v>
      </c>
      <c r="L336" s="161">
        <v>7.6261900365352631E-2</v>
      </c>
    </row>
    <row r="337" spans="10:12" ht="13">
      <c r="J337" s="153">
        <v>320</v>
      </c>
      <c r="K337" s="154">
        <f t="shared" si="6"/>
        <v>87.431693989071036</v>
      </c>
      <c r="L337" s="161">
        <v>7.5481906533241272E-2</v>
      </c>
    </row>
    <row r="338" spans="10:12" ht="13">
      <c r="J338" s="153">
        <v>321</v>
      </c>
      <c r="K338" s="154">
        <f t="shared" si="6"/>
        <v>87.704918032786878</v>
      </c>
      <c r="L338" s="161">
        <v>7.4872858822345734E-2</v>
      </c>
    </row>
    <row r="339" spans="10:12" ht="13">
      <c r="J339" s="153">
        <v>322</v>
      </c>
      <c r="K339" s="154">
        <f t="shared" si="6"/>
        <v>87.978142076502735</v>
      </c>
      <c r="L339" s="161">
        <v>7.4143335223197937E-2</v>
      </c>
    </row>
    <row r="340" spans="10:12" ht="13">
      <c r="J340" s="153">
        <v>323</v>
      </c>
      <c r="K340" s="154">
        <f t="shared" ref="K340:K382" si="7">(J340/366)*100</f>
        <v>88.251366120218577</v>
      </c>
      <c r="L340" s="161">
        <v>7.3577150702476501E-2</v>
      </c>
    </row>
    <row r="341" spans="10:12" ht="13">
      <c r="J341" s="153">
        <v>324</v>
      </c>
      <c r="K341" s="154">
        <f t="shared" si="7"/>
        <v>88.52459016393442</v>
      </c>
      <c r="L341" s="161">
        <v>7.2890467941761017E-2</v>
      </c>
    </row>
    <row r="342" spans="10:12" ht="13">
      <c r="J342" s="153">
        <v>325</v>
      </c>
      <c r="K342" s="154">
        <f t="shared" si="7"/>
        <v>88.797814207650276</v>
      </c>
      <c r="L342" s="161">
        <v>7.2339050471782684E-2</v>
      </c>
    </row>
    <row r="343" spans="10:12" ht="13">
      <c r="J343" s="153">
        <v>326</v>
      </c>
      <c r="K343" s="154">
        <f t="shared" si="7"/>
        <v>89.071038251366119</v>
      </c>
      <c r="L343" s="161">
        <v>7.1786679327487946E-2</v>
      </c>
    </row>
    <row r="344" spans="10:12" ht="13">
      <c r="J344" s="153">
        <v>327</v>
      </c>
      <c r="K344" s="154">
        <f t="shared" si="7"/>
        <v>89.344262295081961</v>
      </c>
      <c r="L344" s="161">
        <v>7.1211427450180054E-2</v>
      </c>
    </row>
    <row r="345" spans="10:12" ht="13">
      <c r="J345" s="153">
        <v>328</v>
      </c>
      <c r="K345" s="154">
        <f t="shared" si="7"/>
        <v>89.617486338797818</v>
      </c>
      <c r="L345" s="161">
        <v>7.0828571915626526E-2</v>
      </c>
    </row>
    <row r="346" spans="10:12" ht="13">
      <c r="J346" s="153">
        <v>329</v>
      </c>
      <c r="K346" s="154">
        <f t="shared" si="7"/>
        <v>89.89071038251366</v>
      </c>
      <c r="L346" s="161">
        <v>7.043476402759552E-2</v>
      </c>
    </row>
    <row r="347" spans="10:12" ht="13">
      <c r="J347" s="153">
        <v>330</v>
      </c>
      <c r="K347" s="154">
        <f t="shared" si="7"/>
        <v>90.163934426229503</v>
      </c>
      <c r="L347" s="161">
        <v>6.9660469889640808E-2</v>
      </c>
    </row>
    <row r="348" spans="10:12" ht="13">
      <c r="J348" s="153">
        <v>331</v>
      </c>
      <c r="K348" s="154">
        <f t="shared" si="7"/>
        <v>90.437158469945359</v>
      </c>
      <c r="L348" s="161">
        <v>6.9146193563938141E-2</v>
      </c>
    </row>
    <row r="349" spans="10:12" ht="13">
      <c r="J349" s="153">
        <v>332</v>
      </c>
      <c r="K349" s="154">
        <f t="shared" si="7"/>
        <v>90.710382513661202</v>
      </c>
      <c r="L349" s="161">
        <v>6.8643808364868164E-2</v>
      </c>
    </row>
    <row r="350" spans="10:12" ht="13">
      <c r="J350" s="153">
        <v>333</v>
      </c>
      <c r="K350" s="154">
        <f t="shared" si="7"/>
        <v>90.983606557377044</v>
      </c>
      <c r="L350" s="161">
        <v>6.7691899836063385E-2</v>
      </c>
    </row>
    <row r="351" spans="10:12" ht="13">
      <c r="J351" s="153">
        <v>334</v>
      </c>
      <c r="K351" s="154">
        <f t="shared" si="7"/>
        <v>91.256830601092901</v>
      </c>
      <c r="L351" s="161">
        <v>6.7230001091957092E-2</v>
      </c>
    </row>
    <row r="352" spans="10:12" ht="13">
      <c r="J352" s="153">
        <v>335</v>
      </c>
      <c r="K352" s="154">
        <f t="shared" si="7"/>
        <v>91.530054644808743</v>
      </c>
      <c r="L352" s="161">
        <v>6.6772378981113434E-2</v>
      </c>
    </row>
    <row r="353" spans="10:12" ht="13">
      <c r="J353" s="153">
        <v>336</v>
      </c>
      <c r="K353" s="154">
        <f t="shared" si="7"/>
        <v>91.803278688524586</v>
      </c>
      <c r="L353" s="161">
        <v>6.6268093883991241E-2</v>
      </c>
    </row>
    <row r="354" spans="10:12" ht="13">
      <c r="J354" s="153">
        <v>337</v>
      </c>
      <c r="K354" s="154">
        <f t="shared" si="7"/>
        <v>92.076502732240442</v>
      </c>
      <c r="L354" s="161">
        <v>6.5542377531528473E-2</v>
      </c>
    </row>
    <row r="355" spans="10:12" ht="13">
      <c r="J355" s="153">
        <v>338</v>
      </c>
      <c r="K355" s="154">
        <f t="shared" si="7"/>
        <v>92.349726775956285</v>
      </c>
      <c r="L355" s="161">
        <v>6.4759053289890289E-2</v>
      </c>
    </row>
    <row r="356" spans="10:12" ht="13">
      <c r="J356" s="153">
        <v>339</v>
      </c>
      <c r="K356" s="154">
        <f t="shared" si="7"/>
        <v>92.622950819672127</v>
      </c>
      <c r="L356" s="161">
        <v>6.435905396938324E-2</v>
      </c>
    </row>
    <row r="357" spans="10:12" ht="13">
      <c r="J357" s="153">
        <v>340</v>
      </c>
      <c r="K357" s="154">
        <f t="shared" si="7"/>
        <v>92.896174863387984</v>
      </c>
      <c r="L357" s="161">
        <v>6.3613809645175934E-2</v>
      </c>
    </row>
    <row r="358" spans="10:12" ht="13">
      <c r="J358" s="153">
        <v>341</v>
      </c>
      <c r="K358" s="154">
        <f t="shared" si="7"/>
        <v>93.169398907103826</v>
      </c>
      <c r="L358" s="161">
        <v>6.3053809106349945E-2</v>
      </c>
    </row>
    <row r="359" spans="10:12" ht="13">
      <c r="J359" s="153">
        <v>342</v>
      </c>
      <c r="K359" s="154">
        <f t="shared" si="7"/>
        <v>93.442622950819683</v>
      </c>
      <c r="L359" s="161">
        <v>6.2446668744087219E-2</v>
      </c>
    </row>
    <row r="360" spans="10:12" ht="13">
      <c r="J360" s="153">
        <v>343</v>
      </c>
      <c r="K360" s="154">
        <f t="shared" si="7"/>
        <v>93.715846994535525</v>
      </c>
      <c r="L360" s="161">
        <v>6.1920471489429474E-2</v>
      </c>
    </row>
    <row r="361" spans="10:12" ht="13">
      <c r="J361" s="153">
        <v>344</v>
      </c>
      <c r="K361" s="154">
        <f t="shared" si="7"/>
        <v>93.989071038251367</v>
      </c>
      <c r="L361" s="161">
        <v>6.1461426317691803E-2</v>
      </c>
    </row>
    <row r="362" spans="10:12" ht="13">
      <c r="J362" s="153">
        <v>345</v>
      </c>
      <c r="K362" s="154">
        <f t="shared" si="7"/>
        <v>94.262295081967224</v>
      </c>
      <c r="L362" s="161">
        <v>6.0883805155754089E-2</v>
      </c>
    </row>
    <row r="363" spans="10:12" ht="13">
      <c r="J363" s="153">
        <v>346</v>
      </c>
      <c r="K363" s="154">
        <f t="shared" si="7"/>
        <v>94.535519125683066</v>
      </c>
      <c r="L363" s="161">
        <v>6.0171429067850113E-2</v>
      </c>
    </row>
    <row r="364" spans="10:12" ht="13">
      <c r="J364" s="153">
        <v>347</v>
      </c>
      <c r="K364" s="154">
        <f t="shared" si="7"/>
        <v>94.808743169398909</v>
      </c>
      <c r="L364" s="161">
        <v>5.9621423482894897E-2</v>
      </c>
    </row>
    <row r="365" spans="10:12" ht="13">
      <c r="J365" s="153">
        <v>348</v>
      </c>
      <c r="K365" s="154">
        <f t="shared" si="7"/>
        <v>95.081967213114751</v>
      </c>
      <c r="L365" s="161">
        <v>5.9063810855150223E-2</v>
      </c>
    </row>
    <row r="366" spans="10:12" ht="13">
      <c r="J366" s="153">
        <v>349</v>
      </c>
      <c r="K366" s="154">
        <f t="shared" si="7"/>
        <v>95.355191256830594</v>
      </c>
      <c r="L366" s="161">
        <v>5.8510478585958481E-2</v>
      </c>
    </row>
    <row r="367" spans="10:12" ht="13">
      <c r="J367" s="153">
        <v>350</v>
      </c>
      <c r="K367" s="154">
        <f t="shared" si="7"/>
        <v>95.628415300546436</v>
      </c>
      <c r="L367" s="161">
        <v>5.8022845536470413E-2</v>
      </c>
    </row>
    <row r="368" spans="10:12" ht="13">
      <c r="J368" s="153">
        <v>351</v>
      </c>
      <c r="K368" s="154">
        <f t="shared" si="7"/>
        <v>95.901639344262293</v>
      </c>
      <c r="L368" s="161">
        <v>5.7430483400821686E-2</v>
      </c>
    </row>
    <row r="369" spans="10:12" ht="13">
      <c r="J369" s="153">
        <v>352</v>
      </c>
      <c r="K369" s="154">
        <f t="shared" si="7"/>
        <v>96.174863387978135</v>
      </c>
      <c r="L369" s="161">
        <v>5.6651897728443146E-2</v>
      </c>
    </row>
    <row r="370" spans="10:12" ht="13">
      <c r="J370" s="153">
        <v>353</v>
      </c>
      <c r="K370" s="154">
        <f t="shared" si="7"/>
        <v>96.448087431693992</v>
      </c>
      <c r="L370" s="161">
        <v>5.6020479649305344E-2</v>
      </c>
    </row>
    <row r="371" spans="10:12" ht="13">
      <c r="J371" s="153">
        <v>354</v>
      </c>
      <c r="K371" s="154">
        <f t="shared" si="7"/>
        <v>96.721311475409834</v>
      </c>
      <c r="L371" s="161">
        <v>5.540047213435173E-2</v>
      </c>
    </row>
    <row r="372" spans="10:12" ht="13">
      <c r="J372" s="153">
        <v>355</v>
      </c>
      <c r="K372" s="154">
        <f t="shared" si="7"/>
        <v>96.994535519125677</v>
      </c>
      <c r="L372" s="161">
        <v>5.4776199162006378E-2</v>
      </c>
    </row>
    <row r="373" spans="10:12" ht="13">
      <c r="J373" s="153">
        <v>356</v>
      </c>
      <c r="K373" s="154">
        <f t="shared" si="7"/>
        <v>97.267759562841533</v>
      </c>
      <c r="L373" s="161">
        <v>5.3991429507732391E-2</v>
      </c>
    </row>
    <row r="374" spans="10:12" ht="13">
      <c r="J374" s="153">
        <v>357</v>
      </c>
      <c r="K374" s="154">
        <f t="shared" si="7"/>
        <v>97.540983606557376</v>
      </c>
      <c r="L374" s="161">
        <v>5.3230956196784973E-2</v>
      </c>
    </row>
    <row r="375" spans="10:12" ht="13">
      <c r="J375" s="153">
        <v>358</v>
      </c>
      <c r="K375" s="154">
        <f t="shared" si="7"/>
        <v>97.814207650273218</v>
      </c>
      <c r="L375" s="161">
        <v>5.2528567612171173E-2</v>
      </c>
    </row>
    <row r="376" spans="10:12" ht="13">
      <c r="J376" s="153">
        <v>359</v>
      </c>
      <c r="K376" s="154">
        <f t="shared" si="7"/>
        <v>98.087431693989075</v>
      </c>
      <c r="L376" s="161">
        <v>5.1844283938407898E-2</v>
      </c>
    </row>
    <row r="377" spans="10:12" ht="13">
      <c r="J377" s="153">
        <v>360</v>
      </c>
      <c r="K377" s="154">
        <f t="shared" si="7"/>
        <v>98.360655737704917</v>
      </c>
      <c r="L377" s="161">
        <v>5.0553340464830399E-2</v>
      </c>
    </row>
    <row r="378" spans="10:12" ht="13">
      <c r="J378" s="153">
        <v>361</v>
      </c>
      <c r="K378" s="154">
        <f t="shared" si="7"/>
        <v>98.63387978142076</v>
      </c>
      <c r="L378" s="161">
        <v>4.9444761127233505E-2</v>
      </c>
    </row>
    <row r="379" spans="10:12" ht="13">
      <c r="J379" s="153">
        <v>362</v>
      </c>
      <c r="K379" s="154">
        <f t="shared" si="7"/>
        <v>98.907103825136616</v>
      </c>
      <c r="L379" s="161">
        <v>4.8573333770036697E-2</v>
      </c>
    </row>
    <row r="380" spans="10:12" ht="13">
      <c r="J380" s="153">
        <v>363</v>
      </c>
      <c r="K380" s="154">
        <f t="shared" si="7"/>
        <v>99.180327868852459</v>
      </c>
      <c r="L380" s="161">
        <v>4.7716192901134491E-2</v>
      </c>
    </row>
    <row r="381" spans="10:12" ht="13">
      <c r="J381" s="153">
        <v>364</v>
      </c>
      <c r="K381" s="154">
        <f t="shared" si="7"/>
        <v>99.453551912568301</v>
      </c>
      <c r="L381" s="161">
        <v>4.6528097242116928E-2</v>
      </c>
    </row>
    <row r="382" spans="10:12" ht="13">
      <c r="J382" s="158">
        <v>365</v>
      </c>
      <c r="K382" s="159">
        <f t="shared" si="7"/>
        <v>99.726775956284158</v>
      </c>
      <c r="L382" s="162">
        <v>4.5249998569488525E-2</v>
      </c>
    </row>
  </sheetData>
  <mergeCells count="13">
    <mergeCell ref="J16:J17"/>
    <mergeCell ref="D41:F41"/>
    <mergeCell ref="B6:D6"/>
    <mergeCell ref="B7:D7"/>
    <mergeCell ref="B12:H12"/>
    <mergeCell ref="J13:L13"/>
    <mergeCell ref="D2:L2"/>
    <mergeCell ref="D3:L3"/>
    <mergeCell ref="B5:D5"/>
    <mergeCell ref="D14:F14"/>
    <mergeCell ref="J14:L14"/>
    <mergeCell ref="B2:C2"/>
    <mergeCell ref="B3:C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6"/>
  <dimension ref="A1:R382"/>
  <sheetViews>
    <sheetView showGridLines="0" zoomScale="70" zoomScaleNormal="70" workbookViewId="0">
      <selection activeCell="B3" sqref="B3:C3"/>
    </sheetView>
  </sheetViews>
  <sheetFormatPr baseColWidth="10" defaultColWidth="11.453125" defaultRowHeight="12.5"/>
  <cols>
    <col min="1" max="1" width="2.81640625" style="3" customWidth="1"/>
    <col min="2" max="2" width="20.1796875" style="3" customWidth="1"/>
    <col min="3" max="3" width="20.81640625" style="3" customWidth="1"/>
    <col min="4" max="4" width="19.453125" style="3" customWidth="1"/>
    <col min="5" max="5" width="20" style="3" customWidth="1"/>
    <col min="6" max="6" width="17" style="3" customWidth="1"/>
    <col min="7" max="7" width="4.453125" style="3" customWidth="1"/>
    <col min="8" max="8" width="7.81640625" style="3" customWidth="1"/>
    <col min="9" max="9" width="11.453125" style="3" customWidth="1"/>
    <col min="10" max="10" width="14.1796875" style="3" customWidth="1"/>
    <col min="11" max="11" width="21.81640625" style="3" customWidth="1"/>
    <col min="12" max="12" width="18.1796875" style="3" customWidth="1"/>
    <col min="13" max="13" width="17.1796875" style="3" customWidth="1"/>
    <col min="14" max="14" width="11.453125" style="3" customWidth="1"/>
    <col min="15" max="16384" width="11.453125" style="3"/>
  </cols>
  <sheetData>
    <row r="1" spans="1:18">
      <c r="A1" s="134"/>
      <c r="B1" s="135"/>
      <c r="C1" s="84"/>
      <c r="D1" s="83"/>
      <c r="E1" s="83"/>
      <c r="F1" s="83"/>
      <c r="G1" s="83"/>
      <c r="H1" s="83"/>
    </row>
    <row r="2" spans="1:18" ht="18">
      <c r="B2" s="687" t="s">
        <v>274</v>
      </c>
      <c r="C2" s="687"/>
      <c r="D2" s="688" t="str">
        <f>CONCATENATE(UPPER(REPORTS!$AB$1)," Y ",UPPER(REPORTS!$AB$2))</f>
        <v>NATURAL FLOW Y ALTERED FLOW</v>
      </c>
      <c r="E2" s="688"/>
      <c r="F2" s="688"/>
      <c r="G2" s="688"/>
      <c r="H2" s="688"/>
      <c r="I2" s="688"/>
      <c r="J2" s="688"/>
      <c r="K2" s="688"/>
      <c r="L2" s="688"/>
      <c r="M2" s="136"/>
      <c r="N2" s="136"/>
      <c r="O2" s="136"/>
      <c r="P2" s="136"/>
      <c r="Q2" s="136"/>
      <c r="R2" s="136"/>
    </row>
    <row r="3" spans="1:18" ht="18">
      <c r="B3" s="687" t="s">
        <v>365</v>
      </c>
      <c r="C3" s="687"/>
      <c r="D3" s="689" t="s">
        <v>354</v>
      </c>
      <c r="E3" s="688"/>
      <c r="F3" s="688"/>
      <c r="G3" s="688"/>
      <c r="H3" s="688"/>
      <c r="I3" s="688"/>
      <c r="J3" s="688"/>
      <c r="K3" s="688"/>
      <c r="L3" s="688"/>
      <c r="M3" s="136"/>
      <c r="N3" s="136"/>
      <c r="O3" s="136"/>
      <c r="P3" s="136"/>
      <c r="Q3" s="136"/>
      <c r="R3" s="136"/>
    </row>
    <row r="5" spans="1:18" ht="15.75" customHeight="1">
      <c r="B5" s="556" t="s">
        <v>1</v>
      </c>
      <c r="C5" s="556"/>
      <c r="D5" s="556"/>
      <c r="E5" s="484" t="str">
        <f>REPORTS!E7</f>
        <v>Natural Flow (Nat_F)</v>
      </c>
      <c r="F5" s="489"/>
      <c r="G5" s="489"/>
      <c r="H5" s="489"/>
      <c r="I5" s="489"/>
      <c r="J5" s="95"/>
      <c r="K5" s="95"/>
      <c r="L5" s="95"/>
      <c r="M5" s="95"/>
      <c r="N5" s="95"/>
      <c r="O5" s="95"/>
      <c r="P5" s="95"/>
      <c r="Q5" s="95"/>
      <c r="R5" s="95"/>
    </row>
    <row r="6" spans="1:18" ht="15.75" customHeight="1">
      <c r="B6" s="556" t="s">
        <v>2</v>
      </c>
      <c r="C6" s="556"/>
      <c r="D6" s="556"/>
      <c r="E6" s="484" t="str">
        <f>REPORTS!E8</f>
        <v>Altered Flow (Alt_F)</v>
      </c>
      <c r="F6" s="489"/>
      <c r="G6" s="489"/>
      <c r="H6" s="489"/>
      <c r="I6" s="489"/>
      <c r="J6" s="95"/>
      <c r="K6" s="95"/>
      <c r="L6" s="95"/>
      <c r="M6" s="95"/>
      <c r="N6" s="95"/>
      <c r="O6" s="95"/>
      <c r="P6" s="95"/>
      <c r="Q6" s="95"/>
      <c r="R6" s="95"/>
    </row>
    <row r="7" spans="1:18" ht="13">
      <c r="B7" s="556" t="s">
        <v>3</v>
      </c>
      <c r="C7" s="556"/>
      <c r="D7" s="556"/>
      <c r="E7" s="484" t="s">
        <v>4</v>
      </c>
      <c r="F7" s="489"/>
      <c r="G7" s="489"/>
      <c r="H7" s="489"/>
      <c r="I7" s="489"/>
      <c r="J7" s="95"/>
      <c r="K7" s="95"/>
      <c r="L7" s="95"/>
      <c r="M7" s="95"/>
      <c r="N7" s="95"/>
      <c r="O7" s="95"/>
      <c r="P7" s="95"/>
      <c r="Q7" s="95"/>
      <c r="R7" s="95"/>
    </row>
    <row r="8" spans="1:18" ht="13">
      <c r="B8" s="482"/>
      <c r="C8" s="482"/>
      <c r="D8" s="482"/>
      <c r="E8" s="477"/>
      <c r="F8" s="484"/>
      <c r="G8" s="484"/>
      <c r="H8" s="484"/>
      <c r="I8" s="484"/>
      <c r="J8" s="95"/>
      <c r="K8" s="95"/>
      <c r="L8" s="95"/>
      <c r="M8" s="95"/>
      <c r="N8" s="95"/>
      <c r="O8" s="95"/>
      <c r="P8" s="95"/>
      <c r="Q8" s="95"/>
      <c r="R8" s="95"/>
    </row>
    <row r="9" spans="1:18" ht="13">
      <c r="B9" s="482"/>
      <c r="C9" s="482"/>
      <c r="D9" s="482"/>
      <c r="E9" s="484"/>
      <c r="F9" s="484"/>
      <c r="G9" s="484"/>
      <c r="H9" s="484"/>
      <c r="I9" s="484"/>
      <c r="J9" s="95"/>
      <c r="K9" s="95"/>
      <c r="L9" s="95"/>
      <c r="M9" s="95"/>
      <c r="N9" s="95"/>
      <c r="O9" s="95"/>
      <c r="P9" s="95"/>
      <c r="Q9" s="95"/>
      <c r="R9" s="95"/>
    </row>
    <row r="12" spans="1:18" ht="18">
      <c r="B12" s="798" t="s">
        <v>156</v>
      </c>
      <c r="C12" s="798"/>
      <c r="D12" s="798"/>
      <c r="E12" s="798"/>
      <c r="F12" s="798"/>
      <c r="G12" s="798"/>
      <c r="H12" s="798"/>
    </row>
    <row r="13" spans="1:18" ht="14">
      <c r="J13" s="794" t="s">
        <v>355</v>
      </c>
      <c r="K13" s="794"/>
      <c r="L13" s="794"/>
      <c r="M13" s="794"/>
    </row>
    <row r="14" spans="1:18" ht="15.5">
      <c r="C14" s="793" t="s">
        <v>356</v>
      </c>
      <c r="D14" s="793"/>
      <c r="E14" s="793"/>
      <c r="F14" s="793"/>
      <c r="J14" s="794" t="s">
        <v>357</v>
      </c>
      <c r="K14" s="794"/>
      <c r="L14" s="794"/>
      <c r="M14" s="794"/>
    </row>
    <row r="16" spans="1:18">
      <c r="C16" s="137" t="s">
        <v>358</v>
      </c>
      <c r="D16" s="138" t="s">
        <v>359</v>
      </c>
      <c r="E16" s="799" t="s">
        <v>366</v>
      </c>
      <c r="F16" s="800"/>
      <c r="J16" s="795" t="s">
        <v>361</v>
      </c>
      <c r="K16" s="138" t="s">
        <v>359</v>
      </c>
      <c r="L16" s="799" t="s">
        <v>366</v>
      </c>
      <c r="M16" s="800"/>
    </row>
    <row r="17" spans="3:13">
      <c r="C17" s="141" t="s">
        <v>362</v>
      </c>
      <c r="D17" s="163" t="s">
        <v>363</v>
      </c>
      <c r="E17" s="142" t="str">
        <f>UPPER(REPORTS!$AA$1)</f>
        <v>NAT_F</v>
      </c>
      <c r="F17" s="143" t="str">
        <f>UPPER(REPORTS!$AA$2)</f>
        <v>ALT_F</v>
      </c>
      <c r="J17" s="796"/>
      <c r="K17" s="142" t="s">
        <v>363</v>
      </c>
      <c r="L17" s="142" t="str">
        <f>UPPER(REPORTS!$AA$1)</f>
        <v>NAT_F</v>
      </c>
      <c r="M17" s="143" t="str">
        <f>UPPER(REPORTS!$AA$2)</f>
        <v>ALT_F</v>
      </c>
    </row>
    <row r="18" spans="3:13" ht="13">
      <c r="C18" s="144">
        <f>366*(D18/100)</f>
        <v>1.83</v>
      </c>
      <c r="D18" s="145">
        <v>0.5</v>
      </c>
      <c r="E18" s="164">
        <f>_xlfn.PERCENTILE.EXC(L$18:L$382,(1-(D18/100)))</f>
        <v>8.5795046520233189</v>
      </c>
      <c r="F18" s="160">
        <f>_xlfn.PERCENTILE.EXC(M$18:M$382,(1-(D18/100)))</f>
        <v>6.7730229187011766</v>
      </c>
      <c r="J18" s="148">
        <v>1</v>
      </c>
      <c r="K18" s="149">
        <f>(J18/366)*100</f>
        <v>0.27322404371584702</v>
      </c>
      <c r="L18" s="164">
        <f>'Informe nº 6'!L18</f>
        <v>8.7547149658203125</v>
      </c>
      <c r="M18" s="160">
        <f>'Informe nº 6a'!L18</f>
        <v>7.0158576965332031</v>
      </c>
    </row>
    <row r="19" spans="3:13" ht="13">
      <c r="C19" s="150">
        <f>366*(D19)/100</f>
        <v>3.66</v>
      </c>
      <c r="D19" s="151">
        <v>1</v>
      </c>
      <c r="E19" s="165">
        <f>_xlfn.PERCENTILE.EXC(L$18:L$382,(1-(D19/100)))</f>
        <v>8.211554317474361</v>
      </c>
      <c r="F19" s="161">
        <f>_xlfn.PERCENTILE.EXC(M$18:M$382,(1-(D19/100)))</f>
        <v>6.4699947738647419</v>
      </c>
      <c r="J19" s="153">
        <v>2</v>
      </c>
      <c r="K19" s="154">
        <f>(J19/366)*100</f>
        <v>0.54644808743169404</v>
      </c>
      <c r="L19" s="164">
        <f>'Informe nº 6'!L19</f>
        <v>8.5436182022094727</v>
      </c>
      <c r="M19" s="160">
        <f>'Informe nº 6a'!L19</f>
        <v>6.7232856750488281</v>
      </c>
    </row>
    <row r="20" spans="3:13" ht="13">
      <c r="C20" s="150">
        <f t="shared" ref="C20:C39" si="0">366*(D20)/100</f>
        <v>18.3</v>
      </c>
      <c r="D20" s="151">
        <v>5</v>
      </c>
      <c r="E20" s="165">
        <f t="shared" ref="E20:E40" si="1">_xlfn.PERCENTILE.EXC(L$18:L$382,(1-(D20/100)))</f>
        <v>6.8822472572326649</v>
      </c>
      <c r="F20" s="161">
        <f t="shared" ref="F20:F40" si="2">_xlfn.PERCENTILE.EXC(M$18:M$382,(1-(D20/100)))</f>
        <v>5.2555333137512203</v>
      </c>
      <c r="J20" s="153">
        <v>3</v>
      </c>
      <c r="K20" s="154">
        <f t="shared" ref="K20:K83" si="3">(J20/366)*100</f>
        <v>0.81967213114754101</v>
      </c>
      <c r="L20" s="164">
        <f>'Informe nº 6'!L20</f>
        <v>8.3198575973510742</v>
      </c>
      <c r="M20" s="160">
        <f>'Informe nº 6a'!L20</f>
        <v>6.5810952186584473</v>
      </c>
    </row>
    <row r="21" spans="3:13" ht="13">
      <c r="C21" s="150">
        <f t="shared" si="0"/>
        <v>36.6</v>
      </c>
      <c r="D21" s="151">
        <v>10</v>
      </c>
      <c r="E21" s="165">
        <f t="shared" si="1"/>
        <v>6.1284955024719245</v>
      </c>
      <c r="F21" s="161">
        <f t="shared" si="2"/>
        <v>4.5649522781372083</v>
      </c>
      <c r="J21" s="153">
        <v>4</v>
      </c>
      <c r="K21" s="154">
        <f t="shared" si="3"/>
        <v>1.0928961748633881</v>
      </c>
      <c r="L21" s="164">
        <f>'Informe nº 6'!L21</f>
        <v>8.15576171875</v>
      </c>
      <c r="M21" s="160">
        <f>'Informe nº 6a'!L21</f>
        <v>6.4127612113952637</v>
      </c>
    </row>
    <row r="22" spans="3:13" ht="13">
      <c r="C22" s="150">
        <f t="shared" si="0"/>
        <v>54.9</v>
      </c>
      <c r="D22" s="151">
        <v>15</v>
      </c>
      <c r="E22" s="165">
        <f t="shared" si="1"/>
        <v>5.6725666046142571</v>
      </c>
      <c r="F22" s="161">
        <f t="shared" si="2"/>
        <v>3.9982052087783804</v>
      </c>
      <c r="J22" s="153">
        <v>5</v>
      </c>
      <c r="K22" s="154">
        <f t="shared" si="3"/>
        <v>1.3661202185792349</v>
      </c>
      <c r="L22" s="164">
        <f>'Informe nº 6'!L22</f>
        <v>8.0714292526245117</v>
      </c>
      <c r="M22" s="160">
        <f>'Informe nº 6a'!L22</f>
        <v>6.2649040222167969</v>
      </c>
    </row>
    <row r="23" spans="3:13" ht="13">
      <c r="C23" s="150">
        <f t="shared" si="0"/>
        <v>73.2</v>
      </c>
      <c r="D23" s="151">
        <v>20</v>
      </c>
      <c r="E23" s="165">
        <f t="shared" si="1"/>
        <v>5.3030953407287598</v>
      </c>
      <c r="F23" s="161">
        <f t="shared" si="2"/>
        <v>3.415447330474854</v>
      </c>
      <c r="J23" s="153">
        <v>6</v>
      </c>
      <c r="K23" s="154">
        <f t="shared" si="3"/>
        <v>1.639344262295082</v>
      </c>
      <c r="L23" s="164">
        <f>'Informe nº 6'!L23</f>
        <v>7.9537630081176758</v>
      </c>
      <c r="M23" s="160">
        <f>'Informe nº 6a'!L23</f>
        <v>6.1413335800170898</v>
      </c>
    </row>
    <row r="24" spans="3:13" ht="13">
      <c r="C24" s="150">
        <f t="shared" si="0"/>
        <v>91.5</v>
      </c>
      <c r="D24" s="151">
        <v>25</v>
      </c>
      <c r="E24" s="165">
        <f t="shared" si="1"/>
        <v>4.9659044742584229</v>
      </c>
      <c r="F24" s="161">
        <f t="shared" si="2"/>
        <v>2.9222614765167236</v>
      </c>
      <c r="J24" s="153">
        <v>7</v>
      </c>
      <c r="K24" s="154">
        <f t="shared" si="3"/>
        <v>1.9125683060109291</v>
      </c>
      <c r="L24" s="164">
        <f>'Informe nº 6'!L24</f>
        <v>7.8527612686157227</v>
      </c>
      <c r="M24" s="160">
        <f>'Informe nº 6a'!L24</f>
        <v>6.0595235824584961</v>
      </c>
    </row>
    <row r="25" spans="3:13" ht="13">
      <c r="C25" s="150">
        <f t="shared" si="0"/>
        <v>109.8</v>
      </c>
      <c r="D25" s="151">
        <v>30</v>
      </c>
      <c r="E25" s="165">
        <f t="shared" si="1"/>
        <v>4.685971736907959</v>
      </c>
      <c r="F25" s="161">
        <f t="shared" si="2"/>
        <v>2.4889334201812741</v>
      </c>
      <c r="J25" s="153">
        <v>8</v>
      </c>
      <c r="K25" s="154">
        <f t="shared" si="3"/>
        <v>2.1857923497267762</v>
      </c>
      <c r="L25" s="164">
        <f>'Informe nº 6'!L25</f>
        <v>7.7089524269104004</v>
      </c>
      <c r="M25" s="160">
        <f>'Informe nº 6a'!L25</f>
        <v>5.9428572654724121</v>
      </c>
    </row>
    <row r="26" spans="3:13" ht="13">
      <c r="C26" s="150">
        <f t="shared" si="0"/>
        <v>128.1</v>
      </c>
      <c r="D26" s="151">
        <v>35</v>
      </c>
      <c r="E26" s="165">
        <f t="shared" si="1"/>
        <v>4.3629427433013914</v>
      </c>
      <c r="F26" s="161">
        <f t="shared" si="2"/>
        <v>2.1204906463623048</v>
      </c>
      <c r="J26" s="153">
        <v>9</v>
      </c>
      <c r="K26" s="154">
        <f t="shared" si="3"/>
        <v>2.459016393442623</v>
      </c>
      <c r="L26" s="164">
        <f>'Informe nº 6'!L26</f>
        <v>7.6116666793823242</v>
      </c>
      <c r="M26" s="160">
        <f>'Informe nº 6a'!L26</f>
        <v>5.8819046020507813</v>
      </c>
    </row>
    <row r="27" spans="3:13" ht="13">
      <c r="C27" s="150">
        <f t="shared" si="0"/>
        <v>146.4</v>
      </c>
      <c r="D27" s="151">
        <v>40</v>
      </c>
      <c r="E27" s="165">
        <f t="shared" si="1"/>
        <v>4.0462668418884276</v>
      </c>
      <c r="F27" s="161">
        <f t="shared" si="2"/>
        <v>1.8078953504562376</v>
      </c>
      <c r="J27" s="153">
        <v>10</v>
      </c>
      <c r="K27" s="154">
        <f t="shared" si="3"/>
        <v>2.7322404371584699</v>
      </c>
      <c r="L27" s="164">
        <f>'Informe nº 6'!L27</f>
        <v>7.5060005187988281</v>
      </c>
      <c r="M27" s="160">
        <f>'Informe nº 6a'!L27</f>
        <v>5.8059520721435547</v>
      </c>
    </row>
    <row r="28" spans="3:13" ht="13">
      <c r="C28" s="150">
        <f t="shared" si="0"/>
        <v>164.7</v>
      </c>
      <c r="D28" s="151">
        <v>45</v>
      </c>
      <c r="E28" s="165">
        <f t="shared" si="1"/>
        <v>3.7285141944885254</v>
      </c>
      <c r="F28" s="161">
        <f t="shared" si="2"/>
        <v>1.4833919644355775</v>
      </c>
      <c r="J28" s="153">
        <v>11</v>
      </c>
      <c r="K28" s="154">
        <f t="shared" si="3"/>
        <v>3.0054644808743167</v>
      </c>
      <c r="L28" s="164">
        <f>'Informe nº 6'!L28</f>
        <v>7.4366188049316406</v>
      </c>
      <c r="M28" s="160">
        <f>'Informe nº 6a'!L28</f>
        <v>5.7172374725341797</v>
      </c>
    </row>
    <row r="29" spans="3:13" ht="13">
      <c r="C29" s="150">
        <f t="shared" si="0"/>
        <v>183</v>
      </c>
      <c r="D29" s="151">
        <v>50</v>
      </c>
      <c r="E29" s="165">
        <f t="shared" si="1"/>
        <v>3.3207619190216064</v>
      </c>
      <c r="F29" s="161">
        <f t="shared" si="2"/>
        <v>1.165357232093811</v>
      </c>
      <c r="J29" s="153">
        <v>12</v>
      </c>
      <c r="K29" s="154">
        <f t="shared" si="3"/>
        <v>3.278688524590164</v>
      </c>
      <c r="L29" s="164">
        <f>'Informe nº 6'!L29</f>
        <v>7.3675241470336914</v>
      </c>
      <c r="M29" s="160">
        <f>'Informe nº 6a'!L29</f>
        <v>5.648714542388916</v>
      </c>
    </row>
    <row r="30" spans="3:13" ht="13">
      <c r="C30" s="150">
        <f t="shared" si="0"/>
        <v>201.3</v>
      </c>
      <c r="D30" s="151">
        <v>55</v>
      </c>
      <c r="E30" s="165">
        <f t="shared" si="1"/>
        <v>2.792437958717346</v>
      </c>
      <c r="F30" s="161">
        <f t="shared" si="2"/>
        <v>0.77912665605545006</v>
      </c>
      <c r="J30" s="153">
        <v>13</v>
      </c>
      <c r="K30" s="154">
        <f t="shared" si="3"/>
        <v>3.5519125683060109</v>
      </c>
      <c r="L30" s="164">
        <f>'Informe nº 6'!L30</f>
        <v>7.3054280281066895</v>
      </c>
      <c r="M30" s="160">
        <f>'Informe nº 6a'!L30</f>
        <v>5.5853333473205566</v>
      </c>
    </row>
    <row r="31" spans="3:13" ht="13">
      <c r="C31" s="150">
        <f t="shared" si="0"/>
        <v>219.6</v>
      </c>
      <c r="D31" s="151">
        <v>60</v>
      </c>
      <c r="E31" s="165">
        <f t="shared" si="1"/>
        <v>1.9749999761581423</v>
      </c>
      <c r="F31" s="161">
        <f t="shared" si="2"/>
        <v>0.44463809728622444</v>
      </c>
      <c r="J31" s="153">
        <v>14</v>
      </c>
      <c r="K31" s="154">
        <f t="shared" si="3"/>
        <v>3.8251366120218582</v>
      </c>
      <c r="L31" s="164">
        <f>'Informe nº 6'!L31</f>
        <v>7.2241430282592773</v>
      </c>
      <c r="M31" s="160">
        <f>'Informe nº 6a'!L31</f>
        <v>5.5156192779541016</v>
      </c>
    </row>
    <row r="32" spans="3:13" ht="13">
      <c r="C32" s="150">
        <f t="shared" si="0"/>
        <v>237.9</v>
      </c>
      <c r="D32" s="151">
        <v>65</v>
      </c>
      <c r="E32" s="165">
        <f t="shared" si="1"/>
        <v>1.390375208854675</v>
      </c>
      <c r="F32" s="161">
        <f t="shared" si="2"/>
        <v>0.26924380064010617</v>
      </c>
      <c r="J32" s="153">
        <v>15</v>
      </c>
      <c r="K32" s="154">
        <f t="shared" si="3"/>
        <v>4.0983606557377046</v>
      </c>
      <c r="L32" s="164">
        <f>'Informe nº 6'!L32</f>
        <v>7.1149053573608398</v>
      </c>
      <c r="M32" s="160">
        <f>'Informe nº 6a'!L32</f>
        <v>5.4606194496154785</v>
      </c>
    </row>
    <row r="33" spans="3:13" ht="13">
      <c r="C33" s="150">
        <f t="shared" si="0"/>
        <v>256.2</v>
      </c>
      <c r="D33" s="151">
        <v>70</v>
      </c>
      <c r="E33" s="165">
        <f t="shared" si="1"/>
        <v>0.94160853624343899</v>
      </c>
      <c r="F33" s="161">
        <f t="shared" si="2"/>
        <v>0.17793836593627935</v>
      </c>
      <c r="J33" s="153">
        <v>16</v>
      </c>
      <c r="K33" s="154">
        <f t="shared" si="3"/>
        <v>4.3715846994535523</v>
      </c>
      <c r="L33" s="164">
        <f>'Informe nº 6'!L33</f>
        <v>7.0387144088745117</v>
      </c>
      <c r="M33" s="160">
        <f>'Informe nº 6a'!L33</f>
        <v>5.3839998245239258</v>
      </c>
    </row>
    <row r="34" spans="3:13" ht="13">
      <c r="C34" s="150">
        <f t="shared" si="0"/>
        <v>274.5</v>
      </c>
      <c r="D34" s="151">
        <v>75</v>
      </c>
      <c r="E34" s="165">
        <f t="shared" si="1"/>
        <v>0.6150762140750885</v>
      </c>
      <c r="F34" s="161">
        <f t="shared" si="2"/>
        <v>0.12717024981975555</v>
      </c>
      <c r="J34" s="153">
        <v>17</v>
      </c>
      <c r="K34" s="154">
        <f t="shared" si="3"/>
        <v>4.6448087431693992</v>
      </c>
      <c r="L34" s="164">
        <f>'Informe nº 6'!L34</f>
        <v>6.9688096046447754</v>
      </c>
      <c r="M34" s="160">
        <f>'Informe nº 6a'!L34</f>
        <v>5.308286190032959</v>
      </c>
    </row>
    <row r="35" spans="3:13" ht="13">
      <c r="C35" s="150">
        <f t="shared" si="0"/>
        <v>292.8</v>
      </c>
      <c r="D35" s="151">
        <v>80</v>
      </c>
      <c r="E35" s="165">
        <f t="shared" si="1"/>
        <v>0.39250190258026113</v>
      </c>
      <c r="F35" s="161">
        <f t="shared" si="2"/>
        <v>9.9078476428985582E-2</v>
      </c>
      <c r="J35" s="153">
        <v>18</v>
      </c>
      <c r="K35" s="154">
        <f t="shared" si="3"/>
        <v>4.918032786885246</v>
      </c>
      <c r="L35" s="164">
        <f>'Informe nº 6'!L35</f>
        <v>6.9024758338928223</v>
      </c>
      <c r="M35" s="160">
        <f>'Informe nº 6a'!L35</f>
        <v>5.2676191329956055</v>
      </c>
    </row>
    <row r="36" spans="3:13" ht="13">
      <c r="C36" s="150">
        <f t="shared" si="0"/>
        <v>311.10000000000002</v>
      </c>
      <c r="D36" s="151">
        <v>85</v>
      </c>
      <c r="E36" s="165">
        <f t="shared" si="1"/>
        <v>0.2585333198308945</v>
      </c>
      <c r="F36" s="161">
        <f t="shared" si="2"/>
        <v>8.174913451075555E-2</v>
      </c>
      <c r="J36" s="153">
        <v>19</v>
      </c>
      <c r="K36" s="154">
        <f t="shared" si="3"/>
        <v>5.1912568306010929</v>
      </c>
      <c r="L36" s="164">
        <f>'Informe nº 6'!L36</f>
        <v>6.8350472450256348</v>
      </c>
      <c r="M36" s="160">
        <f>'Informe nº 6a'!L36</f>
        <v>5.2273330688476563</v>
      </c>
    </row>
    <row r="37" spans="3:13" ht="13">
      <c r="C37" s="150">
        <f t="shared" si="0"/>
        <v>329.4</v>
      </c>
      <c r="D37" s="151">
        <v>90</v>
      </c>
      <c r="E37" s="165">
        <f t="shared" si="1"/>
        <v>0.19184284806251525</v>
      </c>
      <c r="F37" s="161">
        <f t="shared" si="2"/>
        <v>7.0125046372413624E-2</v>
      </c>
      <c r="J37" s="153">
        <v>20</v>
      </c>
      <c r="K37" s="154">
        <f t="shared" si="3"/>
        <v>5.4644808743169397</v>
      </c>
      <c r="L37" s="164">
        <f>'Informe nº 6'!L37</f>
        <v>6.7924761772155762</v>
      </c>
      <c r="M37" s="160">
        <f>'Informe nº 6a'!L37</f>
        <v>5.189666748046875</v>
      </c>
    </row>
    <row r="38" spans="3:13" ht="13">
      <c r="C38" s="150">
        <f t="shared" si="0"/>
        <v>347.7</v>
      </c>
      <c r="D38" s="151">
        <v>95</v>
      </c>
      <c r="E38" s="165">
        <f t="shared" si="1"/>
        <v>0.15465763509273531</v>
      </c>
      <c r="F38" s="161">
        <f t="shared" si="2"/>
        <v>5.9231094643473634E-2</v>
      </c>
      <c r="J38" s="153">
        <v>21</v>
      </c>
      <c r="K38" s="154">
        <f t="shared" si="3"/>
        <v>5.7377049180327866</v>
      </c>
      <c r="L38" s="164">
        <f>'Informe nº 6'!L38</f>
        <v>6.7317628860473633</v>
      </c>
      <c r="M38" s="160">
        <f>'Informe nº 6a'!L38</f>
        <v>5.1496667861938477</v>
      </c>
    </row>
    <row r="39" spans="3:13" ht="13">
      <c r="C39" s="150">
        <f t="shared" si="0"/>
        <v>362.34</v>
      </c>
      <c r="D39" s="151">
        <v>99</v>
      </c>
      <c r="E39" s="165">
        <f t="shared" si="1"/>
        <v>0.1258209538459778</v>
      </c>
      <c r="F39" s="161">
        <f t="shared" si="2"/>
        <v>4.8281905874609947E-2</v>
      </c>
      <c r="J39" s="153">
        <v>22</v>
      </c>
      <c r="K39" s="154">
        <f t="shared" si="3"/>
        <v>6.0109289617486334</v>
      </c>
      <c r="L39" s="164">
        <f>'Informe nº 6'!L39</f>
        <v>6.6726675033569336</v>
      </c>
      <c r="M39" s="160">
        <f>'Informe nº 6a'!L39</f>
        <v>5.1119046211242676</v>
      </c>
    </row>
    <row r="40" spans="3:13" ht="13">
      <c r="C40" s="155">
        <f>366*(D40/100)</f>
        <v>364.17</v>
      </c>
      <c r="D40" s="156">
        <v>99.5</v>
      </c>
      <c r="E40" s="166">
        <f t="shared" si="1"/>
        <v>0.11998990334570409</v>
      </c>
      <c r="F40" s="162">
        <f t="shared" si="2"/>
        <v>4.6310820467770103E-2</v>
      </c>
      <c r="J40" s="153">
        <v>23</v>
      </c>
      <c r="K40" s="154">
        <f t="shared" si="3"/>
        <v>6.2841530054644812</v>
      </c>
      <c r="L40" s="164">
        <f>'Informe nº 6'!L40</f>
        <v>6.6209526062011719</v>
      </c>
      <c r="M40" s="160">
        <f>'Informe nº 6a'!L40</f>
        <v>5.0858569145202637</v>
      </c>
    </row>
    <row r="41" spans="3:13" ht="13.5" customHeight="1">
      <c r="C41" s="797"/>
      <c r="D41" s="797"/>
      <c r="E41" s="797"/>
      <c r="F41" s="797"/>
      <c r="J41" s="153">
        <v>24</v>
      </c>
      <c r="K41" s="154">
        <f t="shared" si="3"/>
        <v>6.557377049180328</v>
      </c>
      <c r="L41" s="164">
        <f>'Informe nº 6'!L41</f>
        <v>6.5800962448120117</v>
      </c>
      <c r="M41" s="160">
        <f>'Informe nº 6a'!L41</f>
        <v>5.0369997024536133</v>
      </c>
    </row>
    <row r="42" spans="3:13" ht="13">
      <c r="C42" s="3" t="str">
        <f>CONCATENATE("RATED FLOW CURVE. ",D2)</f>
        <v>RATED FLOW CURVE. NATURAL FLOW Y ALTERED FLOW</v>
      </c>
      <c r="J42" s="153">
        <v>25</v>
      </c>
      <c r="K42" s="154">
        <f t="shared" si="3"/>
        <v>6.8306010928961758</v>
      </c>
      <c r="L42" s="164">
        <f>'Informe nº 6'!L42</f>
        <v>6.5044293403625488</v>
      </c>
      <c r="M42" s="160">
        <f>'Informe nº 6a'!L42</f>
        <v>4.9998092651367188</v>
      </c>
    </row>
    <row r="43" spans="3:13" ht="13">
      <c r="J43" s="153">
        <v>26</v>
      </c>
      <c r="K43" s="154">
        <f t="shared" si="3"/>
        <v>7.1038251366120218</v>
      </c>
      <c r="L43" s="164">
        <f>'Informe nº 6'!L43</f>
        <v>6.4766664505004883</v>
      </c>
      <c r="M43" s="160">
        <f>'Informe nº 6a'!L43</f>
        <v>4.9539041519165039</v>
      </c>
    </row>
    <row r="44" spans="3:13" ht="13">
      <c r="J44" s="153">
        <v>27</v>
      </c>
      <c r="K44" s="154">
        <f t="shared" si="3"/>
        <v>7.3770491803278686</v>
      </c>
      <c r="L44" s="164">
        <f>'Informe nº 6'!L44</f>
        <v>6.4436659812927246</v>
      </c>
      <c r="M44" s="160">
        <f>'Informe nº 6a'!L44</f>
        <v>4.9182853698730469</v>
      </c>
    </row>
    <row r="45" spans="3:13" ht="13">
      <c r="J45" s="153">
        <v>28</v>
      </c>
      <c r="K45" s="154">
        <f t="shared" si="3"/>
        <v>7.6502732240437163</v>
      </c>
      <c r="L45" s="164">
        <f>'Informe nº 6'!L45</f>
        <v>6.4115715026855469</v>
      </c>
      <c r="M45" s="160">
        <f>'Informe nº 6a'!L45</f>
        <v>4.8738088607788086</v>
      </c>
    </row>
    <row r="46" spans="3:13" ht="13">
      <c r="J46" s="153">
        <v>29</v>
      </c>
      <c r="K46" s="154">
        <f t="shared" si="3"/>
        <v>7.9234972677595632</v>
      </c>
      <c r="L46" s="164">
        <f>'Informe nº 6'!L46</f>
        <v>6.3790950775146484</v>
      </c>
      <c r="M46" s="160">
        <f>'Informe nº 6a'!L46</f>
        <v>4.8284287452697754</v>
      </c>
    </row>
    <row r="47" spans="3:13" ht="13">
      <c r="J47" s="153">
        <v>30</v>
      </c>
      <c r="K47" s="154">
        <f t="shared" si="3"/>
        <v>8.1967213114754092</v>
      </c>
      <c r="L47" s="164">
        <f>'Informe nº 6'!L47</f>
        <v>6.3509521484375</v>
      </c>
      <c r="M47" s="160">
        <f>'Informe nº 6a'!L47</f>
        <v>4.7950477600097656</v>
      </c>
    </row>
    <row r="48" spans="3:13" ht="13">
      <c r="J48" s="153">
        <v>31</v>
      </c>
      <c r="K48" s="154">
        <f t="shared" si="3"/>
        <v>8.4699453551912569</v>
      </c>
      <c r="L48" s="164">
        <f>'Informe nº 6'!L48</f>
        <v>6.3130478858947754</v>
      </c>
      <c r="M48" s="160">
        <f>'Informe nº 6a'!L48</f>
        <v>4.7501430511474609</v>
      </c>
    </row>
    <row r="49" spans="10:13" ht="13">
      <c r="J49" s="153">
        <v>32</v>
      </c>
      <c r="K49" s="154">
        <f t="shared" si="3"/>
        <v>8.7431693989071047</v>
      </c>
      <c r="L49" s="164">
        <f>'Informe nº 6'!L49</f>
        <v>6.2735710144042969</v>
      </c>
      <c r="M49" s="160">
        <f>'Informe nº 6a'!L49</f>
        <v>4.7060952186584473</v>
      </c>
    </row>
    <row r="50" spans="10:13" ht="13">
      <c r="J50" s="153">
        <v>33</v>
      </c>
      <c r="K50" s="154">
        <f t="shared" si="3"/>
        <v>9.0163934426229506</v>
      </c>
      <c r="L50" s="164">
        <f>'Informe nº 6'!L50</f>
        <v>6.2430944442749023</v>
      </c>
      <c r="M50" s="160">
        <f>'Informe nº 6a'!L50</f>
        <v>4.6723337173461914</v>
      </c>
    </row>
    <row r="51" spans="10:13" ht="13">
      <c r="J51" s="153">
        <v>34</v>
      </c>
      <c r="K51" s="154">
        <f t="shared" si="3"/>
        <v>9.2896174863387984</v>
      </c>
      <c r="L51" s="164">
        <f>'Informe nº 6'!L51</f>
        <v>6.2090010643005371</v>
      </c>
      <c r="M51" s="160">
        <f>'Informe nº 6a'!L51</f>
        <v>4.6510477066040039</v>
      </c>
    </row>
    <row r="52" spans="10:13" ht="13">
      <c r="J52" s="153">
        <v>35</v>
      </c>
      <c r="K52" s="154">
        <f t="shared" si="3"/>
        <v>9.5628415300546443</v>
      </c>
      <c r="L52" s="164">
        <f>'Informe nº 6'!L52</f>
        <v>6.1767134666442871</v>
      </c>
      <c r="M52" s="160">
        <f>'Informe nº 6a'!L52</f>
        <v>4.6132864952087402</v>
      </c>
    </row>
    <row r="53" spans="10:13" ht="13">
      <c r="J53" s="153">
        <v>36</v>
      </c>
      <c r="K53" s="154">
        <f t="shared" si="3"/>
        <v>9.8360655737704921</v>
      </c>
      <c r="L53" s="164">
        <f>'Informe nº 6'!L53</f>
        <v>6.1448101997375488</v>
      </c>
      <c r="M53" s="160">
        <f>'Informe nº 6a'!L53</f>
        <v>4.5862374305725098</v>
      </c>
    </row>
    <row r="54" spans="10:13" ht="13">
      <c r="J54" s="153">
        <v>37</v>
      </c>
      <c r="K54" s="154">
        <f t="shared" si="3"/>
        <v>10.10928961748634</v>
      </c>
      <c r="L54" s="164">
        <f>'Informe nº 6'!L54</f>
        <v>6.1176190376281738</v>
      </c>
      <c r="M54" s="160">
        <f>'Informe nº 6a'!L54</f>
        <v>4.5507621765136719</v>
      </c>
    </row>
    <row r="55" spans="10:13" ht="13">
      <c r="J55" s="153">
        <v>38</v>
      </c>
      <c r="K55" s="154">
        <f t="shared" si="3"/>
        <v>10.382513661202186</v>
      </c>
      <c r="L55" s="164">
        <f>'Informe nº 6'!L55</f>
        <v>6.0914754867553711</v>
      </c>
      <c r="M55" s="160">
        <f>'Informe nº 6a'!L55</f>
        <v>4.5282378196716309</v>
      </c>
    </row>
    <row r="56" spans="10:13" ht="13">
      <c r="J56" s="153">
        <v>39</v>
      </c>
      <c r="K56" s="154">
        <f t="shared" si="3"/>
        <v>10.655737704918032</v>
      </c>
      <c r="L56" s="164">
        <f>'Informe nº 6'!L56</f>
        <v>6.061856746673584</v>
      </c>
      <c r="M56" s="160">
        <f>'Informe nº 6a'!L56</f>
        <v>4.5066184997558594</v>
      </c>
    </row>
    <row r="57" spans="10:13" ht="13">
      <c r="J57" s="153">
        <v>40</v>
      </c>
      <c r="K57" s="154">
        <f t="shared" si="3"/>
        <v>10.928961748633879</v>
      </c>
      <c r="L57" s="164">
        <f>'Informe nº 6'!L57</f>
        <v>6.0326194763183594</v>
      </c>
      <c r="M57" s="160">
        <f>'Informe nº 6a'!L57</f>
        <v>4.4744763374328613</v>
      </c>
    </row>
    <row r="58" spans="10:13" ht="13">
      <c r="J58" s="153">
        <v>41</v>
      </c>
      <c r="K58" s="154">
        <f t="shared" si="3"/>
        <v>11.202185792349727</v>
      </c>
      <c r="L58" s="164">
        <f>'Informe nº 6'!L58</f>
        <v>6.0001907348632813</v>
      </c>
      <c r="M58" s="160">
        <f>'Informe nº 6a'!L58</f>
        <v>4.4517135620117188</v>
      </c>
    </row>
    <row r="59" spans="10:13" ht="13">
      <c r="J59" s="153">
        <v>42</v>
      </c>
      <c r="K59" s="154">
        <f t="shared" si="3"/>
        <v>11.475409836065573</v>
      </c>
      <c r="L59" s="164">
        <f>'Informe nº 6'!L59</f>
        <v>5.9765238761901855</v>
      </c>
      <c r="M59" s="160">
        <f>'Informe nº 6a'!L59</f>
        <v>4.4199519157409668</v>
      </c>
    </row>
    <row r="60" spans="10:13" ht="13">
      <c r="J60" s="153">
        <v>43</v>
      </c>
      <c r="K60" s="154">
        <f t="shared" si="3"/>
        <v>11.748633879781421</v>
      </c>
      <c r="L60" s="164">
        <f>'Informe nº 6'!L60</f>
        <v>5.9444756507873535</v>
      </c>
      <c r="M60" s="160">
        <f>'Informe nº 6a'!L60</f>
        <v>4.3980469703674316</v>
      </c>
    </row>
    <row r="61" spans="10:13" ht="13">
      <c r="J61" s="153">
        <v>44</v>
      </c>
      <c r="K61" s="154">
        <f t="shared" si="3"/>
        <v>12.021857923497267</v>
      </c>
      <c r="L61" s="164">
        <f>'Informe nº 6'!L61</f>
        <v>5.9117622375488281</v>
      </c>
      <c r="M61" s="160">
        <f>'Informe nº 6a'!L61</f>
        <v>4.3655233383178711</v>
      </c>
    </row>
    <row r="62" spans="10:13" ht="13">
      <c r="J62" s="153">
        <v>45</v>
      </c>
      <c r="K62" s="154">
        <f t="shared" si="3"/>
        <v>12.295081967213115</v>
      </c>
      <c r="L62" s="164">
        <f>'Informe nº 6'!L62</f>
        <v>5.8859519958496094</v>
      </c>
      <c r="M62" s="160">
        <f>'Informe nº 6a'!L62</f>
        <v>4.3269524574279785</v>
      </c>
    </row>
    <row r="63" spans="10:13" ht="13">
      <c r="J63" s="153">
        <v>46</v>
      </c>
      <c r="K63" s="154">
        <f t="shared" si="3"/>
        <v>12.568306010928962</v>
      </c>
      <c r="L63" s="164">
        <f>'Informe nº 6'!L63</f>
        <v>5.8631906509399414</v>
      </c>
      <c r="M63" s="160">
        <f>'Informe nº 6a'!L63</f>
        <v>4.2983808517456055</v>
      </c>
    </row>
    <row r="64" spans="10:13" ht="13">
      <c r="J64" s="153">
        <v>47</v>
      </c>
      <c r="K64" s="154">
        <f t="shared" si="3"/>
        <v>12.841530054644808</v>
      </c>
      <c r="L64" s="164">
        <f>'Informe nº 6'!L64</f>
        <v>5.8472385406494141</v>
      </c>
      <c r="M64" s="160">
        <f>'Informe nº 6a'!L64</f>
        <v>4.2648568153381348</v>
      </c>
    </row>
    <row r="65" spans="10:13" ht="13">
      <c r="J65" s="153">
        <v>48</v>
      </c>
      <c r="K65" s="154">
        <f t="shared" si="3"/>
        <v>13.114754098360656</v>
      </c>
      <c r="L65" s="164">
        <f>'Informe nº 6'!L65</f>
        <v>5.8279047012329102</v>
      </c>
      <c r="M65" s="160">
        <f>'Informe nº 6a'!L65</f>
        <v>4.2328095436096191</v>
      </c>
    </row>
    <row r="66" spans="10:13" ht="13">
      <c r="J66" s="153">
        <v>49</v>
      </c>
      <c r="K66" s="154">
        <f t="shared" si="3"/>
        <v>13.387978142076504</v>
      </c>
      <c r="L66" s="164">
        <f>'Informe nº 6'!L66</f>
        <v>5.7928094863891602</v>
      </c>
      <c r="M66" s="160">
        <f>'Informe nº 6a'!L66</f>
        <v>4.1904764175415039</v>
      </c>
    </row>
    <row r="67" spans="10:13" ht="13">
      <c r="J67" s="153">
        <v>50</v>
      </c>
      <c r="K67" s="154">
        <f t="shared" si="3"/>
        <v>13.661202185792352</v>
      </c>
      <c r="L67" s="164">
        <f>'Informe nº 6'!L67</f>
        <v>5.7711906433105469</v>
      </c>
      <c r="M67" s="160">
        <f>'Informe nº 6a'!L67</f>
        <v>4.1705231666564941</v>
      </c>
    </row>
    <row r="68" spans="10:13" ht="13">
      <c r="J68" s="153">
        <v>51</v>
      </c>
      <c r="K68" s="154">
        <f t="shared" si="3"/>
        <v>13.934426229508196</v>
      </c>
      <c r="L68" s="164">
        <f>'Informe nº 6'!L68</f>
        <v>5.7550473213195801</v>
      </c>
      <c r="M68" s="160">
        <f>'Informe nº 6a'!L68</f>
        <v>4.1364760398864746</v>
      </c>
    </row>
    <row r="69" spans="10:13" ht="13">
      <c r="J69" s="153">
        <v>52</v>
      </c>
      <c r="K69" s="154">
        <f t="shared" si="3"/>
        <v>14.207650273224044</v>
      </c>
      <c r="L69" s="164">
        <f>'Informe nº 6'!L69</f>
        <v>5.7324280738830566</v>
      </c>
      <c r="M69" s="160">
        <f>'Informe nº 6a'!L69</f>
        <v>4.1043334007263184</v>
      </c>
    </row>
    <row r="70" spans="10:13" ht="13">
      <c r="J70" s="153">
        <v>53</v>
      </c>
      <c r="K70" s="154">
        <f t="shared" si="3"/>
        <v>14.480874316939889</v>
      </c>
      <c r="L70" s="164">
        <f>'Informe nº 6'!L70</f>
        <v>5.7117619514465332</v>
      </c>
      <c r="M70" s="160">
        <f>'Informe nº 6a'!L70</f>
        <v>4.0580472946166992</v>
      </c>
    </row>
    <row r="71" spans="10:13" ht="13">
      <c r="J71" s="153">
        <v>54</v>
      </c>
      <c r="K71" s="154">
        <f t="shared" si="3"/>
        <v>14.754098360655737</v>
      </c>
      <c r="L71" s="164">
        <f>'Informe nº 6'!L71</f>
        <v>5.6870951652526855</v>
      </c>
      <c r="M71" s="160">
        <f>'Informe nº 6a'!L71</f>
        <v>4.0274758338928223</v>
      </c>
    </row>
    <row r="72" spans="10:13" ht="13">
      <c r="J72" s="153">
        <v>55</v>
      </c>
      <c r="K72" s="154">
        <f t="shared" si="3"/>
        <v>15.027322404371585</v>
      </c>
      <c r="L72" s="164">
        <f>'Informe nº 6'!L72</f>
        <v>5.670952320098877</v>
      </c>
      <c r="M72" s="160">
        <f>'Informe nº 6a'!L72</f>
        <v>3.994952917098999</v>
      </c>
    </row>
    <row r="73" spans="10:13" ht="13">
      <c r="J73" s="153">
        <v>56</v>
      </c>
      <c r="K73" s="154">
        <f t="shared" si="3"/>
        <v>15.300546448087433</v>
      </c>
      <c r="L73" s="164">
        <f>'Informe nº 6'!L73</f>
        <v>5.6454286575317383</v>
      </c>
      <c r="M73" s="160">
        <f>'Informe nº 6a'!L73</f>
        <v>3.9622378349304199</v>
      </c>
    </row>
    <row r="74" spans="10:13" ht="13">
      <c r="J74" s="153">
        <v>57</v>
      </c>
      <c r="K74" s="154">
        <f t="shared" si="3"/>
        <v>15.573770491803279</v>
      </c>
      <c r="L74" s="164">
        <f>'Informe nº 6'!L74</f>
        <v>5.6268572807312012</v>
      </c>
      <c r="M74" s="160">
        <f>'Informe nº 6a'!L74</f>
        <v>3.933189868927002</v>
      </c>
    </row>
    <row r="75" spans="10:13" ht="13">
      <c r="J75" s="153">
        <v>58</v>
      </c>
      <c r="K75" s="154">
        <f t="shared" si="3"/>
        <v>15.846994535519126</v>
      </c>
      <c r="L75" s="164">
        <f>'Informe nº 6'!L75</f>
        <v>5.6118574142456055</v>
      </c>
      <c r="M75" s="160">
        <f>'Informe nº 6a'!L75</f>
        <v>3.9041905403137207</v>
      </c>
    </row>
    <row r="76" spans="10:13" ht="13">
      <c r="J76" s="153">
        <v>59</v>
      </c>
      <c r="K76" s="154">
        <f t="shared" si="3"/>
        <v>16.120218579234972</v>
      </c>
      <c r="L76" s="164">
        <f>'Informe nº 6'!L76</f>
        <v>5.5928092002868652</v>
      </c>
      <c r="M76" s="160">
        <f>'Informe nº 6a'!L76</f>
        <v>3.8633332252502441</v>
      </c>
    </row>
    <row r="77" spans="10:13" ht="13">
      <c r="J77" s="153">
        <v>60</v>
      </c>
      <c r="K77" s="154">
        <f t="shared" si="3"/>
        <v>16.393442622950818</v>
      </c>
      <c r="L77" s="164">
        <f>'Informe nº 6'!L77</f>
        <v>5.5773329734802246</v>
      </c>
      <c r="M77" s="160">
        <f>'Informe nº 6a'!L77</f>
        <v>3.8303806781768799</v>
      </c>
    </row>
    <row r="78" spans="10:13" ht="13">
      <c r="J78" s="153">
        <v>61</v>
      </c>
      <c r="K78" s="154">
        <f t="shared" si="3"/>
        <v>16.666666666666664</v>
      </c>
      <c r="L78" s="164">
        <f>'Informe nº 6'!L78</f>
        <v>5.5519523620605469</v>
      </c>
      <c r="M78" s="160">
        <f>'Informe nº 6a'!L78</f>
        <v>3.8008575439453125</v>
      </c>
    </row>
    <row r="79" spans="10:13" ht="13">
      <c r="J79" s="153">
        <v>62</v>
      </c>
      <c r="K79" s="154">
        <f t="shared" si="3"/>
        <v>16.939890710382514</v>
      </c>
      <c r="L79" s="164">
        <f>'Informe nº 6'!L79</f>
        <v>5.5337619781494141</v>
      </c>
      <c r="M79" s="160">
        <f>'Informe nº 6a'!L79</f>
        <v>3.7787621021270752</v>
      </c>
    </row>
    <row r="80" spans="10:13" ht="13">
      <c r="J80" s="153">
        <v>63</v>
      </c>
      <c r="K80" s="154">
        <f t="shared" si="3"/>
        <v>17.21311475409836</v>
      </c>
      <c r="L80" s="164">
        <f>'Informe nº 6'!L80</f>
        <v>5.5109519958496094</v>
      </c>
      <c r="M80" s="160">
        <f>'Informe nº 6a'!L80</f>
        <v>3.7378101348876953</v>
      </c>
    </row>
    <row r="81" spans="10:13" ht="13">
      <c r="J81" s="153">
        <v>64</v>
      </c>
      <c r="K81" s="154">
        <f t="shared" si="3"/>
        <v>17.486338797814209</v>
      </c>
      <c r="L81" s="164">
        <f>'Informe nº 6'!L81</f>
        <v>5.4885716438293457</v>
      </c>
      <c r="M81" s="160">
        <f>'Informe nº 6a'!L81</f>
        <v>3.696380615234375</v>
      </c>
    </row>
    <row r="82" spans="10:13" ht="13">
      <c r="J82" s="153">
        <v>65</v>
      </c>
      <c r="K82" s="154">
        <f t="shared" si="3"/>
        <v>17.759562841530055</v>
      </c>
      <c r="L82" s="164">
        <f>'Informe nº 6'!L82</f>
        <v>5.472571849822998</v>
      </c>
      <c r="M82" s="160">
        <f>'Informe nº 6a'!L82</f>
        <v>3.6709046363830566</v>
      </c>
    </row>
    <row r="83" spans="10:13" ht="13">
      <c r="J83" s="153">
        <v>66</v>
      </c>
      <c r="K83" s="154">
        <f t="shared" si="3"/>
        <v>18.032786885245901</v>
      </c>
      <c r="L83" s="164">
        <f>'Informe nº 6'!L83</f>
        <v>5.4558572769165039</v>
      </c>
      <c r="M83" s="160">
        <f>'Informe nº 6a'!L83</f>
        <v>3.6476190090179443</v>
      </c>
    </row>
    <row r="84" spans="10:13" ht="13">
      <c r="J84" s="153">
        <v>67</v>
      </c>
      <c r="K84" s="154">
        <f t="shared" ref="K84:K147" si="4">(J84/366)*100</f>
        <v>18.306010928961751</v>
      </c>
      <c r="L84" s="164">
        <f>'Informe nº 6'!L84</f>
        <v>5.4193329811096191</v>
      </c>
      <c r="M84" s="160">
        <f>'Informe nº 6a'!L84</f>
        <v>3.6255714893341064</v>
      </c>
    </row>
    <row r="85" spans="10:13" ht="13">
      <c r="J85" s="153">
        <v>68</v>
      </c>
      <c r="K85" s="154">
        <f t="shared" si="4"/>
        <v>18.579234972677597</v>
      </c>
      <c r="L85" s="164">
        <f>'Informe nº 6'!L85</f>
        <v>5.4058094024658203</v>
      </c>
      <c r="M85" s="160">
        <f>'Informe nº 6a'!L85</f>
        <v>3.5880951881408691</v>
      </c>
    </row>
    <row r="86" spans="10:13" ht="13">
      <c r="J86" s="153">
        <v>69</v>
      </c>
      <c r="K86" s="154">
        <f t="shared" si="4"/>
        <v>18.852459016393443</v>
      </c>
      <c r="L86" s="164">
        <f>'Informe nº 6'!L86</f>
        <v>5.3878092765808105</v>
      </c>
      <c r="M86" s="160">
        <f>'Informe nº 6a'!L86</f>
        <v>3.5636188983917236</v>
      </c>
    </row>
    <row r="87" spans="10:13" ht="13">
      <c r="J87" s="153">
        <v>70</v>
      </c>
      <c r="K87" s="154">
        <f t="shared" si="4"/>
        <v>19.125683060109289</v>
      </c>
      <c r="L87" s="164">
        <f>'Informe nº 6'!L87</f>
        <v>5.3684759140014648</v>
      </c>
      <c r="M87" s="160">
        <f>'Informe nº 6a'!L87</f>
        <v>3.51104736328125</v>
      </c>
    </row>
    <row r="88" spans="10:13" ht="13">
      <c r="J88" s="153">
        <v>71</v>
      </c>
      <c r="K88" s="154">
        <f t="shared" si="4"/>
        <v>19.398907103825135</v>
      </c>
      <c r="L88" s="164">
        <f>'Informe nº 6'!L88</f>
        <v>5.3445234298706055</v>
      </c>
      <c r="M88" s="160">
        <f>'Informe nº 6a'!L88</f>
        <v>3.4686665534973145</v>
      </c>
    </row>
    <row r="89" spans="10:13" ht="13">
      <c r="J89" s="153">
        <v>72</v>
      </c>
      <c r="K89" s="154">
        <f t="shared" si="4"/>
        <v>19.672131147540984</v>
      </c>
      <c r="L89" s="164">
        <f>'Informe nº 6'!L89</f>
        <v>5.3224287033081055</v>
      </c>
      <c r="M89" s="160">
        <f>'Informe nº 6a'!L89</f>
        <v>3.4459521770477295</v>
      </c>
    </row>
    <row r="90" spans="10:13" ht="13">
      <c r="J90" s="153">
        <v>73</v>
      </c>
      <c r="K90" s="154">
        <f t="shared" si="4"/>
        <v>19.94535519125683</v>
      </c>
      <c r="L90" s="164">
        <f>'Informe nº 6'!L90</f>
        <v>5.3078098297119141</v>
      </c>
      <c r="M90" s="160">
        <f>'Informe nº 6a'!L90</f>
        <v>3.4225711822509766</v>
      </c>
    </row>
    <row r="91" spans="10:13" ht="13">
      <c r="J91" s="153">
        <v>74</v>
      </c>
      <c r="K91" s="154">
        <f t="shared" si="4"/>
        <v>20.21857923497268</v>
      </c>
      <c r="L91" s="164">
        <f>'Informe nº 6'!L91</f>
        <v>5.2842373847961426</v>
      </c>
      <c r="M91" s="160">
        <f>'Informe nº 6a'!L91</f>
        <v>3.3869519233703613</v>
      </c>
    </row>
    <row r="92" spans="10:13" ht="13">
      <c r="J92" s="153">
        <v>75</v>
      </c>
      <c r="K92" s="154">
        <f t="shared" si="4"/>
        <v>20.491803278688526</v>
      </c>
      <c r="L92" s="164">
        <f>'Informe nº 6'!L92</f>
        <v>5.2664756774902344</v>
      </c>
      <c r="M92" s="160">
        <f>'Informe nº 6a'!L92</f>
        <v>3.3550477027893066</v>
      </c>
    </row>
    <row r="93" spans="10:13" ht="13">
      <c r="J93" s="153">
        <v>76</v>
      </c>
      <c r="K93" s="154">
        <f t="shared" si="4"/>
        <v>20.765027322404372</v>
      </c>
      <c r="L93" s="164">
        <f>'Informe nº 6'!L93</f>
        <v>5.2492380142211914</v>
      </c>
      <c r="M93" s="160">
        <f>'Informe nº 6a'!L93</f>
        <v>3.3266663551330566</v>
      </c>
    </row>
    <row r="94" spans="10:13" ht="13">
      <c r="J94" s="153">
        <v>77</v>
      </c>
      <c r="K94" s="154">
        <f t="shared" si="4"/>
        <v>21.038251366120221</v>
      </c>
      <c r="L94" s="164">
        <f>'Informe nº 6'!L94</f>
        <v>5.2344284057617188</v>
      </c>
      <c r="M94" s="160">
        <f>'Informe nº 6a'!L94</f>
        <v>3.3044285774230957</v>
      </c>
    </row>
    <row r="95" spans="10:13" ht="13">
      <c r="J95" s="153">
        <v>78</v>
      </c>
      <c r="K95" s="154">
        <f t="shared" si="4"/>
        <v>21.311475409836063</v>
      </c>
      <c r="L95" s="164">
        <f>'Informe nº 6'!L95</f>
        <v>5.2126665115356445</v>
      </c>
      <c r="M95" s="160">
        <f>'Informe nº 6a'!L95</f>
        <v>3.2776670455932617</v>
      </c>
    </row>
    <row r="96" spans="10:13" ht="13">
      <c r="J96" s="153">
        <v>79</v>
      </c>
      <c r="K96" s="154">
        <f t="shared" si="4"/>
        <v>21.584699453551913</v>
      </c>
      <c r="L96" s="164">
        <f>'Informe nº 6'!L96</f>
        <v>5.1922383308410645</v>
      </c>
      <c r="M96" s="160">
        <f>'Informe nº 6a'!L96</f>
        <v>3.2536664009094238</v>
      </c>
    </row>
    <row r="97" spans="10:13" ht="13">
      <c r="J97" s="153">
        <v>80</v>
      </c>
      <c r="K97" s="154">
        <f t="shared" si="4"/>
        <v>21.857923497267759</v>
      </c>
      <c r="L97" s="164">
        <f>'Informe nº 6'!L97</f>
        <v>5.1718578338623047</v>
      </c>
      <c r="M97" s="160">
        <f>'Informe nº 6a'!L97</f>
        <v>3.2264764308929443</v>
      </c>
    </row>
    <row r="98" spans="10:13" ht="13">
      <c r="J98" s="153">
        <v>81</v>
      </c>
      <c r="K98" s="154">
        <f t="shared" si="4"/>
        <v>22.131147540983605</v>
      </c>
      <c r="L98" s="164">
        <f>'Informe nº 6'!L98</f>
        <v>5.154761791229248</v>
      </c>
      <c r="M98" s="160">
        <f>'Informe nº 6a'!L98</f>
        <v>3.1955239772796631</v>
      </c>
    </row>
    <row r="99" spans="10:13" ht="13">
      <c r="J99" s="153">
        <v>82</v>
      </c>
      <c r="K99" s="154">
        <f t="shared" si="4"/>
        <v>22.404371584699454</v>
      </c>
      <c r="L99" s="164">
        <f>'Informe nº 6'!L99</f>
        <v>5.1378097534179688</v>
      </c>
      <c r="M99" s="160">
        <f>'Informe nº 6a'!L99</f>
        <v>3.1676664352416992</v>
      </c>
    </row>
    <row r="100" spans="10:13" ht="13">
      <c r="J100" s="153">
        <v>83</v>
      </c>
      <c r="K100" s="154">
        <f t="shared" si="4"/>
        <v>22.6775956284153</v>
      </c>
      <c r="L100" s="164">
        <f>'Informe nº 6'!L100</f>
        <v>5.1183815002441406</v>
      </c>
      <c r="M100" s="160">
        <f>'Informe nº 6a'!L100</f>
        <v>3.1350951194763184</v>
      </c>
    </row>
    <row r="101" spans="10:13" ht="13">
      <c r="J101" s="153">
        <v>84</v>
      </c>
      <c r="K101" s="154">
        <f t="shared" si="4"/>
        <v>22.950819672131146</v>
      </c>
      <c r="L101" s="164">
        <f>'Informe nº 6'!L101</f>
        <v>5.1039519309997559</v>
      </c>
      <c r="M101" s="160">
        <f>'Informe nº 6a'!L101</f>
        <v>3.1141910552978516</v>
      </c>
    </row>
    <row r="102" spans="10:13" ht="13">
      <c r="J102" s="153">
        <v>85</v>
      </c>
      <c r="K102" s="154">
        <f t="shared" si="4"/>
        <v>23.224043715846996</v>
      </c>
      <c r="L102" s="164">
        <f>'Informe nº 6'!L102</f>
        <v>5.0906186103820801</v>
      </c>
      <c r="M102" s="160">
        <f>'Informe nº 6a'!L102</f>
        <v>3.087571382522583</v>
      </c>
    </row>
    <row r="103" spans="10:13" ht="13">
      <c r="J103" s="153">
        <v>86</v>
      </c>
      <c r="K103" s="154">
        <f t="shared" si="4"/>
        <v>23.497267759562842</v>
      </c>
      <c r="L103" s="164">
        <f>'Informe nº 6'!L103</f>
        <v>5.0727615356445313</v>
      </c>
      <c r="M103" s="160">
        <f>'Informe nº 6a'!L103</f>
        <v>3.0524284839630127</v>
      </c>
    </row>
    <row r="104" spans="10:13" ht="13">
      <c r="J104" s="153">
        <v>87</v>
      </c>
      <c r="K104" s="154">
        <f t="shared" si="4"/>
        <v>23.770491803278688</v>
      </c>
      <c r="L104" s="164">
        <f>'Informe nº 6'!L104</f>
        <v>5.0553808212280273</v>
      </c>
      <c r="M104" s="160">
        <f>'Informe nº 6a'!L104</f>
        <v>3.0319523811340332</v>
      </c>
    </row>
    <row r="105" spans="10:13" ht="13">
      <c r="J105" s="153">
        <v>88</v>
      </c>
      <c r="K105" s="154">
        <f t="shared" si="4"/>
        <v>24.043715846994534</v>
      </c>
      <c r="L105" s="164">
        <f>'Informe nº 6'!L105</f>
        <v>5.0348577499389648</v>
      </c>
      <c r="M105" s="160">
        <f>'Informe nº 6a'!L105</f>
        <v>3.0113809108734131</v>
      </c>
    </row>
    <row r="106" spans="10:13" ht="13">
      <c r="J106" s="153">
        <v>89</v>
      </c>
      <c r="K106" s="154">
        <f t="shared" si="4"/>
        <v>24.316939890710383</v>
      </c>
      <c r="L106" s="164">
        <f>'Informe nº 6'!L106</f>
        <v>5.0153336524963379</v>
      </c>
      <c r="M106" s="160">
        <f>'Informe nº 6a'!L106</f>
        <v>2.9844286441802979</v>
      </c>
    </row>
    <row r="107" spans="10:13" ht="13">
      <c r="J107" s="153">
        <v>90</v>
      </c>
      <c r="K107" s="154">
        <f t="shared" si="4"/>
        <v>24.590163934426229</v>
      </c>
      <c r="L107" s="164">
        <f>'Informe nº 6'!L107</f>
        <v>4.9969520568847656</v>
      </c>
      <c r="M107" s="160">
        <f>'Informe nº 6a'!L107</f>
        <v>2.9592859745025635</v>
      </c>
    </row>
    <row r="108" spans="10:13" ht="13">
      <c r="J108" s="153">
        <v>91</v>
      </c>
      <c r="K108" s="154">
        <f t="shared" si="4"/>
        <v>24.863387978142075</v>
      </c>
      <c r="L108" s="164">
        <f>'Informe nº 6'!L108</f>
        <v>4.9786186218261719</v>
      </c>
      <c r="M108" s="160">
        <f>'Informe nº 6a'!L108</f>
        <v>2.9333806037902832</v>
      </c>
    </row>
    <row r="109" spans="10:13" ht="13">
      <c r="J109" s="153">
        <v>92</v>
      </c>
      <c r="K109" s="154">
        <f t="shared" si="4"/>
        <v>25.136612021857925</v>
      </c>
      <c r="L109" s="164">
        <f>'Informe nº 6'!L109</f>
        <v>4.9531903266906738</v>
      </c>
      <c r="M109" s="160">
        <f>'Informe nº 6a'!L109</f>
        <v>2.9111423492431641</v>
      </c>
    </row>
    <row r="110" spans="10:13" ht="13">
      <c r="J110" s="153">
        <v>93</v>
      </c>
      <c r="K110" s="154">
        <f t="shared" si="4"/>
        <v>25.409836065573771</v>
      </c>
      <c r="L110" s="164">
        <f>'Informe nº 6'!L110</f>
        <v>4.937809944152832</v>
      </c>
      <c r="M110" s="160">
        <f>'Informe nº 6a'!L110</f>
        <v>2.8947141170501709</v>
      </c>
    </row>
    <row r="111" spans="10:13" ht="13">
      <c r="J111" s="153">
        <v>94</v>
      </c>
      <c r="K111" s="154">
        <f t="shared" si="4"/>
        <v>25.683060109289617</v>
      </c>
      <c r="L111" s="164">
        <f>'Informe nº 6'!L111</f>
        <v>4.9191904067993164</v>
      </c>
      <c r="M111" s="160">
        <f>'Informe nº 6a'!L111</f>
        <v>2.8657138347625732</v>
      </c>
    </row>
    <row r="112" spans="10:13" ht="13">
      <c r="J112" s="153">
        <v>95</v>
      </c>
      <c r="K112" s="154">
        <f t="shared" si="4"/>
        <v>25.956284153005466</v>
      </c>
      <c r="L112" s="164">
        <f>'Informe nº 6'!L112</f>
        <v>4.9110474586486816</v>
      </c>
      <c r="M112" s="160">
        <f>'Informe nº 6a'!L112</f>
        <v>2.8350954055786133</v>
      </c>
    </row>
    <row r="113" spans="10:13" ht="13">
      <c r="J113" s="153">
        <v>96</v>
      </c>
      <c r="K113" s="154">
        <f t="shared" si="4"/>
        <v>26.229508196721312</v>
      </c>
      <c r="L113" s="164">
        <f>'Informe nº 6'!L113</f>
        <v>4.8961429595947266</v>
      </c>
      <c r="M113" s="160">
        <f>'Informe nº 6a'!L113</f>
        <v>2.8180477619171143</v>
      </c>
    </row>
    <row r="114" spans="10:13" ht="13">
      <c r="J114" s="153">
        <v>97</v>
      </c>
      <c r="K114" s="154">
        <f t="shared" si="4"/>
        <v>26.502732240437162</v>
      </c>
      <c r="L114" s="164">
        <f>'Informe nº 6'!L114</f>
        <v>4.8791909217834473</v>
      </c>
      <c r="M114" s="160">
        <f>'Informe nº 6a'!L114</f>
        <v>2.7971429824829102</v>
      </c>
    </row>
    <row r="115" spans="10:13" ht="13">
      <c r="J115" s="153">
        <v>98</v>
      </c>
      <c r="K115" s="154">
        <f t="shared" si="4"/>
        <v>26.775956284153008</v>
      </c>
      <c r="L115" s="164">
        <f>'Informe nº 6'!L115</f>
        <v>4.8640003204345703</v>
      </c>
      <c r="M115" s="160">
        <f>'Informe nº 6a'!L115</f>
        <v>2.7726190090179443</v>
      </c>
    </row>
    <row r="116" spans="10:13" ht="13">
      <c r="J116" s="153">
        <v>99</v>
      </c>
      <c r="K116" s="154">
        <f t="shared" si="4"/>
        <v>27.049180327868854</v>
      </c>
      <c r="L116" s="164">
        <f>'Informe nº 6'!L116</f>
        <v>4.8492379188537598</v>
      </c>
      <c r="M116" s="160">
        <f>'Informe nº 6a'!L116</f>
        <v>2.7508571147918701</v>
      </c>
    </row>
    <row r="117" spans="10:13" ht="13">
      <c r="J117" s="153">
        <v>100</v>
      </c>
      <c r="K117" s="154">
        <f t="shared" si="4"/>
        <v>27.322404371584703</v>
      </c>
      <c r="L117" s="164">
        <f>'Informe nº 6'!L117</f>
        <v>4.8277149200439453</v>
      </c>
      <c r="M117" s="160">
        <f>'Informe nº 6a'!L117</f>
        <v>2.7189524173736572</v>
      </c>
    </row>
    <row r="118" spans="10:13" ht="13">
      <c r="J118" s="153">
        <v>101</v>
      </c>
      <c r="K118" s="154">
        <f t="shared" si="4"/>
        <v>27.595628415300546</v>
      </c>
      <c r="L118" s="164">
        <f>'Informe nº 6'!L118</f>
        <v>4.8154287338256836</v>
      </c>
      <c r="M118" s="160">
        <f>'Informe nº 6a'!L118</f>
        <v>2.6981427669525146</v>
      </c>
    </row>
    <row r="119" spans="10:13" ht="13">
      <c r="J119" s="153">
        <v>102</v>
      </c>
      <c r="K119" s="154">
        <f t="shared" si="4"/>
        <v>27.868852459016392</v>
      </c>
      <c r="L119" s="164">
        <f>'Informe nº 6'!L119</f>
        <v>4.8011431694030762</v>
      </c>
      <c r="M119" s="160">
        <f>'Informe nº 6a'!L119</f>
        <v>2.6692378520965576</v>
      </c>
    </row>
    <row r="120" spans="10:13" ht="13">
      <c r="J120" s="153">
        <v>103</v>
      </c>
      <c r="K120" s="154">
        <f t="shared" si="4"/>
        <v>28.142076502732237</v>
      </c>
      <c r="L120" s="164">
        <f>'Informe nº 6'!L120</f>
        <v>4.7851905822753906</v>
      </c>
      <c r="M120" s="160">
        <f>'Informe nº 6a'!L120</f>
        <v>2.6496191024780273</v>
      </c>
    </row>
    <row r="121" spans="10:13" ht="13">
      <c r="J121" s="153">
        <v>104</v>
      </c>
      <c r="K121" s="154">
        <f t="shared" si="4"/>
        <v>28.415300546448087</v>
      </c>
      <c r="L121" s="164">
        <f>'Informe nº 6'!L121</f>
        <v>4.7708096504211426</v>
      </c>
      <c r="M121" s="160">
        <f>'Informe nº 6a'!L121</f>
        <v>2.6341426372528076</v>
      </c>
    </row>
    <row r="122" spans="10:13" ht="13">
      <c r="J122" s="153">
        <v>105</v>
      </c>
      <c r="K122" s="154">
        <f t="shared" si="4"/>
        <v>28.688524590163933</v>
      </c>
      <c r="L122" s="164">
        <f>'Informe nº 6'!L122</f>
        <v>4.7565708160400391</v>
      </c>
      <c r="M122" s="160">
        <f>'Informe nº 6a'!L122</f>
        <v>2.612809419631958</v>
      </c>
    </row>
    <row r="123" spans="10:13" ht="13">
      <c r="J123" s="153">
        <v>106</v>
      </c>
      <c r="K123" s="154">
        <f t="shared" si="4"/>
        <v>28.961748633879779</v>
      </c>
      <c r="L123" s="164">
        <f>'Informe nº 6'!L123</f>
        <v>4.744999885559082</v>
      </c>
      <c r="M123" s="160">
        <f>'Informe nº 6a'!L123</f>
        <v>2.5921428203582764</v>
      </c>
    </row>
    <row r="124" spans="10:13" ht="13">
      <c r="J124" s="153">
        <v>107</v>
      </c>
      <c r="K124" s="154">
        <f t="shared" si="4"/>
        <v>29.234972677595628</v>
      </c>
      <c r="L124" s="164">
        <f>'Informe nº 6'!L124</f>
        <v>4.7268095016479492</v>
      </c>
      <c r="M124" s="160">
        <f>'Informe nº 6a'!L124</f>
        <v>2.5677616596221924</v>
      </c>
    </row>
    <row r="125" spans="10:13" ht="13">
      <c r="J125" s="153">
        <v>108</v>
      </c>
      <c r="K125" s="154">
        <f t="shared" si="4"/>
        <v>29.508196721311474</v>
      </c>
      <c r="L125" s="164">
        <f>'Informe nº 6'!L125</f>
        <v>4.7151904106140137</v>
      </c>
      <c r="M125" s="160">
        <f>'Informe nº 6a'!L125</f>
        <v>2.54376220703125</v>
      </c>
    </row>
    <row r="126" spans="10:13" ht="13">
      <c r="J126" s="153">
        <v>109</v>
      </c>
      <c r="K126" s="154">
        <f t="shared" si="4"/>
        <v>29.78142076502732</v>
      </c>
      <c r="L126" s="164">
        <f>'Informe nº 6'!L126</f>
        <v>4.7010951042175293</v>
      </c>
      <c r="M126" s="160">
        <f>'Informe nº 6a'!L126</f>
        <v>2.5117142200469971</v>
      </c>
    </row>
    <row r="127" spans="10:13" ht="13">
      <c r="J127" s="153">
        <v>110</v>
      </c>
      <c r="K127" s="154">
        <f t="shared" si="4"/>
        <v>30.05464480874317</v>
      </c>
      <c r="L127" s="164">
        <f>'Informe nº 6'!L127</f>
        <v>4.6821908950805664</v>
      </c>
      <c r="M127" s="160">
        <f>'Informe nº 6a'!L127</f>
        <v>2.4832382202148438</v>
      </c>
    </row>
    <row r="128" spans="10:13" ht="13">
      <c r="J128" s="153">
        <v>111</v>
      </c>
      <c r="K128" s="154">
        <f t="shared" si="4"/>
        <v>30.327868852459016</v>
      </c>
      <c r="L128" s="164">
        <f>'Informe nº 6'!L128</f>
        <v>4.6586661338806152</v>
      </c>
      <c r="M128" s="160">
        <f>'Informe nº 6a'!L128</f>
        <v>2.4583332538604736</v>
      </c>
    </row>
    <row r="129" spans="10:13" ht="13">
      <c r="J129" s="153">
        <v>112</v>
      </c>
      <c r="K129" s="154">
        <f t="shared" si="4"/>
        <v>30.601092896174865</v>
      </c>
      <c r="L129" s="164">
        <f>'Informe nº 6'!L129</f>
        <v>4.6423816680908203</v>
      </c>
      <c r="M129" s="160">
        <f>'Informe nº 6a'!L129</f>
        <v>2.4417140483856201</v>
      </c>
    </row>
    <row r="130" spans="10:13" ht="13">
      <c r="J130" s="153">
        <v>113</v>
      </c>
      <c r="K130" s="154">
        <f t="shared" si="4"/>
        <v>30.874316939890711</v>
      </c>
      <c r="L130" s="164">
        <f>'Informe nº 6'!L130</f>
        <v>4.6173806190490723</v>
      </c>
      <c r="M130" s="160">
        <f>'Informe nº 6a'!L130</f>
        <v>2.421619176864624</v>
      </c>
    </row>
    <row r="131" spans="10:13" ht="13">
      <c r="J131" s="153">
        <v>114</v>
      </c>
      <c r="K131" s="154">
        <f t="shared" si="4"/>
        <v>31.147540983606557</v>
      </c>
      <c r="L131" s="164">
        <f>'Informe nº 6'!L131</f>
        <v>4.5982379913330078</v>
      </c>
      <c r="M131" s="160">
        <f>'Informe nº 6a'!L131</f>
        <v>2.4009048938751221</v>
      </c>
    </row>
    <row r="132" spans="10:13" ht="13">
      <c r="J132" s="153">
        <v>115</v>
      </c>
      <c r="K132" s="154">
        <f t="shared" si="4"/>
        <v>31.420765027322407</v>
      </c>
      <c r="L132" s="164">
        <f>'Informe nº 6'!L132</f>
        <v>4.5831427574157715</v>
      </c>
      <c r="M132" s="160">
        <f>'Informe nº 6a'!L132</f>
        <v>2.3756191730499268</v>
      </c>
    </row>
    <row r="133" spans="10:13" ht="13">
      <c r="J133" s="153">
        <v>116</v>
      </c>
      <c r="K133" s="154">
        <f t="shared" si="4"/>
        <v>31.693989071038253</v>
      </c>
      <c r="L133" s="164">
        <f>'Informe nº 6'!L133</f>
        <v>4.5635719299316406</v>
      </c>
      <c r="M133" s="160">
        <f>'Informe nº 6a'!L133</f>
        <v>2.3507621288299561</v>
      </c>
    </row>
    <row r="134" spans="10:13" ht="13">
      <c r="J134" s="153">
        <v>117</v>
      </c>
      <c r="K134" s="154">
        <f t="shared" si="4"/>
        <v>31.967213114754102</v>
      </c>
      <c r="L134" s="164">
        <f>'Informe nº 6'!L134</f>
        <v>4.5480480194091797</v>
      </c>
      <c r="M134" s="160">
        <f>'Informe nº 6a'!L134</f>
        <v>2.330714225769043</v>
      </c>
    </row>
    <row r="135" spans="10:13" ht="13">
      <c r="J135" s="153">
        <v>118</v>
      </c>
      <c r="K135" s="154">
        <f t="shared" si="4"/>
        <v>32.240437158469945</v>
      </c>
      <c r="L135" s="164">
        <f>'Informe nº 6'!L135</f>
        <v>4.533808708190918</v>
      </c>
      <c r="M135" s="160">
        <f>'Informe nº 6a'!L135</f>
        <v>2.3089048862457275</v>
      </c>
    </row>
    <row r="136" spans="10:13" ht="13">
      <c r="J136" s="153">
        <v>119</v>
      </c>
      <c r="K136" s="154">
        <f t="shared" si="4"/>
        <v>32.513661202185787</v>
      </c>
      <c r="L136" s="164">
        <f>'Informe nº 6'!L136</f>
        <v>4.5233807563781738</v>
      </c>
      <c r="M136" s="160">
        <f>'Informe nº 6a'!L136</f>
        <v>2.298619270324707</v>
      </c>
    </row>
    <row r="137" spans="10:13" ht="13">
      <c r="J137" s="153">
        <v>120</v>
      </c>
      <c r="K137" s="154">
        <f t="shared" si="4"/>
        <v>32.786885245901637</v>
      </c>
      <c r="L137" s="164">
        <f>'Informe nº 6'!L137</f>
        <v>4.4992380142211914</v>
      </c>
      <c r="M137" s="160">
        <f>'Informe nº 6a'!L137</f>
        <v>2.276237964630127</v>
      </c>
    </row>
    <row r="138" spans="10:13" ht="13">
      <c r="J138" s="153">
        <v>121</v>
      </c>
      <c r="K138" s="154">
        <f t="shared" si="4"/>
        <v>33.060109289617486</v>
      </c>
      <c r="L138" s="164">
        <f>'Informe nº 6'!L138</f>
        <v>4.4862375259399414</v>
      </c>
      <c r="M138" s="160">
        <f>'Informe nº 6a'!L138</f>
        <v>2.2508571147918701</v>
      </c>
    </row>
    <row r="139" spans="10:13" ht="13">
      <c r="J139" s="153">
        <v>122</v>
      </c>
      <c r="K139" s="154">
        <f t="shared" si="4"/>
        <v>33.333333333333329</v>
      </c>
      <c r="L139" s="164">
        <f>'Informe nº 6'!L139</f>
        <v>4.4653811454772949</v>
      </c>
      <c r="M139" s="160">
        <f>'Informe nº 6a'!L139</f>
        <v>2.2333812713623047</v>
      </c>
    </row>
    <row r="140" spans="10:13" ht="13">
      <c r="J140" s="153">
        <v>123</v>
      </c>
      <c r="K140" s="154">
        <f t="shared" si="4"/>
        <v>33.606557377049178</v>
      </c>
      <c r="L140" s="164">
        <f>'Informe nº 6'!L140</f>
        <v>4.4453330039978027</v>
      </c>
      <c r="M140" s="160">
        <f>'Informe nº 6a'!L140</f>
        <v>2.2183332443237305</v>
      </c>
    </row>
    <row r="141" spans="10:13" ht="13">
      <c r="J141" s="153">
        <v>124</v>
      </c>
      <c r="K141" s="154">
        <f t="shared" si="4"/>
        <v>33.879781420765028</v>
      </c>
      <c r="L141" s="164">
        <f>'Informe nº 6'!L141</f>
        <v>4.4330945014953613</v>
      </c>
      <c r="M141" s="160">
        <f>'Informe nº 6a'!L141</f>
        <v>2.1977620124816895</v>
      </c>
    </row>
    <row r="142" spans="10:13" ht="13">
      <c r="J142" s="153">
        <v>125</v>
      </c>
      <c r="K142" s="154">
        <f t="shared" si="4"/>
        <v>34.15300546448087</v>
      </c>
      <c r="L142" s="164">
        <f>'Informe nº 6'!L142</f>
        <v>4.4194760322570801</v>
      </c>
      <c r="M142" s="160">
        <f>'Informe nº 6a'!L142</f>
        <v>2.1797616481781006</v>
      </c>
    </row>
    <row r="143" spans="10:13" ht="13">
      <c r="J143" s="153">
        <v>126</v>
      </c>
      <c r="K143" s="154">
        <f t="shared" si="4"/>
        <v>34.42622950819672</v>
      </c>
      <c r="L143" s="164">
        <f>'Informe nº 6'!L143</f>
        <v>4.4017143249511719</v>
      </c>
      <c r="M143" s="160">
        <f>'Informe nº 6a'!L143</f>
        <v>2.1603336334228516</v>
      </c>
    </row>
    <row r="144" spans="10:13" ht="13">
      <c r="J144" s="153">
        <v>127</v>
      </c>
      <c r="K144" s="154">
        <f t="shared" si="4"/>
        <v>34.699453551912569</v>
      </c>
      <c r="L144" s="164">
        <f>'Informe nº 6'!L144</f>
        <v>4.3811426162719727</v>
      </c>
      <c r="M144" s="160">
        <f>'Informe nº 6a'!L144</f>
        <v>2.1471905708312988</v>
      </c>
    </row>
    <row r="145" spans="10:13" ht="13">
      <c r="J145" s="153">
        <v>128</v>
      </c>
      <c r="K145" s="154">
        <f t="shared" si="4"/>
        <v>34.972677595628419</v>
      </c>
      <c r="L145" s="164">
        <f>'Informe nº 6'!L145</f>
        <v>4.3644285202026367</v>
      </c>
      <c r="M145" s="160">
        <f>'Informe nº 6a'!L145</f>
        <v>2.121809720993042</v>
      </c>
    </row>
    <row r="146" spans="10:13" ht="13">
      <c r="J146" s="153">
        <v>129</v>
      </c>
      <c r="K146" s="154">
        <f t="shared" si="4"/>
        <v>35.245901639344261</v>
      </c>
      <c r="L146" s="164">
        <f>'Informe nº 6'!L146</f>
        <v>4.3495707511901855</v>
      </c>
      <c r="M146" s="160">
        <f>'Informe nº 6a'!L146</f>
        <v>2.1086189746856689</v>
      </c>
    </row>
    <row r="147" spans="10:13" ht="13">
      <c r="J147" s="153">
        <v>130</v>
      </c>
      <c r="K147" s="154">
        <f t="shared" si="4"/>
        <v>35.519125683060111</v>
      </c>
      <c r="L147" s="164">
        <f>'Informe nº 6'!L147</f>
        <v>4.3361425399780273</v>
      </c>
      <c r="M147" s="160">
        <f>'Informe nº 6a'!L147</f>
        <v>2.096428394317627</v>
      </c>
    </row>
    <row r="148" spans="10:13" ht="13">
      <c r="J148" s="153">
        <v>131</v>
      </c>
      <c r="K148" s="154">
        <f t="shared" ref="K148:K211" si="5">(J148/366)*100</f>
        <v>35.79234972677596</v>
      </c>
      <c r="L148" s="164">
        <f>'Informe nº 6'!L148</f>
        <v>4.3223810195922852</v>
      </c>
      <c r="M148" s="160">
        <f>'Informe nº 6a'!L148</f>
        <v>2.0766670703887939</v>
      </c>
    </row>
    <row r="149" spans="10:13" ht="13">
      <c r="J149" s="153">
        <v>132</v>
      </c>
      <c r="K149" s="154">
        <f t="shared" si="5"/>
        <v>36.065573770491802</v>
      </c>
      <c r="L149" s="164">
        <f>'Informe nº 6'!L149</f>
        <v>4.3071908950805664</v>
      </c>
      <c r="M149" s="160">
        <f>'Informe nº 6a'!L149</f>
        <v>2.0516667366027832</v>
      </c>
    </row>
    <row r="150" spans="10:13" ht="13">
      <c r="J150" s="153">
        <v>133</v>
      </c>
      <c r="K150" s="154">
        <f t="shared" si="5"/>
        <v>36.338797814207652</v>
      </c>
      <c r="L150" s="164">
        <f>'Informe nº 6'!L150</f>
        <v>4.2875237464904785</v>
      </c>
      <c r="M150" s="160">
        <f>'Informe nº 6a'!L150</f>
        <v>2.0367617607116699</v>
      </c>
    </row>
    <row r="151" spans="10:13" ht="13">
      <c r="J151" s="153">
        <v>134</v>
      </c>
      <c r="K151" s="154">
        <f t="shared" si="5"/>
        <v>36.612021857923501</v>
      </c>
      <c r="L151" s="164">
        <f>'Informe nº 6'!L151</f>
        <v>4.2671427726745605</v>
      </c>
      <c r="M151" s="160">
        <f>'Informe nº 6a'!L151</f>
        <v>2.0181906223297119</v>
      </c>
    </row>
    <row r="152" spans="10:13" ht="13">
      <c r="J152" s="153">
        <v>135</v>
      </c>
      <c r="K152" s="154">
        <f t="shared" si="5"/>
        <v>36.885245901639344</v>
      </c>
      <c r="L152" s="164">
        <f>'Informe nº 6'!L152</f>
        <v>4.2460947036743164</v>
      </c>
      <c r="M152" s="160">
        <f>'Informe nº 6a'!L152</f>
        <v>2.0021903514862061</v>
      </c>
    </row>
    <row r="153" spans="10:13" ht="13">
      <c r="J153" s="153">
        <v>136</v>
      </c>
      <c r="K153" s="154">
        <f t="shared" si="5"/>
        <v>37.158469945355193</v>
      </c>
      <c r="L153" s="164">
        <f>'Informe nº 6'!L153</f>
        <v>4.2279047966003418</v>
      </c>
      <c r="M153" s="160">
        <f>'Informe nº 6a'!L153</f>
        <v>1.9804285764694214</v>
      </c>
    </row>
    <row r="154" spans="10:13" ht="13">
      <c r="J154" s="153">
        <v>137</v>
      </c>
      <c r="K154" s="154">
        <f t="shared" si="5"/>
        <v>37.431693989071043</v>
      </c>
      <c r="L154" s="164">
        <f>'Informe nº 6'!L154</f>
        <v>4.204524040222168</v>
      </c>
      <c r="M154" s="160">
        <f>'Informe nº 6a'!L154</f>
        <v>1.9656194448471069</v>
      </c>
    </row>
    <row r="155" spans="10:13" ht="13">
      <c r="J155" s="153">
        <v>138</v>
      </c>
      <c r="K155" s="154">
        <f t="shared" si="5"/>
        <v>37.704918032786885</v>
      </c>
      <c r="L155" s="164">
        <f>'Informe nº 6'!L155</f>
        <v>4.1894283294677734</v>
      </c>
      <c r="M155" s="160">
        <f>'Informe nº 6a'!L155</f>
        <v>1.9519999027252197</v>
      </c>
    </row>
    <row r="156" spans="10:13" ht="13">
      <c r="J156" s="153">
        <v>139</v>
      </c>
      <c r="K156" s="154">
        <f t="shared" si="5"/>
        <v>37.978142076502728</v>
      </c>
      <c r="L156" s="164">
        <f>'Informe nº 6'!L156</f>
        <v>4.1694283485412598</v>
      </c>
      <c r="M156" s="160">
        <f>'Informe nº 6a'!L156</f>
        <v>1.9319999217987061</v>
      </c>
    </row>
    <row r="157" spans="10:13" ht="13">
      <c r="J157" s="153">
        <v>140</v>
      </c>
      <c r="K157" s="154">
        <f t="shared" si="5"/>
        <v>38.251366120218577</v>
      </c>
      <c r="L157" s="164">
        <f>'Informe nº 6'!L157</f>
        <v>4.1529045104980469</v>
      </c>
      <c r="M157" s="160">
        <f>'Informe nº 6a'!L157</f>
        <v>1.9173810482025146</v>
      </c>
    </row>
    <row r="158" spans="10:13" ht="13">
      <c r="J158" s="153">
        <v>141</v>
      </c>
      <c r="K158" s="154">
        <f t="shared" si="5"/>
        <v>38.524590163934427</v>
      </c>
      <c r="L158" s="164">
        <f>'Informe nº 6'!L158</f>
        <v>4.1413335800170898</v>
      </c>
      <c r="M158" s="160">
        <f>'Informe nº 6a'!L158</f>
        <v>1.906523585319519</v>
      </c>
    </row>
    <row r="159" spans="10:13" ht="13">
      <c r="J159" s="153">
        <v>142</v>
      </c>
      <c r="K159" s="154">
        <f t="shared" si="5"/>
        <v>38.797814207650269</v>
      </c>
      <c r="L159" s="164">
        <f>'Informe nº 6'!L159</f>
        <v>4.1225714683532715</v>
      </c>
      <c r="M159" s="160">
        <f>'Informe nº 6a'!L159</f>
        <v>1.8912855386734009</v>
      </c>
    </row>
    <row r="160" spans="10:13" ht="13">
      <c r="J160" s="153">
        <v>143</v>
      </c>
      <c r="K160" s="154">
        <f t="shared" si="5"/>
        <v>39.071038251366119</v>
      </c>
      <c r="L160" s="164">
        <f>'Informe nº 6'!L160</f>
        <v>4.1066665649414063</v>
      </c>
      <c r="M160" s="160">
        <f>'Informe nº 6a'!L160</f>
        <v>1.8668572902679443</v>
      </c>
    </row>
    <row r="161" spans="10:13" ht="13">
      <c r="J161" s="153">
        <v>144</v>
      </c>
      <c r="K161" s="154">
        <f t="shared" si="5"/>
        <v>39.344262295081968</v>
      </c>
      <c r="L161" s="164">
        <f>'Informe nº 6'!L161</f>
        <v>4.0892858505249023</v>
      </c>
      <c r="M161" s="160">
        <f>'Informe nº 6a'!L161</f>
        <v>1.8465712070465088</v>
      </c>
    </row>
    <row r="162" spans="10:13" ht="13">
      <c r="J162" s="153">
        <v>145</v>
      </c>
      <c r="K162" s="154">
        <f t="shared" si="5"/>
        <v>39.617486338797811</v>
      </c>
      <c r="L162" s="164">
        <f>'Informe nº 6'!L162</f>
        <v>4.0730476379394531</v>
      </c>
      <c r="M162" s="160">
        <f>'Informe nº 6a'!L162</f>
        <v>1.8320475816726685</v>
      </c>
    </row>
    <row r="163" spans="10:13" ht="13">
      <c r="J163" s="153">
        <v>146</v>
      </c>
      <c r="K163" s="154">
        <f t="shared" si="5"/>
        <v>39.89071038251366</v>
      </c>
      <c r="L163" s="164">
        <f>'Informe nº 6'!L163</f>
        <v>4.0545716285705566</v>
      </c>
      <c r="M163" s="160">
        <f>'Informe nº 6a'!L163</f>
        <v>1.8158572912216187</v>
      </c>
    </row>
    <row r="164" spans="10:13" ht="13">
      <c r="J164" s="153">
        <v>147</v>
      </c>
      <c r="K164" s="154">
        <f t="shared" si="5"/>
        <v>40.16393442622951</v>
      </c>
      <c r="L164" s="164">
        <f>'Informe nº 6'!L164</f>
        <v>4.0338096618652344</v>
      </c>
      <c r="M164" s="160">
        <f>'Informe nº 6a'!L164</f>
        <v>1.7959524393081665</v>
      </c>
    </row>
    <row r="165" spans="10:13" ht="13">
      <c r="J165" s="153">
        <v>148</v>
      </c>
      <c r="K165" s="154">
        <f t="shared" si="5"/>
        <v>40.437158469945359</v>
      </c>
      <c r="L165" s="164">
        <f>'Informe nº 6'!L165</f>
        <v>4.0134286880493164</v>
      </c>
      <c r="M165" s="160">
        <f>'Informe nº 6a'!L165</f>
        <v>1.7724761962890625</v>
      </c>
    </row>
    <row r="166" spans="10:13" ht="13">
      <c r="J166" s="153">
        <v>149</v>
      </c>
      <c r="K166" s="154">
        <f t="shared" si="5"/>
        <v>40.710382513661202</v>
      </c>
      <c r="L166" s="164">
        <f>'Informe nº 6'!L166</f>
        <v>3.9999520778656006</v>
      </c>
      <c r="M166" s="160">
        <f>'Informe nº 6a'!L166</f>
        <v>1.7644288539886475</v>
      </c>
    </row>
    <row r="167" spans="10:13" ht="13">
      <c r="J167" s="153">
        <v>150</v>
      </c>
      <c r="K167" s="154">
        <f t="shared" si="5"/>
        <v>40.983606557377051</v>
      </c>
      <c r="L167" s="164">
        <f>'Informe nº 6'!L167</f>
        <v>3.9882383346557617</v>
      </c>
      <c r="M167" s="160">
        <f>'Informe nº 6a'!L167</f>
        <v>1.7402857542037964</v>
      </c>
    </row>
    <row r="168" spans="10:13" ht="13">
      <c r="J168" s="153">
        <v>151</v>
      </c>
      <c r="K168" s="154">
        <f t="shared" si="5"/>
        <v>41.256830601092901</v>
      </c>
      <c r="L168" s="164">
        <f>'Informe nº 6'!L168</f>
        <v>3.9719045162200928</v>
      </c>
      <c r="M168" s="160">
        <f>'Informe nº 6a'!L168</f>
        <v>1.7273333072662354</v>
      </c>
    </row>
    <row r="169" spans="10:13" ht="13">
      <c r="J169" s="153">
        <v>152</v>
      </c>
      <c r="K169" s="154">
        <f t="shared" si="5"/>
        <v>41.530054644808743</v>
      </c>
      <c r="L169" s="164">
        <f>'Informe nº 6'!L169</f>
        <v>3.9507145881652832</v>
      </c>
      <c r="M169" s="160">
        <f>'Informe nº 6a'!L169</f>
        <v>1.7066667079925537</v>
      </c>
    </row>
    <row r="170" spans="10:13" ht="13">
      <c r="J170" s="153">
        <v>153</v>
      </c>
      <c r="K170" s="154">
        <f t="shared" si="5"/>
        <v>41.803278688524593</v>
      </c>
      <c r="L170" s="164">
        <f>'Informe nº 6'!L170</f>
        <v>3.9323329925537109</v>
      </c>
      <c r="M170" s="160">
        <f>'Informe nº 6a'!L170</f>
        <v>1.689190149307251</v>
      </c>
    </row>
    <row r="171" spans="10:13" ht="13">
      <c r="J171" s="153">
        <v>154</v>
      </c>
      <c r="K171" s="154">
        <f t="shared" si="5"/>
        <v>42.076502732240442</v>
      </c>
      <c r="L171" s="164">
        <f>'Informe nº 6'!L171</f>
        <v>3.921952486038208</v>
      </c>
      <c r="M171" s="160">
        <f>'Informe nº 6a'!L171</f>
        <v>1.6714286804199219</v>
      </c>
    </row>
    <row r="172" spans="10:13" ht="13">
      <c r="J172" s="153">
        <v>155</v>
      </c>
      <c r="K172" s="154">
        <f t="shared" si="5"/>
        <v>42.349726775956285</v>
      </c>
      <c r="L172" s="164">
        <f>'Informe nº 6'!L172</f>
        <v>3.8990950584411621</v>
      </c>
      <c r="M172" s="160">
        <f>'Informe nº 6a'!L172</f>
        <v>1.6567143201828003</v>
      </c>
    </row>
    <row r="173" spans="10:13" ht="13">
      <c r="J173" s="153">
        <v>156</v>
      </c>
      <c r="K173" s="154">
        <f t="shared" si="5"/>
        <v>42.622950819672127</v>
      </c>
      <c r="L173" s="164">
        <f>'Informe nº 6'!L173</f>
        <v>3.8776195049285889</v>
      </c>
      <c r="M173" s="160">
        <f>'Informe nº 6a'!L173</f>
        <v>1.6387144327163696</v>
      </c>
    </row>
    <row r="174" spans="10:13" ht="13">
      <c r="J174" s="153">
        <v>157</v>
      </c>
      <c r="K174" s="154">
        <f t="shared" si="5"/>
        <v>42.896174863387976</v>
      </c>
      <c r="L174" s="164">
        <f>'Informe nº 6'!L174</f>
        <v>3.8619518280029297</v>
      </c>
      <c r="M174" s="160">
        <f>'Informe nº 6a'!L174</f>
        <v>1.6202905178070068</v>
      </c>
    </row>
    <row r="175" spans="10:13" ht="13">
      <c r="J175" s="153">
        <v>158</v>
      </c>
      <c r="K175" s="154">
        <f t="shared" si="5"/>
        <v>43.169398907103826</v>
      </c>
      <c r="L175" s="164">
        <f>'Informe nº 6'!L175</f>
        <v>3.8400948047637939</v>
      </c>
      <c r="M175" s="160">
        <f>'Informe nº 6a'!L175</f>
        <v>1.6036046743392944</v>
      </c>
    </row>
    <row r="176" spans="10:13" ht="13">
      <c r="J176" s="153">
        <v>159</v>
      </c>
      <c r="K176" s="154">
        <f t="shared" si="5"/>
        <v>43.442622950819668</v>
      </c>
      <c r="L176" s="164">
        <f>'Informe nº 6'!L176</f>
        <v>3.8283336162567139</v>
      </c>
      <c r="M176" s="160">
        <f>'Informe nº 6a'!L176</f>
        <v>1.5863714218139648</v>
      </c>
    </row>
    <row r="177" spans="10:13" ht="13">
      <c r="J177" s="153">
        <v>160</v>
      </c>
      <c r="K177" s="154">
        <f t="shared" si="5"/>
        <v>43.715846994535518</v>
      </c>
      <c r="L177" s="164">
        <f>'Informe nº 6'!L177</f>
        <v>3.8108575344085693</v>
      </c>
      <c r="M177" s="160">
        <f>'Informe nº 6a'!L177</f>
        <v>1.5686953067779541</v>
      </c>
    </row>
    <row r="178" spans="10:13" ht="13">
      <c r="J178" s="153">
        <v>161</v>
      </c>
      <c r="K178" s="154">
        <f t="shared" si="5"/>
        <v>43.989071038251367</v>
      </c>
      <c r="L178" s="164">
        <f>'Informe nº 6'!L178</f>
        <v>3.7910480499267578</v>
      </c>
      <c r="M178" s="160">
        <f>'Informe nº 6a'!L178</f>
        <v>1.5497045516967773</v>
      </c>
    </row>
    <row r="179" spans="10:13" ht="13">
      <c r="J179" s="153">
        <v>162</v>
      </c>
      <c r="K179" s="154">
        <f t="shared" si="5"/>
        <v>44.26229508196721</v>
      </c>
      <c r="L179" s="164">
        <f>'Informe nº 6'!L179</f>
        <v>3.7709052562713623</v>
      </c>
      <c r="M179" s="160">
        <f>'Informe nº 6a'!L179</f>
        <v>1.5309046506881714</v>
      </c>
    </row>
    <row r="180" spans="10:13" ht="13">
      <c r="J180" s="153">
        <v>163</v>
      </c>
      <c r="K180" s="154">
        <f t="shared" si="5"/>
        <v>44.535519125683059</v>
      </c>
      <c r="L180" s="164">
        <f>'Informe nº 6'!L180</f>
        <v>3.7529048919677734</v>
      </c>
      <c r="M180" s="160">
        <f>'Informe nº 6a'!L180</f>
        <v>1.5117285251617432</v>
      </c>
    </row>
    <row r="181" spans="10:13" ht="13">
      <c r="J181" s="153">
        <v>164</v>
      </c>
      <c r="K181" s="154">
        <f t="shared" si="5"/>
        <v>44.808743169398909</v>
      </c>
      <c r="L181" s="164">
        <f>'Informe nº 6'!L181</f>
        <v>3.7397143840789795</v>
      </c>
      <c r="M181" s="160">
        <f>'Informe nº 6a'!L181</f>
        <v>1.4961950778961182</v>
      </c>
    </row>
    <row r="182" spans="10:13" ht="13">
      <c r="J182" s="153">
        <v>165</v>
      </c>
      <c r="K182" s="154">
        <f t="shared" si="5"/>
        <v>45.081967213114751</v>
      </c>
      <c r="L182" s="164">
        <f>'Informe nº 6'!L182</f>
        <v>3.7237141132354736</v>
      </c>
      <c r="M182" s="160">
        <f>'Informe nº 6a'!L182</f>
        <v>1.4779049158096313</v>
      </c>
    </row>
    <row r="183" spans="10:13" ht="13">
      <c r="J183" s="153">
        <v>166</v>
      </c>
      <c r="K183" s="154">
        <f t="shared" si="5"/>
        <v>45.355191256830601</v>
      </c>
      <c r="L183" s="164">
        <f>'Informe nº 6'!L183</f>
        <v>3.7022857666015625</v>
      </c>
      <c r="M183" s="160">
        <f>'Informe nº 6a'!L183</f>
        <v>1.4684903621673584</v>
      </c>
    </row>
    <row r="184" spans="10:13" ht="13">
      <c r="J184" s="153">
        <v>167</v>
      </c>
      <c r="K184" s="154">
        <f t="shared" si="5"/>
        <v>45.62841530054645</v>
      </c>
      <c r="L184" s="164">
        <f>'Informe nº 6'!L184</f>
        <v>3.6833336353302002</v>
      </c>
      <c r="M184" s="160">
        <f>'Informe nº 6a'!L184</f>
        <v>1.4557857513427734</v>
      </c>
    </row>
    <row r="185" spans="10:13" ht="13">
      <c r="J185" s="153">
        <v>168</v>
      </c>
      <c r="K185" s="154">
        <f t="shared" si="5"/>
        <v>45.901639344262293</v>
      </c>
      <c r="L185" s="164">
        <f>'Informe nº 6'!L185</f>
        <v>3.6630470752716064</v>
      </c>
      <c r="M185" s="160">
        <f>'Informe nº 6a'!L185</f>
        <v>1.4367810487747192</v>
      </c>
    </row>
    <row r="186" spans="10:13" ht="13">
      <c r="J186" s="153">
        <v>169</v>
      </c>
      <c r="K186" s="154">
        <f t="shared" si="5"/>
        <v>46.174863387978142</v>
      </c>
      <c r="L186" s="164">
        <f>'Informe nº 6'!L186</f>
        <v>3.6466667652130127</v>
      </c>
      <c r="M186" s="160">
        <f>'Informe nº 6a'!L186</f>
        <v>1.4219379425048828</v>
      </c>
    </row>
    <row r="187" spans="10:13" ht="13">
      <c r="J187" s="153">
        <v>170</v>
      </c>
      <c r="K187" s="154">
        <f t="shared" si="5"/>
        <v>46.448087431693992</v>
      </c>
      <c r="L187" s="164">
        <f>'Informe nº 6'!L187</f>
        <v>3.6240947246551514</v>
      </c>
      <c r="M187" s="160">
        <f>'Informe nº 6a'!L187</f>
        <v>1.4091571569442749</v>
      </c>
    </row>
    <row r="188" spans="10:13" ht="13">
      <c r="J188" s="153">
        <v>171</v>
      </c>
      <c r="K188" s="154">
        <f t="shared" si="5"/>
        <v>46.721311475409841</v>
      </c>
      <c r="L188" s="164">
        <f>'Informe nº 6'!L188</f>
        <v>3.6057615280151367</v>
      </c>
      <c r="M188" s="160">
        <f>'Informe nº 6a'!L188</f>
        <v>1.3859713077545166</v>
      </c>
    </row>
    <row r="189" spans="10:13" ht="13">
      <c r="J189" s="153">
        <v>172</v>
      </c>
      <c r="K189" s="154">
        <f t="shared" si="5"/>
        <v>46.994535519125684</v>
      </c>
      <c r="L189" s="164">
        <f>'Informe nº 6'!L189</f>
        <v>3.5850481986999512</v>
      </c>
      <c r="M189" s="160">
        <f>'Informe nº 6a'!L189</f>
        <v>1.3630284070968628</v>
      </c>
    </row>
    <row r="190" spans="10:13" ht="13">
      <c r="J190" s="153">
        <v>173</v>
      </c>
      <c r="K190" s="154">
        <f t="shared" si="5"/>
        <v>47.267759562841533</v>
      </c>
      <c r="L190" s="164">
        <f>'Informe nº 6'!L190</f>
        <v>3.5643811225891113</v>
      </c>
      <c r="M190" s="160">
        <f>'Informe nº 6a'!L190</f>
        <v>1.3375524282455444</v>
      </c>
    </row>
    <row r="191" spans="10:13" ht="13">
      <c r="J191" s="153">
        <v>174</v>
      </c>
      <c r="K191" s="154">
        <f t="shared" si="5"/>
        <v>47.540983606557376</v>
      </c>
      <c r="L191" s="164">
        <f>'Informe nº 6'!L191</f>
        <v>3.5422377586364746</v>
      </c>
      <c r="M191" s="160">
        <f>'Informe nº 6a'!L191</f>
        <v>1.3157714605331421</v>
      </c>
    </row>
    <row r="192" spans="10:13" ht="13">
      <c r="J192" s="153">
        <v>175</v>
      </c>
      <c r="K192" s="154">
        <f t="shared" si="5"/>
        <v>47.814207650273218</v>
      </c>
      <c r="L192" s="164">
        <f>'Informe nº 6'!L192</f>
        <v>3.5193333625793457</v>
      </c>
      <c r="M192" s="160">
        <f>'Informe nº 6a'!L192</f>
        <v>1.3005999326705933</v>
      </c>
    </row>
    <row r="193" spans="10:13" ht="13">
      <c r="J193" s="153">
        <v>176</v>
      </c>
      <c r="K193" s="154">
        <f t="shared" si="5"/>
        <v>48.087431693989068</v>
      </c>
      <c r="L193" s="164">
        <f>'Informe nº 6'!L193</f>
        <v>3.490333080291748</v>
      </c>
      <c r="M193" s="160">
        <f>'Informe nº 6a'!L193</f>
        <v>1.2858619689941406</v>
      </c>
    </row>
    <row r="194" spans="10:13" ht="13">
      <c r="J194" s="153">
        <v>177</v>
      </c>
      <c r="K194" s="154">
        <f t="shared" si="5"/>
        <v>48.360655737704917</v>
      </c>
      <c r="L194" s="164">
        <f>'Informe nº 6'!L194</f>
        <v>3.4699525833129883</v>
      </c>
      <c r="M194" s="160">
        <f>'Informe nº 6a'!L194</f>
        <v>1.2701619863510132</v>
      </c>
    </row>
    <row r="195" spans="10:13" ht="13">
      <c r="J195" s="153">
        <v>178</v>
      </c>
      <c r="K195" s="154">
        <f t="shared" si="5"/>
        <v>48.633879781420767</v>
      </c>
      <c r="L195" s="164">
        <f>'Informe nº 6'!L195</f>
        <v>3.4481902122497559</v>
      </c>
      <c r="M195" s="160">
        <f>'Informe nº 6a'!L195</f>
        <v>1.2573094367980957</v>
      </c>
    </row>
    <row r="196" spans="10:13" ht="13">
      <c r="J196" s="153">
        <v>179</v>
      </c>
      <c r="K196" s="154">
        <f t="shared" si="5"/>
        <v>48.907103825136609</v>
      </c>
      <c r="L196" s="164">
        <f>'Informe nº 6'!L196</f>
        <v>3.4287142753601074</v>
      </c>
      <c r="M196" s="160">
        <f>'Informe nº 6a'!L196</f>
        <v>1.2414522171020508</v>
      </c>
    </row>
    <row r="197" spans="10:13" ht="13">
      <c r="J197" s="153">
        <v>180</v>
      </c>
      <c r="K197" s="154">
        <f t="shared" si="5"/>
        <v>49.180327868852459</v>
      </c>
      <c r="L197" s="164">
        <f>'Informe nº 6'!L197</f>
        <v>3.4038572311401367</v>
      </c>
      <c r="M197" s="160">
        <f>'Informe nº 6a'!L197</f>
        <v>1.2184617519378662</v>
      </c>
    </row>
    <row r="198" spans="10:13" ht="13">
      <c r="J198" s="153">
        <v>181</v>
      </c>
      <c r="K198" s="154">
        <f t="shared" si="5"/>
        <v>49.453551912568308</v>
      </c>
      <c r="L198" s="164">
        <f>'Informe nº 6'!L198</f>
        <v>3.3663814067840576</v>
      </c>
      <c r="M198" s="160">
        <f>'Informe nº 6a'!L198</f>
        <v>1.2046047449111938</v>
      </c>
    </row>
    <row r="199" spans="10:13" ht="13">
      <c r="J199" s="153">
        <v>182</v>
      </c>
      <c r="K199" s="154">
        <f t="shared" si="5"/>
        <v>49.72677595628415</v>
      </c>
      <c r="L199" s="164">
        <f>'Informe nº 6'!L199</f>
        <v>3.3396191596984863</v>
      </c>
      <c r="M199" s="160">
        <f>'Informe nº 6a'!L199</f>
        <v>1.1882714033126831</v>
      </c>
    </row>
    <row r="200" spans="10:13" ht="13">
      <c r="J200" s="153">
        <v>183</v>
      </c>
      <c r="K200" s="154">
        <f t="shared" si="5"/>
        <v>50</v>
      </c>
      <c r="L200" s="164">
        <f>'Informe nº 6'!L200</f>
        <v>3.3207619190216064</v>
      </c>
      <c r="M200" s="160">
        <f>'Informe nº 6a'!L200</f>
        <v>1.165357232093811</v>
      </c>
    </row>
    <row r="201" spans="10:13" ht="13">
      <c r="J201" s="153">
        <v>184</v>
      </c>
      <c r="K201" s="154">
        <f t="shared" si="5"/>
        <v>50.27322404371585</v>
      </c>
      <c r="L201" s="164">
        <f>'Informe nº 6'!L201</f>
        <v>3.2942860126495361</v>
      </c>
      <c r="M201" s="160">
        <f>'Informe nº 6a'!L201</f>
        <v>1.1446477174758911</v>
      </c>
    </row>
    <row r="202" spans="10:13" ht="13">
      <c r="J202" s="153">
        <v>185</v>
      </c>
      <c r="K202" s="154">
        <f t="shared" si="5"/>
        <v>50.546448087431692</v>
      </c>
      <c r="L202" s="164">
        <f>'Informe nº 6'!L202</f>
        <v>3.2679042816162109</v>
      </c>
      <c r="M202" s="160">
        <f>'Informe nº 6a'!L202</f>
        <v>1.1234999895095825</v>
      </c>
    </row>
    <row r="203" spans="10:13" ht="13">
      <c r="J203" s="153">
        <v>186</v>
      </c>
      <c r="K203" s="154">
        <f t="shared" si="5"/>
        <v>50.819672131147541</v>
      </c>
      <c r="L203" s="164">
        <f>'Informe nº 6'!L203</f>
        <v>3.2390475273132324</v>
      </c>
      <c r="M203" s="160">
        <f>'Informe nº 6a'!L203</f>
        <v>1.1071476936340332</v>
      </c>
    </row>
    <row r="204" spans="10:13" ht="13">
      <c r="J204" s="153">
        <v>187</v>
      </c>
      <c r="K204" s="154">
        <f t="shared" si="5"/>
        <v>51.092896174863391</v>
      </c>
      <c r="L204" s="164">
        <f>'Informe nº 6'!L204</f>
        <v>3.2120952606201172</v>
      </c>
      <c r="M204" s="160">
        <f>'Informe nº 6a'!L204</f>
        <v>1.0893000364303589</v>
      </c>
    </row>
    <row r="205" spans="10:13" ht="13">
      <c r="J205" s="153">
        <v>188</v>
      </c>
      <c r="K205" s="154">
        <f t="shared" si="5"/>
        <v>51.366120218579233</v>
      </c>
      <c r="L205" s="164">
        <f>'Informe nº 6'!L205</f>
        <v>3.1891429424285889</v>
      </c>
      <c r="M205" s="160">
        <f>'Informe nº 6a'!L205</f>
        <v>1.0550856590270996</v>
      </c>
    </row>
    <row r="206" spans="10:13" ht="13">
      <c r="J206" s="153">
        <v>189</v>
      </c>
      <c r="K206" s="154">
        <f t="shared" si="5"/>
        <v>51.639344262295083</v>
      </c>
      <c r="L206" s="164">
        <f>'Informe nº 6'!L206</f>
        <v>3.1700952053070068</v>
      </c>
      <c r="M206" s="160">
        <f>'Informe nº 6a'!L206</f>
        <v>1.0356951951980591</v>
      </c>
    </row>
    <row r="207" spans="10:13" ht="13">
      <c r="J207" s="153">
        <v>190</v>
      </c>
      <c r="K207" s="154">
        <f t="shared" si="5"/>
        <v>51.912568306010932</v>
      </c>
      <c r="L207" s="164">
        <f>'Informe nº 6'!L207</f>
        <v>3.1231904029846191</v>
      </c>
      <c r="M207" s="160">
        <f>'Informe nº 6a'!L207</f>
        <v>1.0087189674377441</v>
      </c>
    </row>
    <row r="208" spans="10:13" ht="13">
      <c r="J208" s="153">
        <v>191</v>
      </c>
      <c r="K208" s="154">
        <f t="shared" si="5"/>
        <v>52.185792349726782</v>
      </c>
      <c r="L208" s="164">
        <f>'Informe nº 6'!L208</f>
        <v>3.0910954475402832</v>
      </c>
      <c r="M208" s="160">
        <f>'Informe nº 6a'!L208</f>
        <v>0.98683327436447144</v>
      </c>
    </row>
    <row r="209" spans="10:13" ht="13">
      <c r="J209" s="153">
        <v>192</v>
      </c>
      <c r="K209" s="154">
        <f t="shared" si="5"/>
        <v>52.459016393442624</v>
      </c>
      <c r="L209" s="164">
        <f>'Informe nº 6'!L209</f>
        <v>3.0576663017272949</v>
      </c>
      <c r="M209" s="160">
        <f>'Informe nº 6a'!L209</f>
        <v>0.96423810720443726</v>
      </c>
    </row>
    <row r="210" spans="10:13" ht="13">
      <c r="J210" s="153">
        <v>193</v>
      </c>
      <c r="K210" s="154">
        <f t="shared" si="5"/>
        <v>52.732240437158474</v>
      </c>
      <c r="L210" s="164">
        <f>'Informe nº 6'!L210</f>
        <v>3.0237622261047363</v>
      </c>
      <c r="M210" s="160">
        <f>'Informe nº 6a'!L210</f>
        <v>0.94301432371139526</v>
      </c>
    </row>
    <row r="211" spans="10:13" ht="13">
      <c r="J211" s="153">
        <v>194</v>
      </c>
      <c r="K211" s="154">
        <f t="shared" si="5"/>
        <v>53.005464480874323</v>
      </c>
      <c r="L211" s="164">
        <f>'Informe nº 6'!L211</f>
        <v>2.9873332977294922</v>
      </c>
      <c r="M211" s="160">
        <f>'Informe nº 6a'!L211</f>
        <v>0.92199528217315674</v>
      </c>
    </row>
    <row r="212" spans="10:13" ht="13">
      <c r="J212" s="153">
        <v>195</v>
      </c>
      <c r="K212" s="154">
        <f t="shared" ref="K212:K275" si="6">(J212/366)*100</f>
        <v>53.278688524590166</v>
      </c>
      <c r="L212" s="164">
        <f>'Informe nº 6'!L212</f>
        <v>2.9628095626831055</v>
      </c>
      <c r="M212" s="160">
        <f>'Informe nº 6a'!L212</f>
        <v>0.90238571166992188</v>
      </c>
    </row>
    <row r="213" spans="10:13" ht="13">
      <c r="J213" s="153">
        <v>196</v>
      </c>
      <c r="K213" s="154">
        <f t="shared" si="6"/>
        <v>53.551912568306015</v>
      </c>
      <c r="L213" s="164">
        <f>'Informe nº 6'!L213</f>
        <v>2.9400951862335205</v>
      </c>
      <c r="M213" s="160">
        <f>'Informe nº 6a'!L213</f>
        <v>0.88002866506576538</v>
      </c>
    </row>
    <row r="214" spans="10:13" ht="13">
      <c r="J214" s="153">
        <v>197</v>
      </c>
      <c r="K214" s="154">
        <f t="shared" si="6"/>
        <v>53.825136612021865</v>
      </c>
      <c r="L214" s="164">
        <f>'Informe nº 6'!L214</f>
        <v>2.9092381000518799</v>
      </c>
      <c r="M214" s="160">
        <f>'Informe nº 6a'!L214</f>
        <v>0.86402374505996704</v>
      </c>
    </row>
    <row r="215" spans="10:13" ht="13">
      <c r="J215" s="153">
        <v>198</v>
      </c>
      <c r="K215" s="154">
        <f t="shared" si="6"/>
        <v>54.098360655737707</v>
      </c>
      <c r="L215" s="164">
        <f>'Informe nº 6'!L215</f>
        <v>2.8746190071105957</v>
      </c>
      <c r="M215" s="160">
        <f>'Informe nº 6a'!L215</f>
        <v>0.84434765577316284</v>
      </c>
    </row>
    <row r="216" spans="10:13" ht="13">
      <c r="J216" s="153">
        <v>199</v>
      </c>
      <c r="K216" s="154">
        <f t="shared" si="6"/>
        <v>54.371584699453557</v>
      </c>
      <c r="L216" s="164">
        <f>'Informe nº 6'!L216</f>
        <v>2.8546664714813232</v>
      </c>
      <c r="M216" s="160">
        <f>'Informe nº 6a'!L216</f>
        <v>0.82400476932525635</v>
      </c>
    </row>
    <row r="217" spans="10:13" ht="13">
      <c r="J217" s="153">
        <v>200</v>
      </c>
      <c r="K217" s="154">
        <f t="shared" si="6"/>
        <v>54.644808743169406</v>
      </c>
      <c r="L217" s="164">
        <f>'Informe nº 6'!L217</f>
        <v>2.8318572044372559</v>
      </c>
      <c r="M217" s="160">
        <f>'Informe nº 6a'!L217</f>
        <v>0.8045000433921814</v>
      </c>
    </row>
    <row r="218" spans="10:13" ht="13">
      <c r="J218" s="153">
        <v>201</v>
      </c>
      <c r="K218" s="154">
        <f t="shared" si="6"/>
        <v>54.918032786885249</v>
      </c>
      <c r="L218" s="164">
        <f>'Informe nº 6'!L218</f>
        <v>2.8023808002471924</v>
      </c>
      <c r="M218" s="160">
        <f>'Informe nº 6a'!L218</f>
        <v>0.78788095712661743</v>
      </c>
    </row>
    <row r="219" spans="10:13" ht="13">
      <c r="J219" s="153">
        <v>202</v>
      </c>
      <c r="K219" s="154">
        <f t="shared" si="6"/>
        <v>55.191256830601091</v>
      </c>
      <c r="L219" s="164">
        <f>'Informe nº 6'!L219</f>
        <v>2.7692379951477051</v>
      </c>
      <c r="M219" s="160">
        <f>'Informe nº 6a'!L219</f>
        <v>0.75869995355606079</v>
      </c>
    </row>
    <row r="220" spans="10:13" ht="13">
      <c r="J220" s="153">
        <v>203</v>
      </c>
      <c r="K220" s="154">
        <f t="shared" si="6"/>
        <v>55.464480874316934</v>
      </c>
      <c r="L220" s="164">
        <f>'Informe nº 6'!L220</f>
        <v>2.7417616844177246</v>
      </c>
      <c r="M220" s="160">
        <f>'Informe nº 6a'!L220</f>
        <v>0.74060952663421631</v>
      </c>
    </row>
    <row r="221" spans="10:13" ht="13">
      <c r="J221" s="153">
        <v>204</v>
      </c>
      <c r="K221" s="154">
        <f t="shared" si="6"/>
        <v>55.737704918032783</v>
      </c>
      <c r="L221" s="164">
        <f>'Informe nº 6'!L221</f>
        <v>2.7125236988067627</v>
      </c>
      <c r="M221" s="160">
        <f>'Informe nº 6a'!L221</f>
        <v>0.71940946578979492</v>
      </c>
    </row>
    <row r="222" spans="10:13" ht="13">
      <c r="J222" s="153">
        <v>205</v>
      </c>
      <c r="K222" s="154">
        <f t="shared" si="6"/>
        <v>56.010928961748633</v>
      </c>
      <c r="L222" s="164">
        <f>'Informe nº 6'!L222</f>
        <v>2.677142858505249</v>
      </c>
      <c r="M222" s="160">
        <f>'Informe nº 6a'!L222</f>
        <v>0.69735723733901978</v>
      </c>
    </row>
    <row r="223" spans="10:13" ht="13">
      <c r="J223" s="153">
        <v>206</v>
      </c>
      <c r="K223" s="154">
        <f t="shared" si="6"/>
        <v>56.284153005464475</v>
      </c>
      <c r="L223" s="164">
        <f>'Informe nº 6'!L223</f>
        <v>2.6372857093811035</v>
      </c>
      <c r="M223" s="160">
        <f>'Informe nº 6a'!L223</f>
        <v>0.67128092050552368</v>
      </c>
    </row>
    <row r="224" spans="10:13" ht="13">
      <c r="J224" s="153">
        <v>207</v>
      </c>
      <c r="K224" s="154">
        <f t="shared" si="6"/>
        <v>56.557377049180324</v>
      </c>
      <c r="L224" s="164">
        <f>'Informe nº 6'!L224</f>
        <v>2.6096668243408203</v>
      </c>
      <c r="M224" s="160">
        <f>'Informe nº 6a'!L224</f>
        <v>0.659138023853302</v>
      </c>
    </row>
    <row r="225" spans="10:13" ht="13">
      <c r="J225" s="153">
        <v>208</v>
      </c>
      <c r="K225" s="154">
        <f t="shared" si="6"/>
        <v>56.830601092896174</v>
      </c>
      <c r="L225" s="164">
        <f>'Informe nº 6'!L225</f>
        <v>2.5656189918518066</v>
      </c>
      <c r="M225" s="160">
        <f>'Informe nº 6a'!L225</f>
        <v>0.63705718517303467</v>
      </c>
    </row>
    <row r="226" spans="10:13" ht="13">
      <c r="J226" s="153">
        <v>209</v>
      </c>
      <c r="K226" s="154">
        <f t="shared" si="6"/>
        <v>57.103825136612016</v>
      </c>
      <c r="L226" s="164">
        <f>'Informe nº 6'!L226</f>
        <v>2.5141427516937256</v>
      </c>
      <c r="M226" s="160">
        <f>'Informe nº 6a'!L226</f>
        <v>0.61373329162597656</v>
      </c>
    </row>
    <row r="227" spans="10:13" ht="13">
      <c r="J227" s="153">
        <v>210</v>
      </c>
      <c r="K227" s="154">
        <f t="shared" si="6"/>
        <v>57.377049180327866</v>
      </c>
      <c r="L227" s="164">
        <f>'Informe nº 6'!L227</f>
        <v>2.46923828125</v>
      </c>
      <c r="M227" s="160">
        <f>'Informe nº 6a'!L227</f>
        <v>0.59760951995849609</v>
      </c>
    </row>
    <row r="228" spans="10:13" ht="13">
      <c r="J228" s="153">
        <v>211</v>
      </c>
      <c r="K228" s="154">
        <f t="shared" si="6"/>
        <v>57.650273224043715</v>
      </c>
      <c r="L228" s="164">
        <f>'Informe nº 6'!L228</f>
        <v>2.4238572120666504</v>
      </c>
      <c r="M228" s="160">
        <f>'Informe nº 6a'!L228</f>
        <v>0.58283340930938721</v>
      </c>
    </row>
    <row r="229" spans="10:13" ht="13">
      <c r="J229" s="153">
        <v>212</v>
      </c>
      <c r="K229" s="154">
        <f t="shared" si="6"/>
        <v>57.923497267759558</v>
      </c>
      <c r="L229" s="164">
        <f>'Informe nº 6'!L229</f>
        <v>2.3419523239135742</v>
      </c>
      <c r="M229" s="160">
        <f>'Informe nº 6a'!L229</f>
        <v>0.56537145376205444</v>
      </c>
    </row>
    <row r="230" spans="10:13" ht="13">
      <c r="J230" s="153">
        <v>213</v>
      </c>
      <c r="K230" s="154">
        <f t="shared" si="6"/>
        <v>58.196721311475407</v>
      </c>
      <c r="L230" s="164">
        <f>'Informe nº 6'!L230</f>
        <v>2.2866666316986084</v>
      </c>
      <c r="M230" s="160">
        <f>'Informe nº 6a'!L230</f>
        <v>0.55147618055343628</v>
      </c>
    </row>
    <row r="231" spans="10:13" ht="13">
      <c r="J231" s="153">
        <v>214</v>
      </c>
      <c r="K231" s="154">
        <f t="shared" si="6"/>
        <v>58.469945355191257</v>
      </c>
      <c r="L231" s="164">
        <f>'Informe nº 6'!L231</f>
        <v>2.2451906204223633</v>
      </c>
      <c r="M231" s="160">
        <f>'Informe nº 6a'!L231</f>
        <v>0.53636181354522705</v>
      </c>
    </row>
    <row r="232" spans="10:13" ht="13">
      <c r="J232" s="153">
        <v>215</v>
      </c>
      <c r="K232" s="154">
        <f t="shared" si="6"/>
        <v>58.743169398907099</v>
      </c>
      <c r="L232" s="164">
        <f>'Informe nº 6'!L232</f>
        <v>2.1884288787841797</v>
      </c>
      <c r="M232" s="160">
        <f>'Informe nº 6a'!L232</f>
        <v>0.51914763450622559</v>
      </c>
    </row>
    <row r="233" spans="10:13" ht="13">
      <c r="J233" s="153">
        <v>216</v>
      </c>
      <c r="K233" s="154">
        <f t="shared" si="6"/>
        <v>59.016393442622949</v>
      </c>
      <c r="L233" s="164">
        <f>'Informe nº 6'!L233</f>
        <v>2.1408095359802246</v>
      </c>
      <c r="M233" s="160">
        <f>'Informe nº 6a'!L233</f>
        <v>0.50336188077926636</v>
      </c>
    </row>
    <row r="234" spans="10:13" ht="13">
      <c r="J234" s="153">
        <v>217</v>
      </c>
      <c r="K234" s="154">
        <f t="shared" si="6"/>
        <v>59.289617486338798</v>
      </c>
      <c r="L234" s="164">
        <f>'Informe nº 6'!L234</f>
        <v>2.1036670207977295</v>
      </c>
      <c r="M234" s="160">
        <f>'Informe nº 6a'!L234</f>
        <v>0.48257619142532349</v>
      </c>
    </row>
    <row r="235" spans="10:13" ht="13">
      <c r="J235" s="153">
        <v>218</v>
      </c>
      <c r="K235" s="154">
        <f t="shared" si="6"/>
        <v>59.562841530054641</v>
      </c>
      <c r="L235" s="164">
        <f>'Informe nº 6'!L235</f>
        <v>2.051619291305542</v>
      </c>
      <c r="M235" s="160">
        <f>'Informe nº 6a'!L235</f>
        <v>0.46548572182655334</v>
      </c>
    </row>
    <row r="236" spans="10:13" ht="13">
      <c r="J236" s="153">
        <v>219</v>
      </c>
      <c r="K236" s="154">
        <f t="shared" si="6"/>
        <v>59.83606557377049</v>
      </c>
      <c r="L236" s="164">
        <f>'Informe nº 6'!L236</f>
        <v>2.0012855529785156</v>
      </c>
      <c r="M236" s="160">
        <f>'Informe nº 6a'!L236</f>
        <v>0.45223808288574219</v>
      </c>
    </row>
    <row r="237" spans="10:13" ht="13">
      <c r="J237" s="153">
        <v>220</v>
      </c>
      <c r="K237" s="154">
        <f t="shared" si="6"/>
        <v>60.10928961748634</v>
      </c>
      <c r="L237" s="164">
        <f>'Informe nº 6'!L237</f>
        <v>1.9574762582778931</v>
      </c>
      <c r="M237" s="160">
        <f>'Informe nº 6a'!L237</f>
        <v>0.43957144021987915</v>
      </c>
    </row>
    <row r="238" spans="10:13" ht="13">
      <c r="J238" s="153">
        <v>221</v>
      </c>
      <c r="K238" s="154">
        <f t="shared" si="6"/>
        <v>60.382513661202189</v>
      </c>
      <c r="L238" s="164">
        <f>'Informe nº 6'!L238</f>
        <v>1.929047703742981</v>
      </c>
      <c r="M238" s="160">
        <f>'Informe nº 6a'!L238</f>
        <v>0.42689996957778931</v>
      </c>
    </row>
    <row r="239" spans="10:13" ht="13">
      <c r="J239" s="153">
        <v>222</v>
      </c>
      <c r="K239" s="154">
        <f t="shared" si="6"/>
        <v>60.655737704918032</v>
      </c>
      <c r="L239" s="164">
        <f>'Informe nº 6'!L239</f>
        <v>1.8896192312240601</v>
      </c>
      <c r="M239" s="160">
        <f>'Informe nº 6a'!L239</f>
        <v>0.41313335299491882</v>
      </c>
    </row>
    <row r="240" spans="10:13" ht="13">
      <c r="J240" s="153">
        <v>223</v>
      </c>
      <c r="K240" s="154">
        <f t="shared" si="6"/>
        <v>60.928961748633881</v>
      </c>
      <c r="L240" s="164">
        <f>'Informe nº 6'!L240</f>
        <v>1.8523808717727661</v>
      </c>
      <c r="M240" s="160">
        <f>'Informe nº 6a'!L240</f>
        <v>0.40404760837554932</v>
      </c>
    </row>
    <row r="241" spans="10:13" ht="13">
      <c r="J241" s="153">
        <v>224</v>
      </c>
      <c r="K241" s="154">
        <f t="shared" si="6"/>
        <v>61.202185792349731</v>
      </c>
      <c r="L241" s="164">
        <f>'Informe nº 6'!L241</f>
        <v>1.8167142868041992</v>
      </c>
      <c r="M241" s="160">
        <f>'Informe nº 6a'!L241</f>
        <v>0.39189523458480835</v>
      </c>
    </row>
    <row r="242" spans="10:13" ht="13">
      <c r="J242" s="153">
        <v>225</v>
      </c>
      <c r="K242" s="154">
        <f t="shared" si="6"/>
        <v>61.475409836065573</v>
      </c>
      <c r="L242" s="164">
        <f>'Informe nº 6'!L242</f>
        <v>1.784761905670166</v>
      </c>
      <c r="M242" s="160">
        <f>'Informe nº 6a'!L242</f>
        <v>0.37951427698135376</v>
      </c>
    </row>
    <row r="243" spans="10:13" ht="13">
      <c r="J243" s="153">
        <v>226</v>
      </c>
      <c r="K243" s="154">
        <f t="shared" si="6"/>
        <v>61.748633879781423</v>
      </c>
      <c r="L243" s="164">
        <f>'Informe nº 6'!L243</f>
        <v>1.7604761123657227</v>
      </c>
      <c r="M243" s="160">
        <f>'Informe nº 6a'!L243</f>
        <v>0.36800473928451538</v>
      </c>
    </row>
    <row r="244" spans="10:13" ht="13">
      <c r="J244" s="153">
        <v>227</v>
      </c>
      <c r="K244" s="154">
        <f t="shared" si="6"/>
        <v>62.021857923497272</v>
      </c>
      <c r="L244" s="164">
        <f>'Informe nº 6'!L244</f>
        <v>1.7256666421890259</v>
      </c>
      <c r="M244" s="160">
        <f>'Informe nº 6a'!L244</f>
        <v>0.35802856087684631</v>
      </c>
    </row>
    <row r="245" spans="10:13" ht="13">
      <c r="J245" s="153">
        <v>228</v>
      </c>
      <c r="K245" s="154">
        <f t="shared" si="6"/>
        <v>62.295081967213115</v>
      </c>
      <c r="L245" s="164">
        <f>'Informe nº 6'!L245</f>
        <v>1.6833332777023315</v>
      </c>
      <c r="M245" s="160">
        <f>'Informe nº 6a'!L245</f>
        <v>0.3485381007194519</v>
      </c>
    </row>
    <row r="246" spans="10:13" ht="13">
      <c r="J246" s="153">
        <v>229</v>
      </c>
      <c r="K246" s="154">
        <f t="shared" si="6"/>
        <v>62.568306010928964</v>
      </c>
      <c r="L246" s="164">
        <f>'Informe nº 6'!L246</f>
        <v>1.6539522409439087</v>
      </c>
      <c r="M246" s="160">
        <f>'Informe nº 6a'!L246</f>
        <v>0.33971908688545227</v>
      </c>
    </row>
    <row r="247" spans="10:13" ht="13">
      <c r="J247" s="153">
        <v>230</v>
      </c>
      <c r="K247" s="154">
        <f t="shared" si="6"/>
        <v>62.841530054644814</v>
      </c>
      <c r="L247" s="164">
        <f>'Informe nº 6'!L247</f>
        <v>1.6326190233230591</v>
      </c>
      <c r="M247" s="160">
        <f>'Informe nº 6a'!L247</f>
        <v>0.33224764466285706</v>
      </c>
    </row>
    <row r="248" spans="10:13" ht="13">
      <c r="J248" s="153">
        <v>231</v>
      </c>
      <c r="K248" s="154">
        <f t="shared" si="6"/>
        <v>63.114754098360656</v>
      </c>
      <c r="L248" s="164">
        <f>'Informe nº 6'!L248</f>
        <v>1.6078096628189087</v>
      </c>
      <c r="M248" s="160">
        <f>'Informe nº 6a'!L248</f>
        <v>0.32630476355552673</v>
      </c>
    </row>
    <row r="249" spans="10:13" ht="13">
      <c r="J249" s="153">
        <v>232</v>
      </c>
      <c r="K249" s="154">
        <f t="shared" si="6"/>
        <v>63.387978142076506</v>
      </c>
      <c r="L249" s="164">
        <f>'Informe nº 6'!L249</f>
        <v>1.567190408706665</v>
      </c>
      <c r="M249" s="160">
        <f>'Informe nº 6a'!L249</f>
        <v>0.31650003790855408</v>
      </c>
    </row>
    <row r="250" spans="10:13" ht="13">
      <c r="J250" s="153">
        <v>233</v>
      </c>
      <c r="K250" s="154">
        <f t="shared" si="6"/>
        <v>63.661202185792355</v>
      </c>
      <c r="L250" s="164">
        <f>'Informe nº 6'!L250</f>
        <v>1.5393807888031006</v>
      </c>
      <c r="M250" s="160">
        <f>'Informe nº 6a'!L250</f>
        <v>0.30624285340309143</v>
      </c>
    </row>
    <row r="251" spans="10:13" ht="13">
      <c r="J251" s="153">
        <v>234</v>
      </c>
      <c r="K251" s="154">
        <f t="shared" si="6"/>
        <v>63.934426229508205</v>
      </c>
      <c r="L251" s="164">
        <f>'Informe nº 6'!L251</f>
        <v>1.5152856111526489</v>
      </c>
      <c r="M251" s="160">
        <f>'Informe nº 6a'!L251</f>
        <v>0.29941901564598083</v>
      </c>
    </row>
    <row r="252" spans="10:13" ht="13">
      <c r="J252" s="153">
        <v>235</v>
      </c>
      <c r="K252" s="154">
        <f t="shared" si="6"/>
        <v>64.207650273224047</v>
      </c>
      <c r="L252" s="164">
        <f>'Informe nº 6'!L252</f>
        <v>1.4814093112945557</v>
      </c>
      <c r="M252" s="160">
        <f>'Informe nº 6a'!L252</f>
        <v>0.2929571270942688</v>
      </c>
    </row>
    <row r="253" spans="10:13" ht="13">
      <c r="J253" s="153">
        <v>236</v>
      </c>
      <c r="K253" s="154">
        <f t="shared" si="6"/>
        <v>64.480874316939889</v>
      </c>
      <c r="L253" s="164">
        <f>'Informe nº 6'!L253</f>
        <v>1.4518522024154663</v>
      </c>
      <c r="M253" s="160">
        <f>'Informe nº 6a'!L253</f>
        <v>0.28483337163925171</v>
      </c>
    </row>
    <row r="254" spans="10:13" ht="13">
      <c r="J254" s="153">
        <v>237</v>
      </c>
      <c r="K254" s="154">
        <f t="shared" si="6"/>
        <v>64.754098360655746</v>
      </c>
      <c r="L254" s="164">
        <f>'Informe nº 6'!L254</f>
        <v>1.4206665754318237</v>
      </c>
      <c r="M254" s="160">
        <f>'Informe nº 6a'!L254</f>
        <v>0.27465242147445679</v>
      </c>
    </row>
    <row r="255" spans="10:13" ht="13">
      <c r="J255" s="153">
        <v>238</v>
      </c>
      <c r="K255" s="154">
        <f t="shared" si="6"/>
        <v>65.027322404371574</v>
      </c>
      <c r="L255" s="164">
        <f>'Informe nº 6'!L255</f>
        <v>1.3870095014572144</v>
      </c>
      <c r="M255" s="160">
        <f>'Informe nº 6a'!L255</f>
        <v>0.2686428427696228</v>
      </c>
    </row>
    <row r="256" spans="10:13" ht="13">
      <c r="J256" s="153">
        <v>239</v>
      </c>
      <c r="K256" s="154">
        <f t="shared" si="6"/>
        <v>65.300546448087431</v>
      </c>
      <c r="L256" s="164">
        <f>'Informe nº 6'!L256</f>
        <v>1.3554000854492188</v>
      </c>
      <c r="M256" s="160">
        <f>'Informe nº 6a'!L256</f>
        <v>0.26274284720420837</v>
      </c>
    </row>
    <row r="257" spans="10:13" ht="13">
      <c r="J257" s="153">
        <v>240</v>
      </c>
      <c r="K257" s="154">
        <f t="shared" si="6"/>
        <v>65.573770491803273</v>
      </c>
      <c r="L257" s="164">
        <f>'Informe nº 6'!L257</f>
        <v>1.3350191116333008</v>
      </c>
      <c r="M257" s="160">
        <f>'Informe nº 6a'!L257</f>
        <v>0.25789046287536621</v>
      </c>
    </row>
    <row r="258" spans="10:13" ht="13">
      <c r="J258" s="153">
        <v>241</v>
      </c>
      <c r="K258" s="154">
        <f t="shared" si="6"/>
        <v>65.846994535519116</v>
      </c>
      <c r="L258" s="164">
        <f>'Informe nº 6'!L258</f>
        <v>1.308499813079834</v>
      </c>
      <c r="M258" s="160">
        <f>'Informe nº 6a'!L258</f>
        <v>0.25156664848327637</v>
      </c>
    </row>
    <row r="259" spans="10:13" ht="13">
      <c r="J259" s="153">
        <v>242</v>
      </c>
      <c r="K259" s="154">
        <f t="shared" si="6"/>
        <v>66.120218579234972</v>
      </c>
      <c r="L259" s="164">
        <f>'Informe nº 6'!L259</f>
        <v>1.2760190963745117</v>
      </c>
      <c r="M259" s="160">
        <f>'Informe nº 6a'!L259</f>
        <v>0.24606668949127197</v>
      </c>
    </row>
    <row r="260" spans="10:13" ht="13">
      <c r="J260" s="153">
        <v>243</v>
      </c>
      <c r="K260" s="154">
        <f t="shared" si="6"/>
        <v>66.393442622950815</v>
      </c>
      <c r="L260" s="164">
        <f>'Informe nº 6'!L260</f>
        <v>1.2518526315689087</v>
      </c>
      <c r="M260" s="160">
        <f>'Informe nº 6a'!L260</f>
        <v>0.2399476170539856</v>
      </c>
    </row>
    <row r="261" spans="10:13" ht="13">
      <c r="J261" s="153">
        <v>244</v>
      </c>
      <c r="K261" s="154">
        <f t="shared" si="6"/>
        <v>66.666666666666657</v>
      </c>
      <c r="L261" s="164">
        <f>'Informe nº 6'!L261</f>
        <v>1.2317428588867188</v>
      </c>
      <c r="M261" s="160">
        <f>'Informe nº 6a'!L261</f>
        <v>0.23177143931388855</v>
      </c>
    </row>
    <row r="262" spans="10:13" ht="13">
      <c r="J262" s="153">
        <v>245</v>
      </c>
      <c r="K262" s="154">
        <f t="shared" si="6"/>
        <v>66.939890710382514</v>
      </c>
      <c r="L262" s="164">
        <f>'Informe nº 6'!L262</f>
        <v>1.2081857919692993</v>
      </c>
      <c r="M262" s="160">
        <f>'Informe nº 6a'!L262</f>
        <v>0.22796666622161865</v>
      </c>
    </row>
    <row r="263" spans="10:13" ht="13">
      <c r="J263" s="153">
        <v>246</v>
      </c>
      <c r="K263" s="154">
        <f t="shared" si="6"/>
        <v>67.213114754098356</v>
      </c>
      <c r="L263" s="164">
        <f>'Informe nº 6'!L263</f>
        <v>1.175733208656311</v>
      </c>
      <c r="M263" s="160">
        <f>'Informe nº 6a'!L263</f>
        <v>0.22171904146671295</v>
      </c>
    </row>
    <row r="264" spans="10:13" ht="13">
      <c r="J264" s="153">
        <v>247</v>
      </c>
      <c r="K264" s="154">
        <f t="shared" si="6"/>
        <v>67.486338797814199</v>
      </c>
      <c r="L264" s="164">
        <f>'Informe nº 6'!L264</f>
        <v>1.147557258605957</v>
      </c>
      <c r="M264" s="160">
        <f>'Informe nº 6a'!L264</f>
        <v>0.21719525754451752</v>
      </c>
    </row>
    <row r="265" spans="10:13" ht="13">
      <c r="J265" s="153">
        <v>248</v>
      </c>
      <c r="K265" s="154">
        <f t="shared" si="6"/>
        <v>67.759562841530055</v>
      </c>
      <c r="L265" s="164">
        <f>'Informe nº 6'!L265</f>
        <v>1.1347572803497314</v>
      </c>
      <c r="M265" s="160">
        <f>'Informe nº 6a'!L265</f>
        <v>0.21196191012859344</v>
      </c>
    </row>
    <row r="266" spans="10:13" ht="13">
      <c r="J266" s="153">
        <v>249</v>
      </c>
      <c r="K266" s="154">
        <f t="shared" si="6"/>
        <v>68.032786885245898</v>
      </c>
      <c r="L266" s="164">
        <f>'Informe nº 6'!L266</f>
        <v>1.1059999465942383</v>
      </c>
      <c r="M266" s="160">
        <f>'Informe nº 6a'!L266</f>
        <v>0.20817144215106964</v>
      </c>
    </row>
    <row r="267" spans="10:13" ht="13">
      <c r="J267" s="153">
        <v>250</v>
      </c>
      <c r="K267" s="154">
        <f t="shared" si="6"/>
        <v>68.30601092896174</v>
      </c>
      <c r="L267" s="164">
        <f>'Informe nº 6'!L267</f>
        <v>1.0839285850524902</v>
      </c>
      <c r="M267" s="160">
        <f>'Informe nº 6a'!L267</f>
        <v>0.20500001311302185</v>
      </c>
    </row>
    <row r="268" spans="10:13" ht="13">
      <c r="J268" s="153">
        <v>251</v>
      </c>
      <c r="K268" s="154">
        <f t="shared" si="6"/>
        <v>68.579234972677597</v>
      </c>
      <c r="L268" s="164">
        <f>'Informe nº 6'!L268</f>
        <v>1.0618380308151245</v>
      </c>
      <c r="M268" s="160">
        <f>'Informe nº 6a'!L268</f>
        <v>0.19977621734142303</v>
      </c>
    </row>
    <row r="269" spans="10:13" ht="13">
      <c r="J269" s="153">
        <v>252</v>
      </c>
      <c r="K269" s="154">
        <f t="shared" si="6"/>
        <v>68.852459016393439</v>
      </c>
      <c r="L269" s="164">
        <f>'Informe nº 6'!L269</f>
        <v>1.0374523401260376</v>
      </c>
      <c r="M269" s="160">
        <f>'Informe nº 6a'!L269</f>
        <v>0.19508093595504761</v>
      </c>
    </row>
    <row r="270" spans="10:13" ht="13">
      <c r="J270" s="153">
        <v>253</v>
      </c>
      <c r="K270" s="154">
        <f t="shared" si="6"/>
        <v>69.125683060109282</v>
      </c>
      <c r="L270" s="164">
        <f>'Informe nº 6'!L270</f>
        <v>1.0130429267883301</v>
      </c>
      <c r="M270" s="160">
        <f>'Informe nº 6a'!L270</f>
        <v>0.19061429798603058</v>
      </c>
    </row>
    <row r="271" spans="10:13" ht="13">
      <c r="J271" s="153">
        <v>254</v>
      </c>
      <c r="K271" s="154">
        <f t="shared" si="6"/>
        <v>69.398907103825138</v>
      </c>
      <c r="L271" s="164">
        <f>'Informe nº 6'!L271</f>
        <v>0.98859995603561401</v>
      </c>
      <c r="M271" s="160">
        <f>'Informe nº 6a'!L271</f>
        <v>0.18625238537788391</v>
      </c>
    </row>
    <row r="272" spans="10:13" ht="13">
      <c r="J272" s="153">
        <v>255</v>
      </c>
      <c r="K272" s="154">
        <f t="shared" si="6"/>
        <v>69.672131147540981</v>
      </c>
      <c r="L272" s="164">
        <f>'Informe nº 6'!L272</f>
        <v>0.96800941228866577</v>
      </c>
      <c r="M272" s="160">
        <f>'Informe nº 6a'!L272</f>
        <v>0.18263570964336395</v>
      </c>
    </row>
    <row r="273" spans="10:13" ht="13">
      <c r="J273" s="153">
        <v>256</v>
      </c>
      <c r="K273" s="154">
        <f t="shared" si="6"/>
        <v>69.945355191256837</v>
      </c>
      <c r="L273" s="164">
        <f>'Informe nº 6'!L273</f>
        <v>0.94729995727539063</v>
      </c>
      <c r="M273" s="160">
        <f>'Informe nº 6a'!L273</f>
        <v>0.17863236367702484</v>
      </c>
    </row>
    <row r="274" spans="10:13" ht="13">
      <c r="J274" s="153">
        <v>257</v>
      </c>
      <c r="K274" s="154">
        <f t="shared" si="6"/>
        <v>70.21857923497268</v>
      </c>
      <c r="L274" s="164">
        <f>'Informe nº 6'!L274</f>
        <v>0.9188428521156311</v>
      </c>
      <c r="M274" s="160">
        <f>'Informe nº 6a'!L274</f>
        <v>0.17516237497329712</v>
      </c>
    </row>
    <row r="275" spans="10:13" ht="13">
      <c r="J275" s="153">
        <v>258</v>
      </c>
      <c r="K275" s="154">
        <f t="shared" si="6"/>
        <v>70.491803278688522</v>
      </c>
      <c r="L275" s="164">
        <f>'Informe nº 6'!L275</f>
        <v>0.90242385864257813</v>
      </c>
      <c r="M275" s="160">
        <f>'Informe nº 6a'!L275</f>
        <v>0.17208667099475861</v>
      </c>
    </row>
    <row r="276" spans="10:13" ht="13">
      <c r="J276" s="153">
        <v>259</v>
      </c>
      <c r="K276" s="154">
        <f t="shared" ref="K276:K339" si="7">(J276/366)*100</f>
        <v>70.765027322404379</v>
      </c>
      <c r="L276" s="164">
        <f>'Informe nº 6'!L276</f>
        <v>0.87727630138397217</v>
      </c>
      <c r="M276" s="160">
        <f>'Informe nº 6a'!L276</f>
        <v>0.16873380541801453</v>
      </c>
    </row>
    <row r="277" spans="10:13" ht="13">
      <c r="J277" s="153">
        <v>260</v>
      </c>
      <c r="K277" s="154">
        <f t="shared" si="7"/>
        <v>71.038251366120221</v>
      </c>
      <c r="L277" s="164">
        <f>'Informe nº 6'!L277</f>
        <v>0.86186200380325317</v>
      </c>
      <c r="M277" s="160">
        <f>'Informe nº 6a'!L277</f>
        <v>0.16596570611000061</v>
      </c>
    </row>
    <row r="278" spans="10:13" ht="13">
      <c r="J278" s="153">
        <v>261</v>
      </c>
      <c r="K278" s="154">
        <f t="shared" si="7"/>
        <v>71.311475409836063</v>
      </c>
      <c r="L278" s="164">
        <f>'Informe nº 6'!L278</f>
        <v>0.84155237674713135</v>
      </c>
      <c r="M278" s="160">
        <f>'Informe nº 6a'!L278</f>
        <v>0.16299951076507568</v>
      </c>
    </row>
    <row r="279" spans="10:13" ht="13">
      <c r="J279" s="153">
        <v>262</v>
      </c>
      <c r="K279" s="154">
        <f t="shared" si="7"/>
        <v>71.58469945355192</v>
      </c>
      <c r="L279" s="164">
        <f>'Informe nº 6'!L279</f>
        <v>0.817219078540802</v>
      </c>
      <c r="M279" s="160">
        <f>'Informe nº 6a'!L279</f>
        <v>0.16006426513195038</v>
      </c>
    </row>
    <row r="280" spans="10:13" ht="13">
      <c r="J280" s="153">
        <v>263</v>
      </c>
      <c r="K280" s="154">
        <f t="shared" si="7"/>
        <v>71.857923497267763</v>
      </c>
      <c r="L280" s="164">
        <f>'Informe nº 6'!L280</f>
        <v>0.80449038743972778</v>
      </c>
      <c r="M280" s="160">
        <f>'Informe nº 6a'!L280</f>
        <v>0.1575266569852829</v>
      </c>
    </row>
    <row r="281" spans="10:13" ht="13">
      <c r="J281" s="153">
        <v>264</v>
      </c>
      <c r="K281" s="154">
        <f t="shared" si="7"/>
        <v>72.131147540983605</v>
      </c>
      <c r="L281" s="164">
        <f>'Informe nº 6'!L281</f>
        <v>0.78977149724960327</v>
      </c>
      <c r="M281" s="160">
        <f>'Informe nº 6a'!L281</f>
        <v>0.15258191525936127</v>
      </c>
    </row>
    <row r="282" spans="10:13" ht="13">
      <c r="J282" s="153">
        <v>265</v>
      </c>
      <c r="K282" s="154">
        <f t="shared" si="7"/>
        <v>72.404371584699462</v>
      </c>
      <c r="L282" s="164">
        <f>'Informe nº 6'!L282</f>
        <v>0.77573341131210327</v>
      </c>
      <c r="M282" s="160">
        <f>'Informe nº 6a'!L282</f>
        <v>0.14899285137653351</v>
      </c>
    </row>
    <row r="283" spans="10:13" ht="13">
      <c r="J283" s="153">
        <v>266</v>
      </c>
      <c r="K283" s="154">
        <f t="shared" si="7"/>
        <v>72.677595628415304</v>
      </c>
      <c r="L283" s="164">
        <f>'Informe nº 6'!L283</f>
        <v>0.75564283132553101</v>
      </c>
      <c r="M283" s="160">
        <f>'Informe nº 6a'!L283</f>
        <v>0.1460857093334198</v>
      </c>
    </row>
    <row r="284" spans="10:13" ht="13">
      <c r="J284" s="153">
        <v>267</v>
      </c>
      <c r="K284" s="154">
        <f t="shared" si="7"/>
        <v>72.950819672131146</v>
      </c>
      <c r="L284" s="164">
        <f>'Informe nº 6'!L284</f>
        <v>0.73923331499099731</v>
      </c>
      <c r="M284" s="160">
        <f>'Informe nº 6a'!L284</f>
        <v>0.14325523376464844</v>
      </c>
    </row>
    <row r="285" spans="10:13" ht="13">
      <c r="J285" s="153">
        <v>268</v>
      </c>
      <c r="K285" s="154">
        <f t="shared" si="7"/>
        <v>73.224043715847003</v>
      </c>
      <c r="L285" s="164">
        <f>'Informe nº 6'!L285</f>
        <v>0.72100955247879028</v>
      </c>
      <c r="M285" s="160">
        <f>'Informe nº 6a'!L285</f>
        <v>0.14138570427894592</v>
      </c>
    </row>
    <row r="286" spans="10:13" ht="13">
      <c r="J286" s="153">
        <v>269</v>
      </c>
      <c r="K286" s="154">
        <f t="shared" si="7"/>
        <v>73.497267759562845</v>
      </c>
      <c r="L286" s="164">
        <f>'Informe nº 6'!L286</f>
        <v>0.70393818616867065</v>
      </c>
      <c r="M286" s="160">
        <f>'Informe nº 6a'!L286</f>
        <v>0.13895523548126221</v>
      </c>
    </row>
    <row r="287" spans="10:13" ht="13">
      <c r="J287" s="153">
        <v>270</v>
      </c>
      <c r="K287" s="154">
        <f t="shared" si="7"/>
        <v>73.770491803278688</v>
      </c>
      <c r="L287" s="164">
        <f>'Informe nº 6'!L287</f>
        <v>0.68748563528060913</v>
      </c>
      <c r="M287" s="160">
        <f>'Informe nº 6a'!L287</f>
        <v>0.13568761944770813</v>
      </c>
    </row>
    <row r="288" spans="10:13" ht="13">
      <c r="J288" s="153">
        <v>271</v>
      </c>
      <c r="K288" s="154">
        <f t="shared" si="7"/>
        <v>74.043715846994544</v>
      </c>
      <c r="L288" s="164">
        <f>'Informe nº 6'!L288</f>
        <v>0.66540944576263428</v>
      </c>
      <c r="M288" s="160">
        <f>'Informe nº 6a'!L288</f>
        <v>0.13434191048145294</v>
      </c>
    </row>
    <row r="289" spans="10:13" ht="13">
      <c r="J289" s="153">
        <v>272</v>
      </c>
      <c r="K289" s="154">
        <f t="shared" si="7"/>
        <v>74.316939890710387</v>
      </c>
      <c r="L289" s="164">
        <f>'Informe nº 6'!L289</f>
        <v>0.64811909198760986</v>
      </c>
      <c r="M289" s="160">
        <f>'Informe nº 6a'!L289</f>
        <v>0.13189142942428589</v>
      </c>
    </row>
    <row r="290" spans="10:13" ht="13">
      <c r="J290" s="153">
        <v>273</v>
      </c>
      <c r="K290" s="154">
        <f t="shared" si="7"/>
        <v>74.590163934426229</v>
      </c>
      <c r="L290" s="164">
        <f>'Informe nº 6'!L290</f>
        <v>0.6382523775100708</v>
      </c>
      <c r="M290" s="160">
        <f>'Informe nº 6a'!L290</f>
        <v>0.13020619750022888</v>
      </c>
    </row>
    <row r="291" spans="10:13" ht="13">
      <c r="J291" s="153">
        <v>274</v>
      </c>
      <c r="K291" s="154">
        <f t="shared" si="7"/>
        <v>74.863387978142086</v>
      </c>
      <c r="L291" s="164">
        <f>'Informe nº 6'!L291</f>
        <v>0.62361907958984375</v>
      </c>
      <c r="M291" s="160">
        <f>'Informe nº 6a'!L291</f>
        <v>0.12816478312015533</v>
      </c>
    </row>
    <row r="292" spans="10:13" ht="13">
      <c r="J292" s="153">
        <v>275</v>
      </c>
      <c r="K292" s="154">
        <f t="shared" si="7"/>
        <v>75.136612021857914</v>
      </c>
      <c r="L292" s="164">
        <f>'Informe nº 6'!L292</f>
        <v>0.60653334856033325</v>
      </c>
      <c r="M292" s="160">
        <f>'Informe nº 6a'!L292</f>
        <v>0.12617571651935577</v>
      </c>
    </row>
    <row r="293" spans="10:13" ht="13">
      <c r="J293" s="153">
        <v>276</v>
      </c>
      <c r="K293" s="154">
        <f t="shared" si="7"/>
        <v>75.409836065573771</v>
      </c>
      <c r="L293" s="164">
        <f>'Informe nº 6'!L293</f>
        <v>0.59242379665374756</v>
      </c>
      <c r="M293" s="160">
        <f>'Informe nº 6a'!L293</f>
        <v>0.12461332231760025</v>
      </c>
    </row>
    <row r="294" spans="10:13" ht="13">
      <c r="J294" s="153">
        <v>277</v>
      </c>
      <c r="K294" s="154">
        <f t="shared" si="7"/>
        <v>75.683060109289613</v>
      </c>
      <c r="L294" s="164">
        <f>'Informe nº 6'!L294</f>
        <v>0.57643806934356689</v>
      </c>
      <c r="M294" s="160">
        <f>'Informe nº 6a'!L294</f>
        <v>0.12276621162891388</v>
      </c>
    </row>
    <row r="295" spans="10:13" ht="13">
      <c r="J295" s="153">
        <v>278</v>
      </c>
      <c r="K295" s="154">
        <f t="shared" si="7"/>
        <v>75.956284153005456</v>
      </c>
      <c r="L295" s="164">
        <f>'Informe nº 6'!L295</f>
        <v>0.56599998474121094</v>
      </c>
      <c r="M295" s="160">
        <f>'Informe nº 6a'!L295</f>
        <v>0.12134762853384018</v>
      </c>
    </row>
    <row r="296" spans="10:13" ht="13">
      <c r="J296" s="153">
        <v>279</v>
      </c>
      <c r="K296" s="154">
        <f t="shared" si="7"/>
        <v>76.229508196721312</v>
      </c>
      <c r="L296" s="164">
        <f>'Informe nº 6'!L296</f>
        <v>0.55041909217834473</v>
      </c>
      <c r="M296" s="160">
        <f>'Informe nº 6a'!L296</f>
        <v>0.11927475035190582</v>
      </c>
    </row>
    <row r="297" spans="10:13" ht="13">
      <c r="J297" s="153">
        <v>280</v>
      </c>
      <c r="K297" s="154">
        <f t="shared" si="7"/>
        <v>76.502732240437155</v>
      </c>
      <c r="L297" s="164">
        <f>'Informe nº 6'!L297</f>
        <v>0.53521430492401123</v>
      </c>
      <c r="M297" s="160">
        <f>'Informe nº 6a'!L297</f>
        <v>0.11745189130306244</v>
      </c>
    </row>
    <row r="298" spans="10:13" ht="13">
      <c r="J298" s="153">
        <v>281</v>
      </c>
      <c r="K298" s="154">
        <f t="shared" si="7"/>
        <v>76.775956284152997</v>
      </c>
      <c r="L298" s="164">
        <f>'Informe nº 6'!L298</f>
        <v>0.52331912517547607</v>
      </c>
      <c r="M298" s="160">
        <f>'Informe nº 6a'!L298</f>
        <v>0.1153833270072937</v>
      </c>
    </row>
    <row r="299" spans="10:13" ht="13">
      <c r="J299" s="153">
        <v>282</v>
      </c>
      <c r="K299" s="154">
        <f t="shared" si="7"/>
        <v>77.049180327868854</v>
      </c>
      <c r="L299" s="164">
        <f>'Informe nº 6'!L299</f>
        <v>0.50929528474807739</v>
      </c>
      <c r="M299" s="160">
        <f>'Informe nº 6a'!L299</f>
        <v>0.11364904791116714</v>
      </c>
    </row>
    <row r="300" spans="10:13" ht="13">
      <c r="J300" s="153">
        <v>283</v>
      </c>
      <c r="K300" s="154">
        <f t="shared" si="7"/>
        <v>77.322404371584696</v>
      </c>
      <c r="L300" s="164">
        <f>'Informe nº 6'!L300</f>
        <v>0.49529048800468445</v>
      </c>
      <c r="M300" s="160">
        <f>'Informe nº 6a'!L300</f>
        <v>0.11230475455522537</v>
      </c>
    </row>
    <row r="301" spans="10:13" ht="13">
      <c r="J301" s="153">
        <v>284</v>
      </c>
      <c r="K301" s="154">
        <f t="shared" si="7"/>
        <v>77.595628415300538</v>
      </c>
      <c r="L301" s="164">
        <f>'Informe nº 6'!L301</f>
        <v>0.48618575930595398</v>
      </c>
      <c r="M301" s="160">
        <f>'Informe nº 6a'!L301</f>
        <v>0.11076667159795761</v>
      </c>
    </row>
    <row r="302" spans="10:13" ht="13">
      <c r="J302" s="153">
        <v>285</v>
      </c>
      <c r="K302" s="154">
        <f t="shared" si="7"/>
        <v>77.868852459016395</v>
      </c>
      <c r="L302" s="164">
        <f>'Informe nº 6'!L302</f>
        <v>0.47358572483062744</v>
      </c>
      <c r="M302" s="160">
        <f>'Informe nº 6a'!L302</f>
        <v>0.1094028502702713</v>
      </c>
    </row>
    <row r="303" spans="10:13" ht="13">
      <c r="J303" s="153">
        <v>286</v>
      </c>
      <c r="K303" s="154">
        <f t="shared" si="7"/>
        <v>78.142076502732237</v>
      </c>
      <c r="L303" s="164">
        <f>'Informe nº 6'!L303</f>
        <v>0.46274757385253906</v>
      </c>
      <c r="M303" s="160">
        <f>'Informe nº 6a'!L303</f>
        <v>0.10817284882068634</v>
      </c>
    </row>
    <row r="304" spans="10:13" ht="13">
      <c r="J304" s="153">
        <v>287</v>
      </c>
      <c r="K304" s="154">
        <f t="shared" si="7"/>
        <v>78.41530054644808</v>
      </c>
      <c r="L304" s="164">
        <f>'Informe nº 6'!L304</f>
        <v>0.45200946927070618</v>
      </c>
      <c r="M304" s="160">
        <f>'Informe nº 6a'!L304</f>
        <v>0.10689761489629745</v>
      </c>
    </row>
    <row r="305" spans="10:13" ht="13">
      <c r="J305" s="153">
        <v>288</v>
      </c>
      <c r="K305" s="154">
        <f t="shared" si="7"/>
        <v>78.688524590163937</v>
      </c>
      <c r="L305" s="164">
        <f>'Informe nº 6'!L305</f>
        <v>0.44367614388465881</v>
      </c>
      <c r="M305" s="160">
        <f>'Informe nº 6a'!L305</f>
        <v>0.10586903989315033</v>
      </c>
    </row>
    <row r="306" spans="10:13" ht="13">
      <c r="J306" s="153">
        <v>289</v>
      </c>
      <c r="K306" s="154">
        <f t="shared" si="7"/>
        <v>78.961748633879779</v>
      </c>
      <c r="L306" s="164">
        <f>'Informe nº 6'!L306</f>
        <v>0.43317613005638123</v>
      </c>
      <c r="M306" s="160">
        <f>'Informe nº 6a'!L306</f>
        <v>0.10397999733686447</v>
      </c>
    </row>
    <row r="307" spans="10:13" ht="13">
      <c r="J307" s="153">
        <v>290</v>
      </c>
      <c r="K307" s="154">
        <f t="shared" si="7"/>
        <v>79.234972677595621</v>
      </c>
      <c r="L307" s="164">
        <f>'Informe nº 6'!L307</f>
        <v>0.42155709862709045</v>
      </c>
      <c r="M307" s="160">
        <f>'Informe nº 6a'!L307</f>
        <v>0.10281809419393539</v>
      </c>
    </row>
    <row r="308" spans="10:13" ht="13">
      <c r="J308" s="153">
        <v>291</v>
      </c>
      <c r="K308" s="154">
        <f t="shared" si="7"/>
        <v>79.508196721311478</v>
      </c>
      <c r="L308" s="164">
        <f>'Informe nº 6'!L308</f>
        <v>0.41242384910583496</v>
      </c>
      <c r="M308" s="160">
        <f>'Informe nº 6a'!L308</f>
        <v>0.10136809945106506</v>
      </c>
    </row>
    <row r="309" spans="10:13" ht="13">
      <c r="J309" s="153">
        <v>292</v>
      </c>
      <c r="K309" s="154">
        <f t="shared" si="7"/>
        <v>79.78142076502732</v>
      </c>
      <c r="L309" s="164">
        <f>'Informe nº 6'!L309</f>
        <v>0.40030002593994141</v>
      </c>
      <c r="M309" s="160">
        <f>'Informe nº 6a'!L309</f>
        <v>0.10020190477371216</v>
      </c>
    </row>
    <row r="310" spans="10:13" ht="13">
      <c r="J310" s="153">
        <v>293</v>
      </c>
      <c r="K310" s="154">
        <f t="shared" si="7"/>
        <v>80.054644808743163</v>
      </c>
      <c r="L310" s="164">
        <f>'Informe nº 6'!L310</f>
        <v>0.39055237174034119</v>
      </c>
      <c r="M310" s="160">
        <f>'Informe nº 6a'!L310</f>
        <v>9.8797619342803955E-2</v>
      </c>
    </row>
    <row r="311" spans="10:13" ht="13">
      <c r="J311" s="153">
        <v>294</v>
      </c>
      <c r="K311" s="154">
        <f t="shared" si="7"/>
        <v>80.327868852459019</v>
      </c>
      <c r="L311" s="164">
        <f>'Informe nº 6'!L311</f>
        <v>0.38174283504486084</v>
      </c>
      <c r="M311" s="160">
        <f>'Informe nº 6a'!L311</f>
        <v>9.7572393715381622E-2</v>
      </c>
    </row>
    <row r="312" spans="10:13" ht="13">
      <c r="J312" s="153">
        <v>295</v>
      </c>
      <c r="K312" s="154">
        <f t="shared" si="7"/>
        <v>80.601092896174862</v>
      </c>
      <c r="L312" s="164">
        <f>'Informe nº 6'!L312</f>
        <v>0.37353810667991638</v>
      </c>
      <c r="M312" s="160">
        <f>'Informe nº 6a'!L312</f>
        <v>9.6440471708774567E-2</v>
      </c>
    </row>
    <row r="313" spans="10:13" ht="13">
      <c r="J313" s="153">
        <v>296</v>
      </c>
      <c r="K313" s="154">
        <f t="shared" si="7"/>
        <v>80.874316939890718</v>
      </c>
      <c r="L313" s="164">
        <f>'Informe nº 6'!L313</f>
        <v>0.36651903390884399</v>
      </c>
      <c r="M313" s="160">
        <f>'Informe nº 6a'!L313</f>
        <v>9.5399513840675354E-2</v>
      </c>
    </row>
    <row r="314" spans="10:13" ht="13">
      <c r="J314" s="153">
        <v>297</v>
      </c>
      <c r="K314" s="154">
        <f t="shared" si="7"/>
        <v>81.147540983606561</v>
      </c>
      <c r="L314" s="164">
        <f>'Informe nº 6'!L314</f>
        <v>0.35505712032318115</v>
      </c>
      <c r="M314" s="160">
        <f>'Informe nº 6a'!L314</f>
        <v>9.4057142734527588E-2</v>
      </c>
    </row>
    <row r="315" spans="10:13" ht="13">
      <c r="J315" s="153">
        <v>298</v>
      </c>
      <c r="K315" s="154">
        <f t="shared" si="7"/>
        <v>81.420765027322403</v>
      </c>
      <c r="L315" s="164">
        <f>'Informe nº 6'!L315</f>
        <v>0.3457428514957428</v>
      </c>
      <c r="M315" s="160">
        <f>'Informe nº 6a'!L315</f>
        <v>9.3217149376869202E-2</v>
      </c>
    </row>
    <row r="316" spans="10:13" ht="13">
      <c r="J316" s="153">
        <v>299</v>
      </c>
      <c r="K316" s="154">
        <f t="shared" si="7"/>
        <v>81.69398907103826</v>
      </c>
      <c r="L316" s="164">
        <f>'Informe nº 6'!L316</f>
        <v>0.33708092570304871</v>
      </c>
      <c r="M316" s="160">
        <f>'Informe nº 6a'!L316</f>
        <v>9.2504285275936127E-2</v>
      </c>
    </row>
    <row r="317" spans="10:13" ht="13">
      <c r="J317" s="153">
        <v>300</v>
      </c>
      <c r="K317" s="154">
        <f t="shared" si="7"/>
        <v>81.967213114754102</v>
      </c>
      <c r="L317" s="164">
        <f>'Informe nº 6'!L317</f>
        <v>0.32965236902236938</v>
      </c>
      <c r="M317" s="160">
        <f>'Informe nº 6a'!L317</f>
        <v>9.0974755585193634E-2</v>
      </c>
    </row>
    <row r="318" spans="10:13" ht="13">
      <c r="J318" s="153">
        <v>301</v>
      </c>
      <c r="K318" s="154">
        <f t="shared" si="7"/>
        <v>82.240437158469945</v>
      </c>
      <c r="L318" s="164">
        <f>'Informe nº 6'!L318</f>
        <v>0.32136189937591553</v>
      </c>
      <c r="M318" s="160">
        <f>'Informe nº 6a'!L318</f>
        <v>9.0247631072998047E-2</v>
      </c>
    </row>
    <row r="319" spans="10:13" ht="13">
      <c r="J319" s="153">
        <v>302</v>
      </c>
      <c r="K319" s="154">
        <f t="shared" si="7"/>
        <v>82.513661202185801</v>
      </c>
      <c r="L319" s="164">
        <f>'Informe nº 6'!L319</f>
        <v>0.3144666850566864</v>
      </c>
      <c r="M319" s="160">
        <f>'Informe nº 6a'!L319</f>
        <v>8.9180469512939453E-2</v>
      </c>
    </row>
    <row r="320" spans="10:13" ht="13">
      <c r="J320" s="153">
        <v>303</v>
      </c>
      <c r="K320" s="154">
        <f t="shared" si="7"/>
        <v>82.786885245901644</v>
      </c>
      <c r="L320" s="164">
        <f>'Informe nº 6'!L320</f>
        <v>0.30819046497344971</v>
      </c>
      <c r="M320" s="160">
        <f>'Informe nº 6a'!L320</f>
        <v>8.8548094034194946E-2</v>
      </c>
    </row>
    <row r="321" spans="10:13" ht="13">
      <c r="J321" s="153">
        <v>304</v>
      </c>
      <c r="K321" s="154">
        <f t="shared" si="7"/>
        <v>83.060109289617486</v>
      </c>
      <c r="L321" s="164">
        <f>'Informe nº 6'!L321</f>
        <v>0.30262857675552368</v>
      </c>
      <c r="M321" s="160">
        <f>'Informe nº 6a'!L321</f>
        <v>8.7719529867172241E-2</v>
      </c>
    </row>
    <row r="322" spans="10:13" ht="13">
      <c r="J322" s="153">
        <v>305</v>
      </c>
      <c r="K322" s="154">
        <f t="shared" si="7"/>
        <v>83.333333333333343</v>
      </c>
      <c r="L322" s="164">
        <f>'Informe nº 6'!L322</f>
        <v>0.29454284906387329</v>
      </c>
      <c r="M322" s="160">
        <f>'Informe nº 6a'!L322</f>
        <v>8.681333065032959E-2</v>
      </c>
    </row>
    <row r="323" spans="10:13" ht="13">
      <c r="J323" s="153">
        <v>306</v>
      </c>
      <c r="K323" s="154">
        <f t="shared" si="7"/>
        <v>83.606557377049185</v>
      </c>
      <c r="L323" s="164">
        <f>'Informe nº 6'!L323</f>
        <v>0.28724762797355652</v>
      </c>
      <c r="M323" s="160">
        <f>'Informe nº 6a'!L323</f>
        <v>8.6047150194644928E-2</v>
      </c>
    </row>
    <row r="324" spans="10:13" ht="13">
      <c r="J324" s="153">
        <v>307</v>
      </c>
      <c r="K324" s="154">
        <f t="shared" si="7"/>
        <v>83.879781420765028</v>
      </c>
      <c r="L324" s="164">
        <f>'Informe nº 6'!L324</f>
        <v>0.28182858228683472</v>
      </c>
      <c r="M324" s="160">
        <f>'Informe nº 6a'!L324</f>
        <v>8.5043802857398987E-2</v>
      </c>
    </row>
    <row r="325" spans="10:13" ht="13">
      <c r="J325" s="153">
        <v>308</v>
      </c>
      <c r="K325" s="154">
        <f t="shared" si="7"/>
        <v>84.153005464480884</v>
      </c>
      <c r="L325" s="164">
        <f>'Informe nº 6'!L325</f>
        <v>0.27449527382850647</v>
      </c>
      <c r="M325" s="160">
        <f>'Informe nº 6a'!L325</f>
        <v>8.4210462868213654E-2</v>
      </c>
    </row>
    <row r="326" spans="10:13" ht="13">
      <c r="J326" s="153">
        <v>309</v>
      </c>
      <c r="K326" s="154">
        <f t="shared" si="7"/>
        <v>84.426229508196727</v>
      </c>
      <c r="L326" s="164">
        <f>'Informe nº 6'!L326</f>
        <v>0.26942858099937439</v>
      </c>
      <c r="M326" s="160">
        <f>'Informe nº 6a'!L326</f>
        <v>8.3355233073234558E-2</v>
      </c>
    </row>
    <row r="327" spans="10:13" ht="13">
      <c r="J327" s="153">
        <v>310</v>
      </c>
      <c r="K327" s="154">
        <f t="shared" si="7"/>
        <v>84.699453551912569</v>
      </c>
      <c r="L327" s="164">
        <f>'Informe nº 6'!L327</f>
        <v>0.2647286057472229</v>
      </c>
      <c r="M327" s="160">
        <f>'Informe nº 6a'!L327</f>
        <v>8.2903802394866943E-2</v>
      </c>
    </row>
    <row r="328" spans="10:13" ht="13">
      <c r="J328" s="153">
        <v>311</v>
      </c>
      <c r="K328" s="154">
        <f t="shared" si="7"/>
        <v>84.972677595628426</v>
      </c>
      <c r="L328" s="164">
        <f>'Informe nº 6'!L328</f>
        <v>0.25909522175788879</v>
      </c>
      <c r="M328" s="160">
        <f>'Informe nº 6a'!L328</f>
        <v>8.1827610731124878E-2</v>
      </c>
    </row>
    <row r="329" spans="10:13" ht="13">
      <c r="J329" s="153">
        <v>312</v>
      </c>
      <c r="K329" s="154">
        <f t="shared" si="7"/>
        <v>85.245901639344254</v>
      </c>
      <c r="L329" s="164">
        <f>'Informe nº 6'!L329</f>
        <v>0.25347620248794556</v>
      </c>
      <c r="M329" s="160">
        <f>'Informe nº 6a'!L329</f>
        <v>8.1042848527431488E-2</v>
      </c>
    </row>
    <row r="330" spans="10:13" ht="13">
      <c r="J330" s="153">
        <v>313</v>
      </c>
      <c r="K330" s="154">
        <f t="shared" si="7"/>
        <v>85.519125683060111</v>
      </c>
      <c r="L330" s="164">
        <f>'Informe nº 6'!L330</f>
        <v>0.24730001389980316</v>
      </c>
      <c r="M330" s="160">
        <f>'Informe nº 6a'!L330</f>
        <v>8.0211430788040161E-2</v>
      </c>
    </row>
    <row r="331" spans="10:13" ht="13">
      <c r="J331" s="153">
        <v>314</v>
      </c>
      <c r="K331" s="154">
        <f t="shared" si="7"/>
        <v>85.792349726775953</v>
      </c>
      <c r="L331" s="164">
        <f>'Informe nº 6'!L331</f>
        <v>0.24259524047374725</v>
      </c>
      <c r="M331" s="160">
        <f>'Informe nº 6a'!L331</f>
        <v>7.9377144575119019E-2</v>
      </c>
    </row>
    <row r="332" spans="10:13" ht="13">
      <c r="J332" s="153">
        <v>315</v>
      </c>
      <c r="K332" s="154">
        <f t="shared" si="7"/>
        <v>86.065573770491795</v>
      </c>
      <c r="L332" s="164">
        <f>'Informe nº 6'!L332</f>
        <v>0.23896190524101257</v>
      </c>
      <c r="M332" s="160">
        <f>'Informe nº 6a'!L332</f>
        <v>7.8831426799297333E-2</v>
      </c>
    </row>
    <row r="333" spans="10:13" ht="13">
      <c r="J333" s="153">
        <v>316</v>
      </c>
      <c r="K333" s="154">
        <f t="shared" si="7"/>
        <v>86.338797814207652</v>
      </c>
      <c r="L333" s="164">
        <f>'Informe nº 6'!L333</f>
        <v>0.23400475084781647</v>
      </c>
      <c r="M333" s="160">
        <f>'Informe nº 6a'!L333</f>
        <v>7.8092858195304871E-2</v>
      </c>
    </row>
    <row r="334" spans="10:13" ht="13">
      <c r="J334" s="153">
        <v>317</v>
      </c>
      <c r="K334" s="154">
        <f t="shared" si="7"/>
        <v>86.612021857923494</v>
      </c>
      <c r="L334" s="164">
        <f>'Informe nº 6'!L334</f>
        <v>0.23060953617095947</v>
      </c>
      <c r="M334" s="160">
        <f>'Informe nº 6a'!L334</f>
        <v>7.7668569982051849E-2</v>
      </c>
    </row>
    <row r="335" spans="10:13" ht="13">
      <c r="J335" s="153">
        <v>318</v>
      </c>
      <c r="K335" s="154">
        <f t="shared" si="7"/>
        <v>86.885245901639337</v>
      </c>
      <c r="L335" s="164">
        <f>'Informe nº 6'!L335</f>
        <v>0.22685715556144714</v>
      </c>
      <c r="M335" s="160">
        <f>'Informe nº 6a'!L335</f>
        <v>7.6770476996898651E-2</v>
      </c>
    </row>
    <row r="336" spans="10:13" ht="13">
      <c r="J336" s="153">
        <v>319</v>
      </c>
      <c r="K336" s="154">
        <f t="shared" si="7"/>
        <v>87.158469945355193</v>
      </c>
      <c r="L336" s="164">
        <f>'Informe nº 6'!L336</f>
        <v>0.22252857685089111</v>
      </c>
      <c r="M336" s="160">
        <f>'Informe nº 6a'!L336</f>
        <v>7.6261900365352631E-2</v>
      </c>
    </row>
    <row r="337" spans="10:13" ht="13">
      <c r="J337" s="153">
        <v>320</v>
      </c>
      <c r="K337" s="154">
        <f t="shared" si="7"/>
        <v>87.431693989071036</v>
      </c>
      <c r="L337" s="164">
        <f>'Informe nº 6'!L337</f>
        <v>0.21840003132820129</v>
      </c>
      <c r="M337" s="160">
        <f>'Informe nº 6a'!L337</f>
        <v>7.5481906533241272E-2</v>
      </c>
    </row>
    <row r="338" spans="10:13" ht="13">
      <c r="J338" s="153">
        <v>321</v>
      </c>
      <c r="K338" s="154">
        <f t="shared" si="7"/>
        <v>87.704918032786878</v>
      </c>
      <c r="L338" s="164">
        <f>'Informe nº 6'!L338</f>
        <v>0.21608570218086243</v>
      </c>
      <c r="M338" s="160">
        <f>'Informe nº 6a'!L338</f>
        <v>7.4872858822345734E-2</v>
      </c>
    </row>
    <row r="339" spans="10:13" ht="13">
      <c r="J339" s="153">
        <v>322</v>
      </c>
      <c r="K339" s="154">
        <f t="shared" si="7"/>
        <v>87.978142076502735</v>
      </c>
      <c r="L339" s="164">
        <f>'Informe nº 6'!L339</f>
        <v>0.21266192197799683</v>
      </c>
      <c r="M339" s="160">
        <f>'Informe nº 6a'!L339</f>
        <v>7.4143335223197937E-2</v>
      </c>
    </row>
    <row r="340" spans="10:13" ht="13">
      <c r="J340" s="153">
        <v>323</v>
      </c>
      <c r="K340" s="154">
        <f t="shared" ref="K340:K382" si="8">(J340/366)*100</f>
        <v>88.251366120218577</v>
      </c>
      <c r="L340" s="164">
        <f>'Informe nº 6'!L340</f>
        <v>0.20933333039283752</v>
      </c>
      <c r="M340" s="160">
        <f>'Informe nº 6a'!L340</f>
        <v>7.3577150702476501E-2</v>
      </c>
    </row>
    <row r="341" spans="10:13" ht="13">
      <c r="J341" s="153">
        <v>324</v>
      </c>
      <c r="K341" s="154">
        <f t="shared" si="8"/>
        <v>88.52459016393442</v>
      </c>
      <c r="L341" s="164">
        <f>'Informe nº 6'!L341</f>
        <v>0.20522858202457428</v>
      </c>
      <c r="M341" s="160">
        <f>'Informe nº 6a'!L341</f>
        <v>7.2890467941761017E-2</v>
      </c>
    </row>
    <row r="342" spans="10:13" ht="13">
      <c r="J342" s="153">
        <v>325</v>
      </c>
      <c r="K342" s="154">
        <f t="shared" si="8"/>
        <v>88.797814207650276</v>
      </c>
      <c r="L342" s="164">
        <f>'Informe nº 6'!L342</f>
        <v>0.20331904292106628</v>
      </c>
      <c r="M342" s="160">
        <f>'Informe nº 6a'!L342</f>
        <v>7.2339050471782684E-2</v>
      </c>
    </row>
    <row r="343" spans="10:13" ht="13">
      <c r="J343" s="153">
        <v>326</v>
      </c>
      <c r="K343" s="154">
        <f t="shared" si="8"/>
        <v>89.071038251366119</v>
      </c>
      <c r="L343" s="164">
        <f>'Informe nº 6'!L343</f>
        <v>0.20025716722011566</v>
      </c>
      <c r="M343" s="160">
        <f>'Informe nº 6a'!L343</f>
        <v>7.1786679327487946E-2</v>
      </c>
    </row>
    <row r="344" spans="10:13" ht="13">
      <c r="J344" s="153">
        <v>327</v>
      </c>
      <c r="K344" s="154">
        <f t="shared" si="8"/>
        <v>89.344262295081961</v>
      </c>
      <c r="L344" s="164">
        <f>'Informe nº 6'!L344</f>
        <v>0.1983095109462738</v>
      </c>
      <c r="M344" s="160">
        <f>'Informe nº 6a'!L344</f>
        <v>7.1211427450180054E-2</v>
      </c>
    </row>
    <row r="345" spans="10:13" ht="13">
      <c r="J345" s="153">
        <v>328</v>
      </c>
      <c r="K345" s="154">
        <f t="shared" si="8"/>
        <v>89.617486338797818</v>
      </c>
      <c r="L345" s="164">
        <f>'Informe nº 6'!L345</f>
        <v>0.19577619433403015</v>
      </c>
      <c r="M345" s="160">
        <f>'Informe nº 6a'!L345</f>
        <v>7.0828571915626526E-2</v>
      </c>
    </row>
    <row r="346" spans="10:13" ht="13">
      <c r="J346" s="153">
        <v>329</v>
      </c>
      <c r="K346" s="154">
        <f t="shared" si="8"/>
        <v>89.89071038251366</v>
      </c>
      <c r="L346" s="164">
        <f>'Informe nº 6'!L346</f>
        <v>0.19267141819000244</v>
      </c>
      <c r="M346" s="160">
        <f>'Informe nº 6a'!L346</f>
        <v>7.043476402759552E-2</v>
      </c>
    </row>
    <row r="347" spans="10:13" ht="13">
      <c r="J347" s="153">
        <v>330</v>
      </c>
      <c r="K347" s="154">
        <f t="shared" si="8"/>
        <v>90.163934426229503</v>
      </c>
      <c r="L347" s="164">
        <f>'Informe nº 6'!L347</f>
        <v>0.19059999287128448</v>
      </c>
      <c r="M347" s="160">
        <f>'Informe nº 6a'!L347</f>
        <v>6.9660469889640808E-2</v>
      </c>
    </row>
    <row r="348" spans="10:13" ht="13">
      <c r="J348" s="153">
        <v>331</v>
      </c>
      <c r="K348" s="154">
        <f t="shared" si="8"/>
        <v>90.437158469945359</v>
      </c>
      <c r="L348" s="164">
        <f>'Informe nº 6'!L348</f>
        <v>0.18801428377628326</v>
      </c>
      <c r="M348" s="160">
        <f>'Informe nº 6a'!L348</f>
        <v>6.9146193563938141E-2</v>
      </c>
    </row>
    <row r="349" spans="10:13" ht="13">
      <c r="J349" s="153">
        <v>332</v>
      </c>
      <c r="K349" s="154">
        <f t="shared" si="8"/>
        <v>90.710382513661202</v>
      </c>
      <c r="L349" s="164">
        <f>'Informe nº 6'!L349</f>
        <v>0.185590460896492</v>
      </c>
      <c r="M349" s="160">
        <f>'Informe nº 6a'!L349</f>
        <v>6.8643808364868164E-2</v>
      </c>
    </row>
    <row r="350" spans="10:13" ht="13">
      <c r="J350" s="153">
        <v>333</v>
      </c>
      <c r="K350" s="154">
        <f t="shared" si="8"/>
        <v>90.983606557377044</v>
      </c>
      <c r="L350" s="164">
        <f>'Informe nº 6'!L350</f>
        <v>0.18309523165225983</v>
      </c>
      <c r="M350" s="160">
        <f>'Informe nº 6a'!L350</f>
        <v>6.7691899836063385E-2</v>
      </c>
    </row>
    <row r="351" spans="10:13" ht="13">
      <c r="J351" s="153">
        <v>334</v>
      </c>
      <c r="K351" s="154">
        <f t="shared" si="8"/>
        <v>91.256830601092901</v>
      </c>
      <c r="L351" s="164">
        <f>'Informe nº 6'!L351</f>
        <v>0.18052856624126434</v>
      </c>
      <c r="M351" s="160">
        <f>'Informe nº 6a'!L351</f>
        <v>6.7230001091957092E-2</v>
      </c>
    </row>
    <row r="352" spans="10:13" ht="13">
      <c r="J352" s="153">
        <v>335</v>
      </c>
      <c r="K352" s="154">
        <f t="shared" si="8"/>
        <v>91.530054644808743</v>
      </c>
      <c r="L352" s="164">
        <f>'Informe nº 6'!L352</f>
        <v>0.17862381041049957</v>
      </c>
      <c r="M352" s="160">
        <f>'Informe nº 6a'!L352</f>
        <v>6.6772378981113434E-2</v>
      </c>
    </row>
    <row r="353" spans="10:13" ht="13">
      <c r="J353" s="153">
        <v>336</v>
      </c>
      <c r="K353" s="154">
        <f t="shared" si="8"/>
        <v>91.803278688524586</v>
      </c>
      <c r="L353" s="164">
        <f>'Informe nº 6'!L353</f>
        <v>0.17623333632946014</v>
      </c>
      <c r="M353" s="160">
        <f>'Informe nº 6a'!L353</f>
        <v>6.6268093883991241E-2</v>
      </c>
    </row>
    <row r="354" spans="10:13" ht="13">
      <c r="J354" s="153">
        <v>337</v>
      </c>
      <c r="K354" s="154">
        <f t="shared" si="8"/>
        <v>92.076502732240442</v>
      </c>
      <c r="L354" s="164">
        <f>'Informe nº 6'!L354</f>
        <v>0.17406666278839111</v>
      </c>
      <c r="M354" s="160">
        <f>'Informe nº 6a'!L354</f>
        <v>6.5542377531528473E-2</v>
      </c>
    </row>
    <row r="355" spans="10:13" ht="13">
      <c r="J355" s="153">
        <v>338</v>
      </c>
      <c r="K355" s="154">
        <f t="shared" si="8"/>
        <v>92.349726775956285</v>
      </c>
      <c r="L355" s="164">
        <f>'Informe nº 6'!L355</f>
        <v>0.17132855951786041</v>
      </c>
      <c r="M355" s="160">
        <f>'Informe nº 6a'!L355</f>
        <v>6.4759053289890289E-2</v>
      </c>
    </row>
    <row r="356" spans="10:13" ht="13">
      <c r="J356" s="153">
        <v>339</v>
      </c>
      <c r="K356" s="154">
        <f t="shared" si="8"/>
        <v>92.622950819672127</v>
      </c>
      <c r="L356" s="164">
        <f>'Informe nº 6'!L356</f>
        <v>0.16955238580703735</v>
      </c>
      <c r="M356" s="160">
        <f>'Informe nº 6a'!L356</f>
        <v>6.435905396938324E-2</v>
      </c>
    </row>
    <row r="357" spans="10:13" ht="13">
      <c r="J357" s="153">
        <v>340</v>
      </c>
      <c r="K357" s="154">
        <f t="shared" si="8"/>
        <v>92.896174863387984</v>
      </c>
      <c r="L357" s="164">
        <f>'Informe nº 6'!L357</f>
        <v>0.16757620871067047</v>
      </c>
      <c r="M357" s="160">
        <f>'Informe nº 6a'!L357</f>
        <v>6.3613809645175934E-2</v>
      </c>
    </row>
    <row r="358" spans="10:13" ht="13">
      <c r="J358" s="153">
        <v>341</v>
      </c>
      <c r="K358" s="154">
        <f t="shared" si="8"/>
        <v>93.169398907103826</v>
      </c>
      <c r="L358" s="164">
        <f>'Informe nº 6'!L358</f>
        <v>0.16564761102199554</v>
      </c>
      <c r="M358" s="160">
        <f>'Informe nº 6a'!L358</f>
        <v>6.3053809106349945E-2</v>
      </c>
    </row>
    <row r="359" spans="10:13" ht="13">
      <c r="J359" s="153">
        <v>342</v>
      </c>
      <c r="K359" s="154">
        <f t="shared" si="8"/>
        <v>93.442622950819683</v>
      </c>
      <c r="L359" s="164">
        <f>'Informe nº 6'!L359</f>
        <v>0.16436667740345001</v>
      </c>
      <c r="M359" s="160">
        <f>'Informe nº 6a'!L359</f>
        <v>6.2446668744087219E-2</v>
      </c>
    </row>
    <row r="360" spans="10:13" ht="13">
      <c r="J360" s="153">
        <v>343</v>
      </c>
      <c r="K360" s="154">
        <f t="shared" si="8"/>
        <v>93.715846994535525</v>
      </c>
      <c r="L360" s="164">
        <f>'Informe nº 6'!L360</f>
        <v>0.16200952231884003</v>
      </c>
      <c r="M360" s="160">
        <f>'Informe nº 6a'!L360</f>
        <v>6.1920471489429474E-2</v>
      </c>
    </row>
    <row r="361" spans="10:13" ht="13">
      <c r="J361" s="153">
        <v>344</v>
      </c>
      <c r="K361" s="154">
        <f t="shared" si="8"/>
        <v>93.989071038251367</v>
      </c>
      <c r="L361" s="164">
        <f>'Informe nº 6'!L361</f>
        <v>0.15946666896343231</v>
      </c>
      <c r="M361" s="160">
        <f>'Informe nº 6a'!L361</f>
        <v>6.1461426317691803E-2</v>
      </c>
    </row>
    <row r="362" spans="10:13" ht="13">
      <c r="J362" s="153">
        <v>345</v>
      </c>
      <c r="K362" s="154">
        <f t="shared" si="8"/>
        <v>94.262295081967224</v>
      </c>
      <c r="L362" s="164">
        <f>'Informe nº 6'!L362</f>
        <v>0.15789046883583069</v>
      </c>
      <c r="M362" s="160">
        <f>'Informe nº 6a'!L362</f>
        <v>6.0883805155754089E-2</v>
      </c>
    </row>
    <row r="363" spans="10:13" ht="13">
      <c r="J363" s="153">
        <v>346</v>
      </c>
      <c r="K363" s="154">
        <f t="shared" si="8"/>
        <v>94.535519125683066</v>
      </c>
      <c r="L363" s="164">
        <f>'Informe nº 6'!L363</f>
        <v>0.15675237774848938</v>
      </c>
      <c r="M363" s="160">
        <f>'Informe nº 6a'!L363</f>
        <v>6.0171429067850113E-2</v>
      </c>
    </row>
    <row r="364" spans="10:13" ht="13">
      <c r="J364" s="153">
        <v>347</v>
      </c>
      <c r="K364" s="154">
        <f t="shared" si="8"/>
        <v>94.808743169398909</v>
      </c>
      <c r="L364" s="164">
        <f>'Informe nº 6'!L364</f>
        <v>0.15584762394428253</v>
      </c>
      <c r="M364" s="160">
        <f>'Informe nº 6a'!L364</f>
        <v>5.9621423482894897E-2</v>
      </c>
    </row>
    <row r="365" spans="10:13" ht="13">
      <c r="J365" s="153">
        <v>348</v>
      </c>
      <c r="K365" s="154">
        <f t="shared" si="8"/>
        <v>95.081967213114751</v>
      </c>
      <c r="L365" s="164">
        <f>'Informe nº 6'!L365</f>
        <v>0.15414763987064362</v>
      </c>
      <c r="M365" s="160">
        <f>'Informe nº 6a'!L365</f>
        <v>5.9063810855150223E-2</v>
      </c>
    </row>
    <row r="366" spans="10:13" ht="13">
      <c r="J366" s="153">
        <v>349</v>
      </c>
      <c r="K366" s="154">
        <f t="shared" si="8"/>
        <v>95.355191256830594</v>
      </c>
      <c r="L366" s="164">
        <f>'Informe nº 6'!L366</f>
        <v>0.15300001204013824</v>
      </c>
      <c r="M366" s="160">
        <f>'Informe nº 6a'!L366</f>
        <v>5.8510478585958481E-2</v>
      </c>
    </row>
    <row r="367" spans="10:13" ht="13">
      <c r="J367" s="153">
        <v>350</v>
      </c>
      <c r="K367" s="154">
        <f t="shared" si="8"/>
        <v>95.628415300546436</v>
      </c>
      <c r="L367" s="164">
        <f>'Informe nº 6'!L367</f>
        <v>0.15030953288078308</v>
      </c>
      <c r="M367" s="160">
        <f>'Informe nº 6a'!L367</f>
        <v>5.8022845536470413E-2</v>
      </c>
    </row>
    <row r="368" spans="10:13" ht="13">
      <c r="J368" s="153">
        <v>351</v>
      </c>
      <c r="K368" s="154">
        <f t="shared" si="8"/>
        <v>95.901639344262293</v>
      </c>
      <c r="L368" s="164">
        <f>'Informe nº 6'!L368</f>
        <v>0.14886191487312317</v>
      </c>
      <c r="M368" s="160">
        <f>'Informe nº 6a'!L368</f>
        <v>5.7430483400821686E-2</v>
      </c>
    </row>
    <row r="369" spans="10:13" ht="13">
      <c r="J369" s="153">
        <v>352</v>
      </c>
      <c r="K369" s="154">
        <f t="shared" si="8"/>
        <v>96.174863387978135</v>
      </c>
      <c r="L369" s="164">
        <f>'Informe nº 6'!L369</f>
        <v>0.14632856845855713</v>
      </c>
      <c r="M369" s="160">
        <f>'Informe nº 6a'!L369</f>
        <v>5.6651897728443146E-2</v>
      </c>
    </row>
    <row r="370" spans="10:13" ht="13">
      <c r="J370" s="153">
        <v>353</v>
      </c>
      <c r="K370" s="154">
        <f t="shared" si="8"/>
        <v>96.448087431693992</v>
      </c>
      <c r="L370" s="164">
        <f>'Informe nº 6'!L370</f>
        <v>0.14489524066448212</v>
      </c>
      <c r="M370" s="160">
        <f>'Informe nº 6a'!L370</f>
        <v>5.6020479649305344E-2</v>
      </c>
    </row>
    <row r="371" spans="10:13" ht="13">
      <c r="J371" s="153">
        <v>354</v>
      </c>
      <c r="K371" s="154">
        <f t="shared" si="8"/>
        <v>96.721311475409834</v>
      </c>
      <c r="L371" s="164">
        <f>'Informe nº 6'!L371</f>
        <v>0.14352381229400635</v>
      </c>
      <c r="M371" s="160">
        <f>'Informe nº 6a'!L371</f>
        <v>5.540047213435173E-2</v>
      </c>
    </row>
    <row r="372" spans="10:13" ht="13">
      <c r="J372" s="153">
        <v>355</v>
      </c>
      <c r="K372" s="154">
        <f t="shared" si="8"/>
        <v>96.994535519125677</v>
      </c>
      <c r="L372" s="164">
        <f>'Informe nº 6'!L372</f>
        <v>0.14161430299282074</v>
      </c>
      <c r="M372" s="160">
        <f>'Informe nº 6a'!L372</f>
        <v>5.4776199162006378E-2</v>
      </c>
    </row>
    <row r="373" spans="10:13" ht="13">
      <c r="J373" s="153">
        <v>356</v>
      </c>
      <c r="K373" s="154">
        <f t="shared" si="8"/>
        <v>97.267759562841533</v>
      </c>
      <c r="L373" s="164">
        <f>'Informe nº 6'!L373</f>
        <v>0.13967618346214294</v>
      </c>
      <c r="M373" s="160">
        <f>'Informe nº 6a'!L373</f>
        <v>5.3991429507732391E-2</v>
      </c>
    </row>
    <row r="374" spans="10:13" ht="13">
      <c r="J374" s="153">
        <v>357</v>
      </c>
      <c r="K374" s="154">
        <f t="shared" si="8"/>
        <v>97.540983606557376</v>
      </c>
      <c r="L374" s="164">
        <f>'Informe nº 6'!L374</f>
        <v>0.13722380995750427</v>
      </c>
      <c r="M374" s="160">
        <f>'Informe nº 6a'!L374</f>
        <v>5.3230956196784973E-2</v>
      </c>
    </row>
    <row r="375" spans="10:13" ht="13">
      <c r="J375" s="153">
        <v>358</v>
      </c>
      <c r="K375" s="154">
        <f t="shared" si="8"/>
        <v>97.814207650273218</v>
      </c>
      <c r="L375" s="164">
        <f>'Informe nº 6'!L375</f>
        <v>0.13542377948760986</v>
      </c>
      <c r="M375" s="160">
        <f>'Informe nº 6a'!L375</f>
        <v>5.2528567612171173E-2</v>
      </c>
    </row>
    <row r="376" spans="10:13" ht="13">
      <c r="J376" s="153">
        <v>359</v>
      </c>
      <c r="K376" s="154">
        <f t="shared" si="8"/>
        <v>98.087431693989075</v>
      </c>
      <c r="L376" s="164">
        <f>'Informe nº 6'!L376</f>
        <v>0.13365712761878967</v>
      </c>
      <c r="M376" s="160">
        <f>'Informe nº 6a'!L376</f>
        <v>5.1844283938407898E-2</v>
      </c>
    </row>
    <row r="377" spans="10:13" ht="13">
      <c r="J377" s="153">
        <v>360</v>
      </c>
      <c r="K377" s="154">
        <f t="shared" si="8"/>
        <v>98.360655737704917</v>
      </c>
      <c r="L377" s="164">
        <f>'Informe nº 6'!L377</f>
        <v>0.13147619366645813</v>
      </c>
      <c r="M377" s="160">
        <f>'Informe nº 6a'!L377</f>
        <v>5.0553340464830399E-2</v>
      </c>
    </row>
    <row r="378" spans="10:13" ht="13">
      <c r="J378" s="153">
        <v>361</v>
      </c>
      <c r="K378" s="154">
        <f t="shared" si="8"/>
        <v>98.63387978142076</v>
      </c>
      <c r="L378" s="164">
        <f>'Informe nº 6'!L378</f>
        <v>0.12864762544631958</v>
      </c>
      <c r="M378" s="160">
        <f>'Informe nº 6a'!L378</f>
        <v>4.9444761127233505E-2</v>
      </c>
    </row>
    <row r="379" spans="10:13" ht="13">
      <c r="J379" s="153">
        <v>362</v>
      </c>
      <c r="K379" s="154">
        <f t="shared" si="8"/>
        <v>98.907103825136616</v>
      </c>
      <c r="L379" s="164">
        <f>'Informe nº 6'!L379</f>
        <v>0.12671191990375519</v>
      </c>
      <c r="M379" s="160">
        <f>'Informe nº 6a'!L379</f>
        <v>4.8573333770036697E-2</v>
      </c>
    </row>
    <row r="380" spans="10:13" ht="13">
      <c r="J380" s="153">
        <v>363</v>
      </c>
      <c r="K380" s="154">
        <f t="shared" si="8"/>
        <v>99.180327868852459</v>
      </c>
      <c r="L380" s="164">
        <f>'Informe nº 6'!L380</f>
        <v>0.12409143149852753</v>
      </c>
      <c r="M380" s="160">
        <f>'Informe nº 6a'!L380</f>
        <v>4.7716192901134491E-2</v>
      </c>
    </row>
    <row r="381" spans="10:13" ht="13">
      <c r="J381" s="153">
        <v>364</v>
      </c>
      <c r="K381" s="154">
        <f t="shared" si="8"/>
        <v>99.453551912568301</v>
      </c>
      <c r="L381" s="164">
        <f>'Informe nº 6'!L381</f>
        <v>0.12069094926118851</v>
      </c>
      <c r="M381" s="160">
        <f>'Informe nº 6a'!L381</f>
        <v>4.6528097242116928E-2</v>
      </c>
    </row>
    <row r="382" spans="10:13" ht="13">
      <c r="J382" s="158">
        <v>365</v>
      </c>
      <c r="K382" s="159">
        <f t="shared" si="8"/>
        <v>99.726775956284158</v>
      </c>
      <c r="L382" s="164">
        <f>'Informe nº 6'!L382</f>
        <v>0.11656714975833893</v>
      </c>
      <c r="M382" s="160">
        <f>'Informe nº 6a'!L382</f>
        <v>4.5249998569488525E-2</v>
      </c>
    </row>
  </sheetData>
  <mergeCells count="15">
    <mergeCell ref="J14:M14"/>
    <mergeCell ref="E16:F16"/>
    <mergeCell ref="J16:J17"/>
    <mergeCell ref="L16:M16"/>
    <mergeCell ref="C41:F41"/>
    <mergeCell ref="C14:F14"/>
    <mergeCell ref="J13:M13"/>
    <mergeCell ref="D2:L2"/>
    <mergeCell ref="D3:L3"/>
    <mergeCell ref="B5:D5"/>
    <mergeCell ref="B6:D6"/>
    <mergeCell ref="B7:D7"/>
    <mergeCell ref="B12:H12"/>
    <mergeCell ref="B2:C2"/>
    <mergeCell ref="B3:C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27"/>
  <dimension ref="A1:AG69"/>
  <sheetViews>
    <sheetView showGridLines="0" zoomScale="70" zoomScaleNormal="70" workbookViewId="0">
      <selection activeCell="B3" sqref="B3:C3"/>
    </sheetView>
  </sheetViews>
  <sheetFormatPr baseColWidth="10" defaultRowHeight="12.5"/>
  <cols>
    <col min="1" max="1" width="2.81640625" style="3" customWidth="1"/>
    <col min="2" max="2" width="20.1796875" style="3" customWidth="1"/>
    <col min="3" max="3" width="10.1796875" style="3" customWidth="1"/>
    <col min="4" max="4" width="19.81640625" style="3" customWidth="1"/>
    <col min="5" max="17" width="13.81640625" style="3" customWidth="1"/>
    <col min="18" max="18" width="11.453125" style="3" customWidth="1"/>
    <col min="19" max="19" width="13.81640625" style="3" customWidth="1"/>
    <col min="20" max="20" width="15.54296875" style="3" customWidth="1"/>
    <col min="21" max="264" width="11.453125" style="3" customWidth="1"/>
    <col min="265" max="265" width="2.81640625" style="3" customWidth="1"/>
    <col min="266" max="266" width="15" style="3" customWidth="1"/>
    <col min="267" max="267" width="10.1796875" style="3" customWidth="1"/>
    <col min="268" max="268" width="19.81640625" style="3" customWidth="1"/>
    <col min="269" max="269" width="18" style="3" customWidth="1"/>
    <col min="270" max="270" width="17.81640625" style="3" customWidth="1"/>
    <col min="271" max="271" width="13.1796875" style="3" customWidth="1"/>
    <col min="272" max="272" width="9.81640625" style="3" customWidth="1"/>
    <col min="273" max="520" width="11.453125" style="3" customWidth="1"/>
    <col min="521" max="521" width="2.81640625" style="3" customWidth="1"/>
    <col min="522" max="522" width="15" style="3" customWidth="1"/>
    <col min="523" max="523" width="10.1796875" style="3" customWidth="1"/>
    <col min="524" max="524" width="19.81640625" style="3" customWidth="1"/>
    <col min="525" max="525" width="18" style="3" customWidth="1"/>
    <col min="526" max="526" width="17.81640625" style="3" customWidth="1"/>
    <col min="527" max="527" width="13.1796875" style="3" customWidth="1"/>
    <col min="528" max="528" width="9.81640625" style="3" customWidth="1"/>
    <col min="529" max="776" width="11.453125" style="3" customWidth="1"/>
    <col min="777" max="777" width="2.81640625" style="3" customWidth="1"/>
    <col min="778" max="778" width="15" style="3" customWidth="1"/>
    <col min="779" max="779" width="10.1796875" style="3" customWidth="1"/>
    <col min="780" max="780" width="19.81640625" style="3" customWidth="1"/>
    <col min="781" max="781" width="18" style="3" customWidth="1"/>
    <col min="782" max="782" width="17.81640625" style="3" customWidth="1"/>
    <col min="783" max="783" width="13.1796875" style="3" customWidth="1"/>
    <col min="784" max="784" width="9.81640625" style="3" customWidth="1"/>
    <col min="785" max="1032" width="11.453125" style="3" customWidth="1"/>
    <col min="1033" max="1033" width="2.81640625" style="3" customWidth="1"/>
    <col min="1034" max="1034" width="15" style="3" customWidth="1"/>
    <col min="1035" max="1035" width="10.1796875" style="3" customWidth="1"/>
    <col min="1036" max="1036" width="19.81640625" style="3" customWidth="1"/>
    <col min="1037" max="1037" width="18" style="3" customWidth="1"/>
    <col min="1038" max="1038" width="17.81640625" style="3" customWidth="1"/>
    <col min="1039" max="1039" width="13.1796875" style="3" customWidth="1"/>
    <col min="1040" max="1040" width="9.81640625" style="3" customWidth="1"/>
    <col min="1041" max="1288" width="11.453125" style="3" customWidth="1"/>
    <col min="1289" max="1289" width="2.81640625" style="3" customWidth="1"/>
    <col min="1290" max="1290" width="15" style="3" customWidth="1"/>
    <col min="1291" max="1291" width="10.1796875" style="3" customWidth="1"/>
    <col min="1292" max="1292" width="19.81640625" style="3" customWidth="1"/>
    <col min="1293" max="1293" width="18" style="3" customWidth="1"/>
    <col min="1294" max="1294" width="17.81640625" style="3" customWidth="1"/>
    <col min="1295" max="1295" width="13.1796875" style="3" customWidth="1"/>
    <col min="1296" max="1296" width="9.81640625" style="3" customWidth="1"/>
    <col min="1297" max="1544" width="11.453125" style="3" customWidth="1"/>
    <col min="1545" max="1545" width="2.81640625" style="3" customWidth="1"/>
    <col min="1546" max="1546" width="15" style="3" customWidth="1"/>
    <col min="1547" max="1547" width="10.1796875" style="3" customWidth="1"/>
    <col min="1548" max="1548" width="19.81640625" style="3" customWidth="1"/>
    <col min="1549" max="1549" width="18" style="3" customWidth="1"/>
    <col min="1550" max="1550" width="17.81640625" style="3" customWidth="1"/>
    <col min="1551" max="1551" width="13.1796875" style="3" customWidth="1"/>
    <col min="1552" max="1552" width="9.81640625" style="3" customWidth="1"/>
    <col min="1553" max="1800" width="11.453125" style="3" customWidth="1"/>
    <col min="1801" max="1801" width="2.81640625" style="3" customWidth="1"/>
    <col min="1802" max="1802" width="15" style="3" customWidth="1"/>
    <col min="1803" max="1803" width="10.1796875" style="3" customWidth="1"/>
    <col min="1804" max="1804" width="19.81640625" style="3" customWidth="1"/>
    <col min="1805" max="1805" width="18" style="3" customWidth="1"/>
    <col min="1806" max="1806" width="17.81640625" style="3" customWidth="1"/>
    <col min="1807" max="1807" width="13.1796875" style="3" customWidth="1"/>
    <col min="1808" max="1808" width="9.81640625" style="3" customWidth="1"/>
    <col min="1809" max="2056" width="11.453125" style="3" customWidth="1"/>
    <col min="2057" max="2057" width="2.81640625" style="3" customWidth="1"/>
    <col min="2058" max="2058" width="15" style="3" customWidth="1"/>
    <col min="2059" max="2059" width="10.1796875" style="3" customWidth="1"/>
    <col min="2060" max="2060" width="19.81640625" style="3" customWidth="1"/>
    <col min="2061" max="2061" width="18" style="3" customWidth="1"/>
    <col min="2062" max="2062" width="17.81640625" style="3" customWidth="1"/>
    <col min="2063" max="2063" width="13.1796875" style="3" customWidth="1"/>
    <col min="2064" max="2064" width="9.81640625" style="3" customWidth="1"/>
    <col min="2065" max="2312" width="11.453125" style="3" customWidth="1"/>
    <col min="2313" max="2313" width="2.81640625" style="3" customWidth="1"/>
    <col min="2314" max="2314" width="15" style="3" customWidth="1"/>
    <col min="2315" max="2315" width="10.1796875" style="3" customWidth="1"/>
    <col min="2316" max="2316" width="19.81640625" style="3" customWidth="1"/>
    <col min="2317" max="2317" width="18" style="3" customWidth="1"/>
    <col min="2318" max="2318" width="17.81640625" style="3" customWidth="1"/>
    <col min="2319" max="2319" width="13.1796875" style="3" customWidth="1"/>
    <col min="2320" max="2320" width="9.81640625" style="3" customWidth="1"/>
    <col min="2321" max="2568" width="11.453125" style="3" customWidth="1"/>
    <col min="2569" max="2569" width="2.81640625" style="3" customWidth="1"/>
    <col min="2570" max="2570" width="15" style="3" customWidth="1"/>
    <col min="2571" max="2571" width="10.1796875" style="3" customWidth="1"/>
    <col min="2572" max="2572" width="19.81640625" style="3" customWidth="1"/>
    <col min="2573" max="2573" width="18" style="3" customWidth="1"/>
    <col min="2574" max="2574" width="17.81640625" style="3" customWidth="1"/>
    <col min="2575" max="2575" width="13.1796875" style="3" customWidth="1"/>
    <col min="2576" max="2576" width="9.81640625" style="3" customWidth="1"/>
    <col min="2577" max="2824" width="11.453125" style="3" customWidth="1"/>
    <col min="2825" max="2825" width="2.81640625" style="3" customWidth="1"/>
    <col min="2826" max="2826" width="15" style="3" customWidth="1"/>
    <col min="2827" max="2827" width="10.1796875" style="3" customWidth="1"/>
    <col min="2828" max="2828" width="19.81640625" style="3" customWidth="1"/>
    <col min="2829" max="2829" width="18" style="3" customWidth="1"/>
    <col min="2830" max="2830" width="17.81640625" style="3" customWidth="1"/>
    <col min="2831" max="2831" width="13.1796875" style="3" customWidth="1"/>
    <col min="2832" max="2832" width="9.81640625" style="3" customWidth="1"/>
    <col min="2833" max="3080" width="11.453125" style="3" customWidth="1"/>
    <col min="3081" max="3081" width="2.81640625" style="3" customWidth="1"/>
    <col min="3082" max="3082" width="15" style="3" customWidth="1"/>
    <col min="3083" max="3083" width="10.1796875" style="3" customWidth="1"/>
    <col min="3084" max="3084" width="19.81640625" style="3" customWidth="1"/>
    <col min="3085" max="3085" width="18" style="3" customWidth="1"/>
    <col min="3086" max="3086" width="17.81640625" style="3" customWidth="1"/>
    <col min="3087" max="3087" width="13.1796875" style="3" customWidth="1"/>
    <col min="3088" max="3088" width="9.81640625" style="3" customWidth="1"/>
    <col min="3089" max="3336" width="11.453125" style="3" customWidth="1"/>
    <col min="3337" max="3337" width="2.81640625" style="3" customWidth="1"/>
    <col min="3338" max="3338" width="15" style="3" customWidth="1"/>
    <col min="3339" max="3339" width="10.1796875" style="3" customWidth="1"/>
    <col min="3340" max="3340" width="19.81640625" style="3" customWidth="1"/>
    <col min="3341" max="3341" width="18" style="3" customWidth="1"/>
    <col min="3342" max="3342" width="17.81640625" style="3" customWidth="1"/>
    <col min="3343" max="3343" width="13.1796875" style="3" customWidth="1"/>
    <col min="3344" max="3344" width="9.81640625" style="3" customWidth="1"/>
    <col min="3345" max="3592" width="11.453125" style="3" customWidth="1"/>
    <col min="3593" max="3593" width="2.81640625" style="3" customWidth="1"/>
    <col min="3594" max="3594" width="15" style="3" customWidth="1"/>
    <col min="3595" max="3595" width="10.1796875" style="3" customWidth="1"/>
    <col min="3596" max="3596" width="19.81640625" style="3" customWidth="1"/>
    <col min="3597" max="3597" width="18" style="3" customWidth="1"/>
    <col min="3598" max="3598" width="17.81640625" style="3" customWidth="1"/>
    <col min="3599" max="3599" width="13.1796875" style="3" customWidth="1"/>
    <col min="3600" max="3600" width="9.81640625" style="3" customWidth="1"/>
    <col min="3601" max="3848" width="11.453125" style="3" customWidth="1"/>
    <col min="3849" max="3849" width="2.81640625" style="3" customWidth="1"/>
    <col min="3850" max="3850" width="15" style="3" customWidth="1"/>
    <col min="3851" max="3851" width="10.1796875" style="3" customWidth="1"/>
    <col min="3852" max="3852" width="19.81640625" style="3" customWidth="1"/>
    <col min="3853" max="3853" width="18" style="3" customWidth="1"/>
    <col min="3854" max="3854" width="17.81640625" style="3" customWidth="1"/>
    <col min="3855" max="3855" width="13.1796875" style="3" customWidth="1"/>
    <col min="3856" max="3856" width="9.81640625" style="3" customWidth="1"/>
    <col min="3857" max="4104" width="11.453125" style="3" customWidth="1"/>
    <col min="4105" max="4105" width="2.81640625" style="3" customWidth="1"/>
    <col min="4106" max="4106" width="15" style="3" customWidth="1"/>
    <col min="4107" max="4107" width="10.1796875" style="3" customWidth="1"/>
    <col min="4108" max="4108" width="19.81640625" style="3" customWidth="1"/>
    <col min="4109" max="4109" width="18" style="3" customWidth="1"/>
    <col min="4110" max="4110" width="17.81640625" style="3" customWidth="1"/>
    <col min="4111" max="4111" width="13.1796875" style="3" customWidth="1"/>
    <col min="4112" max="4112" width="9.81640625" style="3" customWidth="1"/>
    <col min="4113" max="4360" width="11.453125" style="3" customWidth="1"/>
    <col min="4361" max="4361" width="2.81640625" style="3" customWidth="1"/>
    <col min="4362" max="4362" width="15" style="3" customWidth="1"/>
    <col min="4363" max="4363" width="10.1796875" style="3" customWidth="1"/>
    <col min="4364" max="4364" width="19.81640625" style="3" customWidth="1"/>
    <col min="4365" max="4365" width="18" style="3" customWidth="1"/>
    <col min="4366" max="4366" width="17.81640625" style="3" customWidth="1"/>
    <col min="4367" max="4367" width="13.1796875" style="3" customWidth="1"/>
    <col min="4368" max="4368" width="9.81640625" style="3" customWidth="1"/>
    <col min="4369" max="4616" width="11.453125" style="3" customWidth="1"/>
    <col min="4617" max="4617" width="2.81640625" style="3" customWidth="1"/>
    <col min="4618" max="4618" width="15" style="3" customWidth="1"/>
    <col min="4619" max="4619" width="10.1796875" style="3" customWidth="1"/>
    <col min="4620" max="4620" width="19.81640625" style="3" customWidth="1"/>
    <col min="4621" max="4621" width="18" style="3" customWidth="1"/>
    <col min="4622" max="4622" width="17.81640625" style="3" customWidth="1"/>
    <col min="4623" max="4623" width="13.1796875" style="3" customWidth="1"/>
    <col min="4624" max="4624" width="9.81640625" style="3" customWidth="1"/>
    <col min="4625" max="4872" width="11.453125" style="3" customWidth="1"/>
    <col min="4873" max="4873" width="2.81640625" style="3" customWidth="1"/>
    <col min="4874" max="4874" width="15" style="3" customWidth="1"/>
    <col min="4875" max="4875" width="10.1796875" style="3" customWidth="1"/>
    <col min="4876" max="4876" width="19.81640625" style="3" customWidth="1"/>
    <col min="4877" max="4877" width="18" style="3" customWidth="1"/>
    <col min="4878" max="4878" width="17.81640625" style="3" customWidth="1"/>
    <col min="4879" max="4879" width="13.1796875" style="3" customWidth="1"/>
    <col min="4880" max="4880" width="9.81640625" style="3" customWidth="1"/>
    <col min="4881" max="5128" width="11.453125" style="3" customWidth="1"/>
    <col min="5129" max="5129" width="2.81640625" style="3" customWidth="1"/>
    <col min="5130" max="5130" width="15" style="3" customWidth="1"/>
    <col min="5131" max="5131" width="10.1796875" style="3" customWidth="1"/>
    <col min="5132" max="5132" width="19.81640625" style="3" customWidth="1"/>
    <col min="5133" max="5133" width="18" style="3" customWidth="1"/>
    <col min="5134" max="5134" width="17.81640625" style="3" customWidth="1"/>
    <col min="5135" max="5135" width="13.1796875" style="3" customWidth="1"/>
    <col min="5136" max="5136" width="9.81640625" style="3" customWidth="1"/>
    <col min="5137" max="5384" width="11.453125" style="3" customWidth="1"/>
    <col min="5385" max="5385" width="2.81640625" style="3" customWidth="1"/>
    <col min="5386" max="5386" width="15" style="3" customWidth="1"/>
    <col min="5387" max="5387" width="10.1796875" style="3" customWidth="1"/>
    <col min="5388" max="5388" width="19.81640625" style="3" customWidth="1"/>
    <col min="5389" max="5389" width="18" style="3" customWidth="1"/>
    <col min="5390" max="5390" width="17.81640625" style="3" customWidth="1"/>
    <col min="5391" max="5391" width="13.1796875" style="3" customWidth="1"/>
    <col min="5392" max="5392" width="9.81640625" style="3" customWidth="1"/>
    <col min="5393" max="5640" width="11.453125" style="3" customWidth="1"/>
    <col min="5641" max="5641" width="2.81640625" style="3" customWidth="1"/>
    <col min="5642" max="5642" width="15" style="3" customWidth="1"/>
    <col min="5643" max="5643" width="10.1796875" style="3" customWidth="1"/>
    <col min="5644" max="5644" width="19.81640625" style="3" customWidth="1"/>
    <col min="5645" max="5645" width="18" style="3" customWidth="1"/>
    <col min="5646" max="5646" width="17.81640625" style="3" customWidth="1"/>
    <col min="5647" max="5647" width="13.1796875" style="3" customWidth="1"/>
    <col min="5648" max="5648" width="9.81640625" style="3" customWidth="1"/>
    <col min="5649" max="5896" width="11.453125" style="3" customWidth="1"/>
    <col min="5897" max="5897" width="2.81640625" style="3" customWidth="1"/>
    <col min="5898" max="5898" width="15" style="3" customWidth="1"/>
    <col min="5899" max="5899" width="10.1796875" style="3" customWidth="1"/>
    <col min="5900" max="5900" width="19.81640625" style="3" customWidth="1"/>
    <col min="5901" max="5901" width="18" style="3" customWidth="1"/>
    <col min="5902" max="5902" width="17.81640625" style="3" customWidth="1"/>
    <col min="5903" max="5903" width="13.1796875" style="3" customWidth="1"/>
    <col min="5904" max="5904" width="9.81640625" style="3" customWidth="1"/>
    <col min="5905" max="6152" width="11.453125" style="3" customWidth="1"/>
    <col min="6153" max="6153" width="2.81640625" style="3" customWidth="1"/>
    <col min="6154" max="6154" width="15" style="3" customWidth="1"/>
    <col min="6155" max="6155" width="10.1796875" style="3" customWidth="1"/>
    <col min="6156" max="6156" width="19.81640625" style="3" customWidth="1"/>
    <col min="6157" max="6157" width="18" style="3" customWidth="1"/>
    <col min="6158" max="6158" width="17.81640625" style="3" customWidth="1"/>
    <col min="6159" max="6159" width="13.1796875" style="3" customWidth="1"/>
    <col min="6160" max="6160" width="9.81640625" style="3" customWidth="1"/>
    <col min="6161" max="6408" width="11.453125" style="3" customWidth="1"/>
    <col min="6409" max="6409" width="2.81640625" style="3" customWidth="1"/>
    <col min="6410" max="6410" width="15" style="3" customWidth="1"/>
    <col min="6411" max="6411" width="10.1796875" style="3" customWidth="1"/>
    <col min="6412" max="6412" width="19.81640625" style="3" customWidth="1"/>
    <col min="6413" max="6413" width="18" style="3" customWidth="1"/>
    <col min="6414" max="6414" width="17.81640625" style="3" customWidth="1"/>
    <col min="6415" max="6415" width="13.1796875" style="3" customWidth="1"/>
    <col min="6416" max="6416" width="9.81640625" style="3" customWidth="1"/>
    <col min="6417" max="6664" width="11.453125" style="3" customWidth="1"/>
    <col min="6665" max="6665" width="2.81640625" style="3" customWidth="1"/>
    <col min="6666" max="6666" width="15" style="3" customWidth="1"/>
    <col min="6667" max="6667" width="10.1796875" style="3" customWidth="1"/>
    <col min="6668" max="6668" width="19.81640625" style="3" customWidth="1"/>
    <col min="6669" max="6669" width="18" style="3" customWidth="1"/>
    <col min="6670" max="6670" width="17.81640625" style="3" customWidth="1"/>
    <col min="6671" max="6671" width="13.1796875" style="3" customWidth="1"/>
    <col min="6672" max="6672" width="9.81640625" style="3" customWidth="1"/>
    <col min="6673" max="6920" width="11.453125" style="3" customWidth="1"/>
    <col min="6921" max="6921" width="2.81640625" style="3" customWidth="1"/>
    <col min="6922" max="6922" width="15" style="3" customWidth="1"/>
    <col min="6923" max="6923" width="10.1796875" style="3" customWidth="1"/>
    <col min="6924" max="6924" width="19.81640625" style="3" customWidth="1"/>
    <col min="6925" max="6925" width="18" style="3" customWidth="1"/>
    <col min="6926" max="6926" width="17.81640625" style="3" customWidth="1"/>
    <col min="6927" max="6927" width="13.1796875" style="3" customWidth="1"/>
    <col min="6928" max="6928" width="9.81640625" style="3" customWidth="1"/>
    <col min="6929" max="7176" width="11.453125" style="3" customWidth="1"/>
    <col min="7177" max="7177" width="2.81640625" style="3" customWidth="1"/>
    <col min="7178" max="7178" width="15" style="3" customWidth="1"/>
    <col min="7179" max="7179" width="10.1796875" style="3" customWidth="1"/>
    <col min="7180" max="7180" width="19.81640625" style="3" customWidth="1"/>
    <col min="7181" max="7181" width="18" style="3" customWidth="1"/>
    <col min="7182" max="7182" width="17.81640625" style="3" customWidth="1"/>
    <col min="7183" max="7183" width="13.1796875" style="3" customWidth="1"/>
    <col min="7184" max="7184" width="9.81640625" style="3" customWidth="1"/>
    <col min="7185" max="7432" width="11.453125" style="3" customWidth="1"/>
    <col min="7433" max="7433" width="2.81640625" style="3" customWidth="1"/>
    <col min="7434" max="7434" width="15" style="3" customWidth="1"/>
    <col min="7435" max="7435" width="10.1796875" style="3" customWidth="1"/>
    <col min="7436" max="7436" width="19.81640625" style="3" customWidth="1"/>
    <col min="7437" max="7437" width="18" style="3" customWidth="1"/>
    <col min="7438" max="7438" width="17.81640625" style="3" customWidth="1"/>
    <col min="7439" max="7439" width="13.1796875" style="3" customWidth="1"/>
    <col min="7440" max="7440" width="9.81640625" style="3" customWidth="1"/>
    <col min="7441" max="7688" width="11.453125" style="3" customWidth="1"/>
    <col min="7689" max="7689" width="2.81640625" style="3" customWidth="1"/>
    <col min="7690" max="7690" width="15" style="3" customWidth="1"/>
    <col min="7691" max="7691" width="10.1796875" style="3" customWidth="1"/>
    <col min="7692" max="7692" width="19.81640625" style="3" customWidth="1"/>
    <col min="7693" max="7693" width="18" style="3" customWidth="1"/>
    <col min="7694" max="7694" width="17.81640625" style="3" customWidth="1"/>
    <col min="7695" max="7695" width="13.1796875" style="3" customWidth="1"/>
    <col min="7696" max="7696" width="9.81640625" style="3" customWidth="1"/>
    <col min="7697" max="7944" width="11.453125" style="3" customWidth="1"/>
    <col min="7945" max="7945" width="2.81640625" style="3" customWidth="1"/>
    <col min="7946" max="7946" width="15" style="3" customWidth="1"/>
    <col min="7947" max="7947" width="10.1796875" style="3" customWidth="1"/>
    <col min="7948" max="7948" width="19.81640625" style="3" customWidth="1"/>
    <col min="7949" max="7949" width="18" style="3" customWidth="1"/>
    <col min="7950" max="7950" width="17.81640625" style="3" customWidth="1"/>
    <col min="7951" max="7951" width="13.1796875" style="3" customWidth="1"/>
    <col min="7952" max="7952" width="9.81640625" style="3" customWidth="1"/>
    <col min="7953" max="8200" width="11.453125" style="3" customWidth="1"/>
    <col min="8201" max="8201" width="2.81640625" style="3" customWidth="1"/>
    <col min="8202" max="8202" width="15" style="3" customWidth="1"/>
    <col min="8203" max="8203" width="10.1796875" style="3" customWidth="1"/>
    <col min="8204" max="8204" width="19.81640625" style="3" customWidth="1"/>
    <col min="8205" max="8205" width="18" style="3" customWidth="1"/>
    <col min="8206" max="8206" width="17.81640625" style="3" customWidth="1"/>
    <col min="8207" max="8207" width="13.1796875" style="3" customWidth="1"/>
    <col min="8208" max="8208" width="9.81640625" style="3" customWidth="1"/>
    <col min="8209" max="8456" width="11.453125" style="3" customWidth="1"/>
    <col min="8457" max="8457" width="2.81640625" style="3" customWidth="1"/>
    <col min="8458" max="8458" width="15" style="3" customWidth="1"/>
    <col min="8459" max="8459" width="10.1796875" style="3" customWidth="1"/>
    <col min="8460" max="8460" width="19.81640625" style="3" customWidth="1"/>
    <col min="8461" max="8461" width="18" style="3" customWidth="1"/>
    <col min="8462" max="8462" width="17.81640625" style="3" customWidth="1"/>
    <col min="8463" max="8463" width="13.1796875" style="3" customWidth="1"/>
    <col min="8464" max="8464" width="9.81640625" style="3" customWidth="1"/>
    <col min="8465" max="8712" width="11.453125" style="3" customWidth="1"/>
    <col min="8713" max="8713" width="2.81640625" style="3" customWidth="1"/>
    <col min="8714" max="8714" width="15" style="3" customWidth="1"/>
    <col min="8715" max="8715" width="10.1796875" style="3" customWidth="1"/>
    <col min="8716" max="8716" width="19.81640625" style="3" customWidth="1"/>
    <col min="8717" max="8717" width="18" style="3" customWidth="1"/>
    <col min="8718" max="8718" width="17.81640625" style="3" customWidth="1"/>
    <col min="8719" max="8719" width="13.1796875" style="3" customWidth="1"/>
    <col min="8720" max="8720" width="9.81640625" style="3" customWidth="1"/>
    <col min="8721" max="8968" width="11.453125" style="3" customWidth="1"/>
    <col min="8969" max="8969" width="2.81640625" style="3" customWidth="1"/>
    <col min="8970" max="8970" width="15" style="3" customWidth="1"/>
    <col min="8971" max="8971" width="10.1796875" style="3" customWidth="1"/>
    <col min="8972" max="8972" width="19.81640625" style="3" customWidth="1"/>
    <col min="8973" max="8973" width="18" style="3" customWidth="1"/>
    <col min="8974" max="8974" width="17.81640625" style="3" customWidth="1"/>
    <col min="8975" max="8975" width="13.1796875" style="3" customWidth="1"/>
    <col min="8976" max="8976" width="9.81640625" style="3" customWidth="1"/>
    <col min="8977" max="9224" width="11.453125" style="3" customWidth="1"/>
    <col min="9225" max="9225" width="2.81640625" style="3" customWidth="1"/>
    <col min="9226" max="9226" width="15" style="3" customWidth="1"/>
    <col min="9227" max="9227" width="10.1796875" style="3" customWidth="1"/>
    <col min="9228" max="9228" width="19.81640625" style="3" customWidth="1"/>
    <col min="9229" max="9229" width="18" style="3" customWidth="1"/>
    <col min="9230" max="9230" width="17.81640625" style="3" customWidth="1"/>
    <col min="9231" max="9231" width="13.1796875" style="3" customWidth="1"/>
    <col min="9232" max="9232" width="9.81640625" style="3" customWidth="1"/>
    <col min="9233" max="9480" width="11.453125" style="3" customWidth="1"/>
    <col min="9481" max="9481" width="2.81640625" style="3" customWidth="1"/>
    <col min="9482" max="9482" width="15" style="3" customWidth="1"/>
    <col min="9483" max="9483" width="10.1796875" style="3" customWidth="1"/>
    <col min="9484" max="9484" width="19.81640625" style="3" customWidth="1"/>
    <col min="9485" max="9485" width="18" style="3" customWidth="1"/>
    <col min="9486" max="9486" width="17.81640625" style="3" customWidth="1"/>
    <col min="9487" max="9487" width="13.1796875" style="3" customWidth="1"/>
    <col min="9488" max="9488" width="9.81640625" style="3" customWidth="1"/>
    <col min="9489" max="9736" width="11.453125" style="3" customWidth="1"/>
    <col min="9737" max="9737" width="2.81640625" style="3" customWidth="1"/>
    <col min="9738" max="9738" width="15" style="3" customWidth="1"/>
    <col min="9739" max="9739" width="10.1796875" style="3" customWidth="1"/>
    <col min="9740" max="9740" width="19.81640625" style="3" customWidth="1"/>
    <col min="9741" max="9741" width="18" style="3" customWidth="1"/>
    <col min="9742" max="9742" width="17.81640625" style="3" customWidth="1"/>
    <col min="9743" max="9743" width="13.1796875" style="3" customWidth="1"/>
    <col min="9744" max="9744" width="9.81640625" style="3" customWidth="1"/>
    <col min="9745" max="9992" width="11.453125" style="3" customWidth="1"/>
    <col min="9993" max="9993" width="2.81640625" style="3" customWidth="1"/>
    <col min="9994" max="9994" width="15" style="3" customWidth="1"/>
    <col min="9995" max="9995" width="10.1796875" style="3" customWidth="1"/>
    <col min="9996" max="9996" width="19.81640625" style="3" customWidth="1"/>
    <col min="9997" max="9997" width="18" style="3" customWidth="1"/>
    <col min="9998" max="9998" width="17.81640625" style="3" customWidth="1"/>
    <col min="9999" max="9999" width="13.1796875" style="3" customWidth="1"/>
    <col min="10000" max="10000" width="9.81640625" style="3" customWidth="1"/>
    <col min="10001" max="10248" width="11.453125" style="3" customWidth="1"/>
    <col min="10249" max="10249" width="2.81640625" style="3" customWidth="1"/>
    <col min="10250" max="10250" width="15" style="3" customWidth="1"/>
    <col min="10251" max="10251" width="10.1796875" style="3" customWidth="1"/>
    <col min="10252" max="10252" width="19.81640625" style="3" customWidth="1"/>
    <col min="10253" max="10253" width="18" style="3" customWidth="1"/>
    <col min="10254" max="10254" width="17.81640625" style="3" customWidth="1"/>
    <col min="10255" max="10255" width="13.1796875" style="3" customWidth="1"/>
    <col min="10256" max="10256" width="9.81640625" style="3" customWidth="1"/>
    <col min="10257" max="10504" width="11.453125" style="3" customWidth="1"/>
    <col min="10505" max="10505" width="2.81640625" style="3" customWidth="1"/>
    <col min="10506" max="10506" width="15" style="3" customWidth="1"/>
    <col min="10507" max="10507" width="10.1796875" style="3" customWidth="1"/>
    <col min="10508" max="10508" width="19.81640625" style="3" customWidth="1"/>
    <col min="10509" max="10509" width="18" style="3" customWidth="1"/>
    <col min="10510" max="10510" width="17.81640625" style="3" customWidth="1"/>
    <col min="10511" max="10511" width="13.1796875" style="3" customWidth="1"/>
    <col min="10512" max="10512" width="9.81640625" style="3" customWidth="1"/>
    <col min="10513" max="10760" width="11.453125" style="3" customWidth="1"/>
    <col min="10761" max="10761" width="2.81640625" style="3" customWidth="1"/>
    <col min="10762" max="10762" width="15" style="3" customWidth="1"/>
    <col min="10763" max="10763" width="10.1796875" style="3" customWidth="1"/>
    <col min="10764" max="10764" width="19.81640625" style="3" customWidth="1"/>
    <col min="10765" max="10765" width="18" style="3" customWidth="1"/>
    <col min="10766" max="10766" width="17.81640625" style="3" customWidth="1"/>
    <col min="10767" max="10767" width="13.1796875" style="3" customWidth="1"/>
    <col min="10768" max="10768" width="9.81640625" style="3" customWidth="1"/>
    <col min="10769" max="11016" width="11.453125" style="3" customWidth="1"/>
    <col min="11017" max="11017" width="2.81640625" style="3" customWidth="1"/>
    <col min="11018" max="11018" width="15" style="3" customWidth="1"/>
    <col min="11019" max="11019" width="10.1796875" style="3" customWidth="1"/>
    <col min="11020" max="11020" width="19.81640625" style="3" customWidth="1"/>
    <col min="11021" max="11021" width="18" style="3" customWidth="1"/>
    <col min="11022" max="11022" width="17.81640625" style="3" customWidth="1"/>
    <col min="11023" max="11023" width="13.1796875" style="3" customWidth="1"/>
    <col min="11024" max="11024" width="9.81640625" style="3" customWidth="1"/>
    <col min="11025" max="11272" width="11.453125" style="3" customWidth="1"/>
    <col min="11273" max="11273" width="2.81640625" style="3" customWidth="1"/>
    <col min="11274" max="11274" width="15" style="3" customWidth="1"/>
    <col min="11275" max="11275" width="10.1796875" style="3" customWidth="1"/>
    <col min="11276" max="11276" width="19.81640625" style="3" customWidth="1"/>
    <col min="11277" max="11277" width="18" style="3" customWidth="1"/>
    <col min="11278" max="11278" width="17.81640625" style="3" customWidth="1"/>
    <col min="11279" max="11279" width="13.1796875" style="3" customWidth="1"/>
    <col min="11280" max="11280" width="9.81640625" style="3" customWidth="1"/>
    <col min="11281" max="11528" width="11.453125" style="3" customWidth="1"/>
    <col min="11529" max="11529" width="2.81640625" style="3" customWidth="1"/>
    <col min="11530" max="11530" width="15" style="3" customWidth="1"/>
    <col min="11531" max="11531" width="10.1796875" style="3" customWidth="1"/>
    <col min="11532" max="11532" width="19.81640625" style="3" customWidth="1"/>
    <col min="11533" max="11533" width="18" style="3" customWidth="1"/>
    <col min="11534" max="11534" width="17.81640625" style="3" customWidth="1"/>
    <col min="11535" max="11535" width="13.1796875" style="3" customWidth="1"/>
    <col min="11536" max="11536" width="9.81640625" style="3" customWidth="1"/>
    <col min="11537" max="11784" width="11.453125" style="3" customWidth="1"/>
    <col min="11785" max="11785" width="2.81640625" style="3" customWidth="1"/>
    <col min="11786" max="11786" width="15" style="3" customWidth="1"/>
    <col min="11787" max="11787" width="10.1796875" style="3" customWidth="1"/>
    <col min="11788" max="11788" width="19.81640625" style="3" customWidth="1"/>
    <col min="11789" max="11789" width="18" style="3" customWidth="1"/>
    <col min="11790" max="11790" width="17.81640625" style="3" customWidth="1"/>
    <col min="11791" max="11791" width="13.1796875" style="3" customWidth="1"/>
    <col min="11792" max="11792" width="9.81640625" style="3" customWidth="1"/>
    <col min="11793" max="12040" width="11.453125" style="3" customWidth="1"/>
    <col min="12041" max="12041" width="2.81640625" style="3" customWidth="1"/>
    <col min="12042" max="12042" width="15" style="3" customWidth="1"/>
    <col min="12043" max="12043" width="10.1796875" style="3" customWidth="1"/>
    <col min="12044" max="12044" width="19.81640625" style="3" customWidth="1"/>
    <col min="12045" max="12045" width="18" style="3" customWidth="1"/>
    <col min="12046" max="12046" width="17.81640625" style="3" customWidth="1"/>
    <col min="12047" max="12047" width="13.1796875" style="3" customWidth="1"/>
    <col min="12048" max="12048" width="9.81640625" style="3" customWidth="1"/>
    <col min="12049" max="12296" width="11.453125" style="3" customWidth="1"/>
    <col min="12297" max="12297" width="2.81640625" style="3" customWidth="1"/>
    <col min="12298" max="12298" width="15" style="3" customWidth="1"/>
    <col min="12299" max="12299" width="10.1796875" style="3" customWidth="1"/>
    <col min="12300" max="12300" width="19.81640625" style="3" customWidth="1"/>
    <col min="12301" max="12301" width="18" style="3" customWidth="1"/>
    <col min="12302" max="12302" width="17.81640625" style="3" customWidth="1"/>
    <col min="12303" max="12303" width="13.1796875" style="3" customWidth="1"/>
    <col min="12304" max="12304" width="9.81640625" style="3" customWidth="1"/>
    <col min="12305" max="12552" width="11.453125" style="3" customWidth="1"/>
    <col min="12553" max="12553" width="2.81640625" style="3" customWidth="1"/>
    <col min="12554" max="12554" width="15" style="3" customWidth="1"/>
    <col min="12555" max="12555" width="10.1796875" style="3" customWidth="1"/>
    <col min="12556" max="12556" width="19.81640625" style="3" customWidth="1"/>
    <col min="12557" max="12557" width="18" style="3" customWidth="1"/>
    <col min="12558" max="12558" width="17.81640625" style="3" customWidth="1"/>
    <col min="12559" max="12559" width="13.1796875" style="3" customWidth="1"/>
    <col min="12560" max="12560" width="9.81640625" style="3" customWidth="1"/>
    <col min="12561" max="12808" width="11.453125" style="3" customWidth="1"/>
    <col min="12809" max="12809" width="2.81640625" style="3" customWidth="1"/>
    <col min="12810" max="12810" width="15" style="3" customWidth="1"/>
    <col min="12811" max="12811" width="10.1796875" style="3" customWidth="1"/>
    <col min="12812" max="12812" width="19.81640625" style="3" customWidth="1"/>
    <col min="12813" max="12813" width="18" style="3" customWidth="1"/>
    <col min="12814" max="12814" width="17.81640625" style="3" customWidth="1"/>
    <col min="12815" max="12815" width="13.1796875" style="3" customWidth="1"/>
    <col min="12816" max="12816" width="9.81640625" style="3" customWidth="1"/>
    <col min="12817" max="13064" width="11.453125" style="3" customWidth="1"/>
    <col min="13065" max="13065" width="2.81640625" style="3" customWidth="1"/>
    <col min="13066" max="13066" width="15" style="3" customWidth="1"/>
    <col min="13067" max="13067" width="10.1796875" style="3" customWidth="1"/>
    <col min="13068" max="13068" width="19.81640625" style="3" customWidth="1"/>
    <col min="13069" max="13069" width="18" style="3" customWidth="1"/>
    <col min="13070" max="13070" width="17.81640625" style="3" customWidth="1"/>
    <col min="13071" max="13071" width="13.1796875" style="3" customWidth="1"/>
    <col min="13072" max="13072" width="9.81640625" style="3" customWidth="1"/>
    <col min="13073" max="13320" width="11.453125" style="3" customWidth="1"/>
    <col min="13321" max="13321" width="2.81640625" style="3" customWidth="1"/>
    <col min="13322" max="13322" width="15" style="3" customWidth="1"/>
    <col min="13323" max="13323" width="10.1796875" style="3" customWidth="1"/>
    <col min="13324" max="13324" width="19.81640625" style="3" customWidth="1"/>
    <col min="13325" max="13325" width="18" style="3" customWidth="1"/>
    <col min="13326" max="13326" width="17.81640625" style="3" customWidth="1"/>
    <col min="13327" max="13327" width="13.1796875" style="3" customWidth="1"/>
    <col min="13328" max="13328" width="9.81640625" style="3" customWidth="1"/>
    <col min="13329" max="13576" width="11.453125" style="3" customWidth="1"/>
    <col min="13577" max="13577" width="2.81640625" style="3" customWidth="1"/>
    <col min="13578" max="13578" width="15" style="3" customWidth="1"/>
    <col min="13579" max="13579" width="10.1796875" style="3" customWidth="1"/>
    <col min="13580" max="13580" width="19.81640625" style="3" customWidth="1"/>
    <col min="13581" max="13581" width="18" style="3" customWidth="1"/>
    <col min="13582" max="13582" width="17.81640625" style="3" customWidth="1"/>
    <col min="13583" max="13583" width="13.1796875" style="3" customWidth="1"/>
    <col min="13584" max="13584" width="9.81640625" style="3" customWidth="1"/>
    <col min="13585" max="13832" width="11.453125" style="3" customWidth="1"/>
    <col min="13833" max="13833" width="2.81640625" style="3" customWidth="1"/>
    <col min="13834" max="13834" width="15" style="3" customWidth="1"/>
    <col min="13835" max="13835" width="10.1796875" style="3" customWidth="1"/>
    <col min="13836" max="13836" width="19.81640625" style="3" customWidth="1"/>
    <col min="13837" max="13837" width="18" style="3" customWidth="1"/>
    <col min="13838" max="13838" width="17.81640625" style="3" customWidth="1"/>
    <col min="13839" max="13839" width="13.1796875" style="3" customWidth="1"/>
    <col min="13840" max="13840" width="9.81640625" style="3" customWidth="1"/>
    <col min="13841" max="14088" width="11.453125" style="3" customWidth="1"/>
    <col min="14089" max="14089" width="2.81640625" style="3" customWidth="1"/>
    <col min="14090" max="14090" width="15" style="3" customWidth="1"/>
    <col min="14091" max="14091" width="10.1796875" style="3" customWidth="1"/>
    <col min="14092" max="14092" width="19.81640625" style="3" customWidth="1"/>
    <col min="14093" max="14093" width="18" style="3" customWidth="1"/>
    <col min="14094" max="14094" width="17.81640625" style="3" customWidth="1"/>
    <col min="14095" max="14095" width="13.1796875" style="3" customWidth="1"/>
    <col min="14096" max="14096" width="9.81640625" style="3" customWidth="1"/>
    <col min="14097" max="14344" width="11.453125" style="3" customWidth="1"/>
    <col min="14345" max="14345" width="2.81640625" style="3" customWidth="1"/>
    <col min="14346" max="14346" width="15" style="3" customWidth="1"/>
    <col min="14347" max="14347" width="10.1796875" style="3" customWidth="1"/>
    <col min="14348" max="14348" width="19.81640625" style="3" customWidth="1"/>
    <col min="14349" max="14349" width="18" style="3" customWidth="1"/>
    <col min="14350" max="14350" width="17.81640625" style="3" customWidth="1"/>
    <col min="14351" max="14351" width="13.1796875" style="3" customWidth="1"/>
    <col min="14352" max="14352" width="9.81640625" style="3" customWidth="1"/>
    <col min="14353" max="14600" width="11.453125" style="3" customWidth="1"/>
    <col min="14601" max="14601" width="2.81640625" style="3" customWidth="1"/>
    <col min="14602" max="14602" width="15" style="3" customWidth="1"/>
    <col min="14603" max="14603" width="10.1796875" style="3" customWidth="1"/>
    <col min="14604" max="14604" width="19.81640625" style="3" customWidth="1"/>
    <col min="14605" max="14605" width="18" style="3" customWidth="1"/>
    <col min="14606" max="14606" width="17.81640625" style="3" customWidth="1"/>
    <col min="14607" max="14607" width="13.1796875" style="3" customWidth="1"/>
    <col min="14608" max="14608" width="9.81640625" style="3" customWidth="1"/>
    <col min="14609" max="14856" width="11.453125" style="3" customWidth="1"/>
    <col min="14857" max="14857" width="2.81640625" style="3" customWidth="1"/>
    <col min="14858" max="14858" width="15" style="3" customWidth="1"/>
    <col min="14859" max="14859" width="10.1796875" style="3" customWidth="1"/>
    <col min="14860" max="14860" width="19.81640625" style="3" customWidth="1"/>
    <col min="14861" max="14861" width="18" style="3" customWidth="1"/>
    <col min="14862" max="14862" width="17.81640625" style="3" customWidth="1"/>
    <col min="14863" max="14863" width="13.1796875" style="3" customWidth="1"/>
    <col min="14864" max="14864" width="9.81640625" style="3" customWidth="1"/>
    <col min="14865" max="15112" width="11.453125" style="3" customWidth="1"/>
    <col min="15113" max="15113" width="2.81640625" style="3" customWidth="1"/>
    <col min="15114" max="15114" width="15" style="3" customWidth="1"/>
    <col min="15115" max="15115" width="10.1796875" style="3" customWidth="1"/>
    <col min="15116" max="15116" width="19.81640625" style="3" customWidth="1"/>
    <col min="15117" max="15117" width="18" style="3" customWidth="1"/>
    <col min="15118" max="15118" width="17.81640625" style="3" customWidth="1"/>
    <col min="15119" max="15119" width="13.1796875" style="3" customWidth="1"/>
    <col min="15120" max="15120" width="9.81640625" style="3" customWidth="1"/>
    <col min="15121" max="15368" width="11.453125" style="3" customWidth="1"/>
    <col min="15369" max="15369" width="2.81640625" style="3" customWidth="1"/>
    <col min="15370" max="15370" width="15" style="3" customWidth="1"/>
    <col min="15371" max="15371" width="10.1796875" style="3" customWidth="1"/>
    <col min="15372" max="15372" width="19.81640625" style="3" customWidth="1"/>
    <col min="15373" max="15373" width="18" style="3" customWidth="1"/>
    <col min="15374" max="15374" width="17.81640625" style="3" customWidth="1"/>
    <col min="15375" max="15375" width="13.1796875" style="3" customWidth="1"/>
    <col min="15376" max="15376" width="9.81640625" style="3" customWidth="1"/>
    <col min="15377" max="15624" width="11.453125" style="3" customWidth="1"/>
    <col min="15625" max="15625" width="2.81640625" style="3" customWidth="1"/>
    <col min="15626" max="15626" width="15" style="3" customWidth="1"/>
    <col min="15627" max="15627" width="10.1796875" style="3" customWidth="1"/>
    <col min="15628" max="15628" width="19.81640625" style="3" customWidth="1"/>
    <col min="15629" max="15629" width="18" style="3" customWidth="1"/>
    <col min="15630" max="15630" width="17.81640625" style="3" customWidth="1"/>
    <col min="15631" max="15631" width="13.1796875" style="3" customWidth="1"/>
    <col min="15632" max="15632" width="9.81640625" style="3" customWidth="1"/>
    <col min="15633" max="15880" width="11.453125" style="3" customWidth="1"/>
    <col min="15881" max="15881" width="2.81640625" style="3" customWidth="1"/>
    <col min="15882" max="15882" width="15" style="3" customWidth="1"/>
    <col min="15883" max="15883" width="10.1796875" style="3" customWidth="1"/>
    <col min="15884" max="15884" width="19.81640625" style="3" customWidth="1"/>
    <col min="15885" max="15885" width="18" style="3" customWidth="1"/>
    <col min="15886" max="15886" width="17.81640625" style="3" customWidth="1"/>
    <col min="15887" max="15887" width="13.1796875" style="3" customWidth="1"/>
    <col min="15888" max="15888" width="9.81640625" style="3" customWidth="1"/>
    <col min="15889" max="16136" width="11.453125" style="3" customWidth="1"/>
    <col min="16137" max="16137" width="2.81640625" style="3" customWidth="1"/>
    <col min="16138" max="16138" width="15" style="3" customWidth="1"/>
    <col min="16139" max="16139" width="10.1796875" style="3" customWidth="1"/>
    <col min="16140" max="16140" width="19.81640625" style="3" customWidth="1"/>
    <col min="16141" max="16141" width="18" style="3" customWidth="1"/>
    <col min="16142" max="16142" width="17.81640625" style="3" customWidth="1"/>
    <col min="16143" max="16143" width="13.1796875" style="3" customWidth="1"/>
    <col min="16144" max="16144" width="9.81640625" style="3" customWidth="1"/>
    <col min="16145" max="16384" width="11.453125" style="3" customWidth="1"/>
  </cols>
  <sheetData>
    <row r="1" spans="1:32">
      <c r="A1" s="134"/>
      <c r="B1" s="135"/>
      <c r="C1" s="84"/>
      <c r="D1" s="83"/>
      <c r="E1" s="83"/>
      <c r="F1" s="83"/>
      <c r="G1" s="83"/>
      <c r="H1" s="83"/>
    </row>
    <row r="2" spans="1:32" ht="18">
      <c r="B2" s="687" t="s">
        <v>274</v>
      </c>
      <c r="C2" s="687"/>
      <c r="D2" s="688" t="str">
        <f>UPPER(REPORTS!$AB$1)</f>
        <v>NATURAL FLOW</v>
      </c>
      <c r="E2" s="688"/>
      <c r="F2" s="688"/>
      <c r="G2" s="688"/>
      <c r="H2" s="688"/>
      <c r="I2" s="688"/>
      <c r="J2" s="688"/>
      <c r="K2" s="688"/>
      <c r="L2" s="688"/>
      <c r="M2" s="136"/>
      <c r="N2" s="136"/>
      <c r="O2" s="136"/>
      <c r="P2" s="136"/>
      <c r="Q2" s="136"/>
      <c r="R2" s="136"/>
    </row>
    <row r="3" spans="1:32" ht="18">
      <c r="B3" s="687" t="s">
        <v>367</v>
      </c>
      <c r="C3" s="687"/>
      <c r="D3" s="689" t="s">
        <v>368</v>
      </c>
      <c r="E3" s="688"/>
      <c r="F3" s="688"/>
      <c r="G3" s="688"/>
      <c r="H3" s="688"/>
      <c r="I3" s="688"/>
      <c r="J3" s="688"/>
      <c r="K3" s="688"/>
      <c r="L3" s="688"/>
      <c r="M3" s="136"/>
      <c r="N3" s="136"/>
      <c r="O3" s="136"/>
      <c r="P3" s="136"/>
      <c r="Q3" s="136"/>
      <c r="R3" s="136"/>
    </row>
    <row r="5" spans="1:32" ht="15.75" customHeight="1">
      <c r="B5" s="556" t="s">
        <v>1</v>
      </c>
      <c r="C5" s="556"/>
      <c r="D5" s="556"/>
      <c r="E5" s="484" t="str">
        <f>REPORTS!E7</f>
        <v>Natural Flow (Nat_F)</v>
      </c>
      <c r="F5" s="489"/>
      <c r="G5" s="489"/>
      <c r="H5" s="489"/>
      <c r="I5" s="489"/>
      <c r="J5" s="95"/>
      <c r="K5" s="95"/>
      <c r="L5" s="95"/>
      <c r="M5" s="95"/>
      <c r="N5" s="95"/>
      <c r="O5" s="95"/>
      <c r="P5" s="95"/>
      <c r="Q5" s="95"/>
      <c r="R5" s="95"/>
    </row>
    <row r="6" spans="1:32" ht="15.75" customHeight="1">
      <c r="B6" s="556" t="s">
        <v>2</v>
      </c>
      <c r="C6" s="556"/>
      <c r="D6" s="556"/>
      <c r="E6" s="484" t="str">
        <f>REPORTS!E8</f>
        <v>Altered Flow (Alt_F)</v>
      </c>
      <c r="F6" s="489"/>
      <c r="G6" s="489"/>
      <c r="H6" s="489"/>
      <c r="I6" s="489"/>
      <c r="J6" s="95"/>
      <c r="K6" s="95"/>
      <c r="L6" s="95"/>
      <c r="M6" s="95"/>
      <c r="N6" s="95"/>
      <c r="O6" s="95"/>
      <c r="P6" s="95"/>
      <c r="Q6" s="95"/>
      <c r="R6" s="95"/>
    </row>
    <row r="7" spans="1:32" ht="13">
      <c r="B7" s="556" t="s">
        <v>3</v>
      </c>
      <c r="C7" s="556"/>
      <c r="D7" s="556"/>
      <c r="E7" s="484" t="s">
        <v>4</v>
      </c>
      <c r="F7" s="489"/>
      <c r="G7" s="489"/>
      <c r="H7" s="489"/>
      <c r="I7" s="489"/>
      <c r="J7" s="95"/>
      <c r="K7" s="95"/>
      <c r="L7" s="95"/>
      <c r="M7" s="95"/>
      <c r="N7" s="95"/>
      <c r="O7" s="95"/>
      <c r="P7" s="95"/>
      <c r="Q7" s="95"/>
      <c r="R7" s="95"/>
    </row>
    <row r="8" spans="1:32" ht="13">
      <c r="B8" s="482"/>
      <c r="C8" s="482"/>
      <c r="D8" s="482"/>
      <c r="E8" s="477"/>
      <c r="F8" s="484"/>
      <c r="G8" s="484"/>
      <c r="H8" s="484"/>
      <c r="I8" s="484"/>
      <c r="J8" s="95"/>
      <c r="K8" s="95"/>
      <c r="L8" s="95"/>
      <c r="M8" s="95"/>
      <c r="N8" s="95"/>
      <c r="O8" s="95"/>
      <c r="P8" s="95"/>
      <c r="Q8" s="95"/>
      <c r="R8" s="95"/>
    </row>
    <row r="9" spans="1:32" ht="13">
      <c r="B9" s="482"/>
      <c r="C9" s="482"/>
      <c r="D9" s="482"/>
      <c r="E9" s="484"/>
      <c r="F9" s="484"/>
      <c r="G9" s="484"/>
      <c r="H9" s="484"/>
      <c r="I9" s="484"/>
      <c r="J9" s="95"/>
      <c r="K9" s="95"/>
      <c r="L9" s="95"/>
      <c r="M9" s="95"/>
      <c r="N9" s="95"/>
      <c r="O9" s="95"/>
      <c r="P9" s="95"/>
      <c r="Q9" s="95"/>
      <c r="R9" s="95"/>
    </row>
    <row r="12" spans="1:32" ht="18">
      <c r="B12" s="167"/>
      <c r="C12" s="167"/>
      <c r="D12" s="798" t="s">
        <v>156</v>
      </c>
      <c r="E12" s="798"/>
      <c r="F12" s="798"/>
      <c r="G12" s="798"/>
      <c r="H12" s="798"/>
      <c r="I12" s="798"/>
      <c r="J12" s="798"/>
      <c r="K12" s="798"/>
      <c r="L12" s="798"/>
      <c r="M12" s="798"/>
      <c r="N12" s="798"/>
      <c r="O12" s="798"/>
      <c r="P12" s="798"/>
    </row>
    <row r="13" spans="1:32" ht="14">
      <c r="S13" s="13"/>
      <c r="T13" s="13"/>
    </row>
    <row r="14" spans="1:32" ht="15.5">
      <c r="C14" s="17"/>
      <c r="D14" s="797" t="str">
        <f>'Informe nº6c'!$E$42</f>
        <v>MONTHLY RATED FLOW CURVES. NATURAL FLOW</v>
      </c>
      <c r="E14" s="797"/>
      <c r="F14" s="797"/>
      <c r="G14" s="797"/>
      <c r="H14" s="797"/>
      <c r="I14" s="797"/>
      <c r="J14" s="797"/>
      <c r="K14" s="797"/>
      <c r="L14" s="797"/>
      <c r="M14" s="797"/>
      <c r="N14" s="797"/>
      <c r="O14" s="797"/>
      <c r="P14" s="797"/>
      <c r="S14" s="299"/>
      <c r="T14" s="300"/>
      <c r="U14" s="300"/>
      <c r="V14" s="300"/>
      <c r="W14" s="300"/>
      <c r="X14" s="300"/>
      <c r="Y14" s="300"/>
      <c r="Z14" s="300"/>
      <c r="AA14" s="300"/>
      <c r="AB14" s="300"/>
      <c r="AC14" s="300"/>
      <c r="AD14" s="300"/>
      <c r="AE14" s="300"/>
      <c r="AF14" s="48"/>
    </row>
    <row r="15" spans="1:32" ht="15">
      <c r="D15" s="600" t="s">
        <v>369</v>
      </c>
      <c r="E15" s="600"/>
      <c r="F15" s="600"/>
      <c r="G15" s="600"/>
      <c r="H15" s="600"/>
      <c r="I15" s="600"/>
      <c r="J15" s="600"/>
      <c r="K15" s="600"/>
      <c r="L15" s="600"/>
      <c r="M15" s="600"/>
      <c r="N15" s="600"/>
      <c r="O15" s="600"/>
      <c r="P15" s="600"/>
      <c r="S15" s="48"/>
      <c r="T15" s="301"/>
      <c r="U15" s="301"/>
      <c r="V15" s="301"/>
      <c r="W15" s="301"/>
      <c r="X15" s="301"/>
      <c r="Y15" s="301"/>
      <c r="Z15" s="301"/>
      <c r="AA15" s="301"/>
      <c r="AB15" s="301"/>
      <c r="AC15" s="301"/>
      <c r="AD15" s="301"/>
      <c r="AE15" s="301"/>
      <c r="AF15" s="48"/>
    </row>
    <row r="16" spans="1:32">
      <c r="D16" s="509" t="s">
        <v>359</v>
      </c>
      <c r="E16" s="803" t="s">
        <v>370</v>
      </c>
      <c r="F16" s="805" t="s">
        <v>371</v>
      </c>
      <c r="G16" s="805" t="s">
        <v>372</v>
      </c>
      <c r="H16" s="805" t="s">
        <v>373</v>
      </c>
      <c r="I16" s="805" t="s">
        <v>374</v>
      </c>
      <c r="J16" s="805" t="s">
        <v>375</v>
      </c>
      <c r="K16" s="805" t="s">
        <v>376</v>
      </c>
      <c r="L16" s="805" t="s">
        <v>377</v>
      </c>
      <c r="M16" s="805" t="s">
        <v>378</v>
      </c>
      <c r="N16" s="805" t="s">
        <v>379</v>
      </c>
      <c r="O16" s="805" t="s">
        <v>380</v>
      </c>
      <c r="P16" s="807" t="s">
        <v>381</v>
      </c>
      <c r="S16" s="302"/>
      <c r="T16" s="303"/>
      <c r="U16" s="48"/>
      <c r="V16" s="48"/>
      <c r="W16" s="48"/>
      <c r="X16" s="48"/>
      <c r="Y16" s="48"/>
      <c r="Z16" s="48"/>
      <c r="AA16" s="48"/>
      <c r="AB16" s="48"/>
      <c r="AC16" s="48"/>
      <c r="AD16" s="48"/>
      <c r="AE16" s="48"/>
      <c r="AF16" s="48"/>
    </row>
    <row r="17" spans="4:32">
      <c r="D17" s="510" t="s">
        <v>382</v>
      </c>
      <c r="E17" s="804"/>
      <c r="F17" s="806"/>
      <c r="G17" s="806"/>
      <c r="H17" s="806"/>
      <c r="I17" s="806"/>
      <c r="J17" s="806"/>
      <c r="K17" s="806"/>
      <c r="L17" s="806"/>
      <c r="M17" s="806"/>
      <c r="N17" s="806"/>
      <c r="O17" s="806"/>
      <c r="P17" s="808"/>
      <c r="S17" s="304" t="s">
        <v>383</v>
      </c>
      <c r="T17" s="305" t="s">
        <v>384</v>
      </c>
      <c r="U17" s="305" t="s">
        <v>385</v>
      </c>
      <c r="V17" s="305" t="s">
        <v>386</v>
      </c>
      <c r="W17" s="305" t="s">
        <v>387</v>
      </c>
      <c r="X17" s="305" t="s">
        <v>388</v>
      </c>
      <c r="Y17" s="305" t="s">
        <v>389</v>
      </c>
      <c r="Z17" s="305" t="s">
        <v>390</v>
      </c>
      <c r="AA17" s="305" t="s">
        <v>391</v>
      </c>
      <c r="AB17" s="305" t="s">
        <v>392</v>
      </c>
      <c r="AC17" s="305" t="s">
        <v>393</v>
      </c>
      <c r="AD17" s="305" t="s">
        <v>394</v>
      </c>
      <c r="AE17" s="305" t="s">
        <v>395</v>
      </c>
      <c r="AF17" s="48"/>
    </row>
    <row r="18" spans="4:32" ht="13">
      <c r="D18" s="168">
        <v>5</v>
      </c>
      <c r="E18" s="169">
        <f>_xlfn.PERCENTILE.EXC(T$18:T$48,1-($D18/100))</f>
        <v>2.1101618937083653</v>
      </c>
      <c r="F18" s="170">
        <f t="shared" ref="F18:P33" si="0">_xlfn.PERCENTILE.EXC(U$18:U$48,1-($D18/100))</f>
        <v>4.6877475942884175</v>
      </c>
      <c r="G18" s="170">
        <f t="shared" si="0"/>
        <v>7.6451619216373992</v>
      </c>
      <c r="H18" s="170">
        <f t="shared" si="0"/>
        <v>7.1677047457013812</v>
      </c>
      <c r="I18" s="170">
        <f t="shared" si="0"/>
        <v>6.0750904855274017</v>
      </c>
      <c r="J18" s="170">
        <f t="shared" si="0"/>
        <v>5.5898761840093707</v>
      </c>
      <c r="K18" s="170">
        <f t="shared" si="0"/>
        <v>6.4911809637433002</v>
      </c>
      <c r="L18" s="170">
        <f t="shared" si="0"/>
        <v>6.7139238175891691</v>
      </c>
      <c r="M18" s="170">
        <f t="shared" si="0"/>
        <v>3.926611919062478</v>
      </c>
      <c r="N18" s="170">
        <f t="shared" si="0"/>
        <v>0.73829238187699087</v>
      </c>
      <c r="O18" s="170">
        <f t="shared" si="0"/>
        <v>0.24842571516831713</v>
      </c>
      <c r="P18" s="171">
        <f t="shared" si="0"/>
        <v>0.5596795236425739</v>
      </c>
      <c r="S18" s="306">
        <v>1</v>
      </c>
      <c r="T18" s="307">
        <v>2.1966190167835782</v>
      </c>
      <c r="U18" s="307">
        <v>4.8130951949528296</v>
      </c>
      <c r="V18" s="307">
        <v>7.7746190002986379</v>
      </c>
      <c r="W18" s="307">
        <v>7.2891904285975873</v>
      </c>
      <c r="X18" s="307">
        <v>6.1740476290384922</v>
      </c>
      <c r="Y18" s="307">
        <v>5.6889047849745982</v>
      </c>
      <c r="Z18" s="307">
        <v>6.5881904874529162</v>
      </c>
      <c r="AA18" s="307">
        <v>6.7999523934863859</v>
      </c>
      <c r="AB18" s="307">
        <v>4.052142858505249</v>
      </c>
      <c r="AC18" s="307">
        <v>0.75859523954845631</v>
      </c>
      <c r="AD18" s="307">
        <v>0.25235714302176521</v>
      </c>
      <c r="AE18" s="307">
        <v>0.59877143019721624</v>
      </c>
      <c r="AF18" s="48"/>
    </row>
    <row r="19" spans="4:32" ht="13">
      <c r="D19" s="172">
        <v>10</v>
      </c>
      <c r="E19" s="173">
        <f>_xlfn.PERCENTILE.EXC(T$18:T$48,1-($D19/100))</f>
        <v>1.94207238810403</v>
      </c>
      <c r="F19" s="154">
        <f t="shared" si="0"/>
        <v>4.3405380759920389</v>
      </c>
      <c r="G19" s="154">
        <f t="shared" si="0"/>
        <v>7.2930285726274775</v>
      </c>
      <c r="H19" s="154">
        <f t="shared" si="0"/>
        <v>6.8261999811444971</v>
      </c>
      <c r="I19" s="154">
        <f t="shared" si="0"/>
        <v>5.8310999961126422</v>
      </c>
      <c r="J19" s="154">
        <f t="shared" si="0"/>
        <v>5.3337143284933903</v>
      </c>
      <c r="K19" s="154">
        <f t="shared" si="0"/>
        <v>6.2202428533917393</v>
      </c>
      <c r="L19" s="154">
        <f t="shared" si="0"/>
        <v>6.483704744066511</v>
      </c>
      <c r="M19" s="154">
        <f t="shared" si="0"/>
        <v>3.5849619002569297</v>
      </c>
      <c r="N19" s="154">
        <f t="shared" si="0"/>
        <v>0.68369714731261855</v>
      </c>
      <c r="O19" s="154">
        <f t="shared" si="0"/>
        <v>0.23702762027581536</v>
      </c>
      <c r="P19" s="174">
        <f t="shared" si="0"/>
        <v>0.48073476006587357</v>
      </c>
      <c r="S19" s="306">
        <v>2</v>
      </c>
      <c r="T19" s="307">
        <v>2.0525238116582236</v>
      </c>
      <c r="U19" s="307">
        <v>4.5851904664720813</v>
      </c>
      <c r="V19" s="307">
        <v>7.5588572025299072</v>
      </c>
      <c r="W19" s="307">
        <v>7.0867142904372447</v>
      </c>
      <c r="X19" s="307">
        <v>5.9541428656805149</v>
      </c>
      <c r="Y19" s="307">
        <v>5.5238571166992188</v>
      </c>
      <c r="Z19" s="307">
        <v>6.4118095352536146</v>
      </c>
      <c r="AA19" s="307">
        <v>6.6565714336576915</v>
      </c>
      <c r="AB19" s="307">
        <v>3.82390478679112</v>
      </c>
      <c r="AC19" s="307">
        <v>0.72475714342934738</v>
      </c>
      <c r="AD19" s="307">
        <v>0.24580476326601844</v>
      </c>
      <c r="AE19" s="307">
        <v>0.52769523646150307</v>
      </c>
      <c r="AF19" s="48"/>
    </row>
    <row r="20" spans="4:32" ht="13">
      <c r="D20" s="172">
        <v>15</v>
      </c>
      <c r="E20" s="173">
        <f t="shared" ref="E20:P35" si="1">_xlfn.PERCENTILE.EXC(T$18:T$48,1-($D20/100))</f>
        <v>1.8017028547468641</v>
      </c>
      <c r="F20" s="154">
        <f t="shared" si="0"/>
        <v>4.065549992095856</v>
      </c>
      <c r="G20" s="154">
        <f t="shared" si="0"/>
        <v>6.9550856953575497</v>
      </c>
      <c r="H20" s="154">
        <f t="shared" si="0"/>
        <v>6.6003714107331772</v>
      </c>
      <c r="I20" s="154">
        <f t="shared" si="0"/>
        <v>5.619569043886095</v>
      </c>
      <c r="J20" s="154">
        <f t="shared" si="0"/>
        <v>5.1118095284416549</v>
      </c>
      <c r="K20" s="154">
        <f t="shared" si="0"/>
        <v>6.0155690670013424</v>
      </c>
      <c r="L20" s="154">
        <f t="shared" si="0"/>
        <v>6.2480476424807589</v>
      </c>
      <c r="M20" s="154">
        <f t="shared" si="0"/>
        <v>3.3211690562111986</v>
      </c>
      <c r="N20" s="154">
        <f t="shared" si="0"/>
        <v>0.6402419042019617</v>
      </c>
      <c r="O20" s="154">
        <f t="shared" si="0"/>
        <v>0.22813238203525543</v>
      </c>
      <c r="P20" s="174">
        <f t="shared" si="0"/>
        <v>0.39870095160745422</v>
      </c>
      <c r="S20" s="306">
        <v>3</v>
      </c>
      <c r="T20" s="307">
        <v>1.960333335967291</v>
      </c>
      <c r="U20" s="307">
        <v>4.3599047433762319</v>
      </c>
      <c r="V20" s="307">
        <v>7.3459523632412873</v>
      </c>
      <c r="W20" s="307">
        <v>6.8601904596601218</v>
      </c>
      <c r="X20" s="307">
        <v>5.8174285661606557</v>
      </c>
      <c r="Y20" s="307">
        <v>5.3542857624235607</v>
      </c>
      <c r="Z20" s="307">
        <v>6.2335714272090375</v>
      </c>
      <c r="AA20" s="307">
        <v>6.5075714020502007</v>
      </c>
      <c r="AB20" s="307">
        <v>3.6021904718308226</v>
      </c>
      <c r="AC20" s="307">
        <v>0.68932857683726734</v>
      </c>
      <c r="AD20" s="307">
        <v>0.23808571554365615</v>
      </c>
      <c r="AE20" s="307">
        <v>0.48589047434784116</v>
      </c>
      <c r="AF20" s="48"/>
    </row>
    <row r="21" spans="4:32" ht="13">
      <c r="D21" s="172">
        <v>20</v>
      </c>
      <c r="E21" s="173">
        <f t="shared" si="1"/>
        <v>1.6730876099495664</v>
      </c>
      <c r="F21" s="154">
        <f t="shared" si="0"/>
        <v>3.8862380765733269</v>
      </c>
      <c r="G21" s="154">
        <f t="shared" si="0"/>
        <v>6.7596666381472623</v>
      </c>
      <c r="H21" s="154">
        <f t="shared" si="0"/>
        <v>6.427495247977121</v>
      </c>
      <c r="I21" s="154">
        <f t="shared" si="0"/>
        <v>5.5137523878188368</v>
      </c>
      <c r="J21" s="154">
        <f t="shared" si="0"/>
        <v>4.9668761821020215</v>
      </c>
      <c r="K21" s="154">
        <f t="shared" si="0"/>
        <v>5.8469809305100213</v>
      </c>
      <c r="L21" s="154">
        <f t="shared" si="0"/>
        <v>6.0276666891007196</v>
      </c>
      <c r="M21" s="154">
        <f t="shared" si="0"/>
        <v>3.0773523762112571</v>
      </c>
      <c r="N21" s="154">
        <f t="shared" si="0"/>
        <v>0.60010285774866734</v>
      </c>
      <c r="O21" s="154">
        <f t="shared" si="0"/>
        <v>0.22050571470033556</v>
      </c>
      <c r="P21" s="174">
        <f t="shared" si="0"/>
        <v>0.34162380894025168</v>
      </c>
      <c r="S21" s="306">
        <v>4</v>
      </c>
      <c r="T21" s="307">
        <v>1.8690285966509863</v>
      </c>
      <c r="U21" s="307">
        <v>4.1662380695343018</v>
      </c>
      <c r="V21" s="307">
        <v>7.0813334101722356</v>
      </c>
      <c r="W21" s="307">
        <v>6.6902380670819968</v>
      </c>
      <c r="X21" s="307">
        <v>5.6426190421694811</v>
      </c>
      <c r="Y21" s="307">
        <v>5.2514285927727107</v>
      </c>
      <c r="Z21" s="307">
        <v>6.1002856890360517</v>
      </c>
      <c r="AA21" s="307">
        <v>6.388238112131754</v>
      </c>
      <c r="AB21" s="307">
        <v>3.4299047560918901</v>
      </c>
      <c r="AC21" s="307">
        <v>0.66117142921402328</v>
      </c>
      <c r="AD21" s="307">
        <v>0.23279523920445214</v>
      </c>
      <c r="AE21" s="307">
        <v>0.434333331528164</v>
      </c>
      <c r="AF21" s="48"/>
    </row>
    <row r="22" spans="4:32" ht="13">
      <c r="D22" s="172">
        <v>25</v>
      </c>
      <c r="E22" s="173">
        <f t="shared" si="1"/>
        <v>1.5583380943252927</v>
      </c>
      <c r="F22" s="154">
        <f t="shared" si="0"/>
        <v>3.722404783680326</v>
      </c>
      <c r="G22" s="154">
        <f t="shared" si="0"/>
        <v>6.4722857929411388</v>
      </c>
      <c r="H22" s="154">
        <f t="shared" si="0"/>
        <v>6.2127619470868787</v>
      </c>
      <c r="I22" s="154">
        <f t="shared" si="0"/>
        <v>5.3353095537140254</v>
      </c>
      <c r="J22" s="154">
        <f t="shared" si="0"/>
        <v>4.8526666391463511</v>
      </c>
      <c r="K22" s="154">
        <f t="shared" si="0"/>
        <v>5.6572738147917239</v>
      </c>
      <c r="L22" s="154">
        <f t="shared" si="0"/>
        <v>5.8173333803812666</v>
      </c>
      <c r="M22" s="154">
        <f t="shared" si="0"/>
        <v>2.8342499747162773</v>
      </c>
      <c r="N22" s="154">
        <f t="shared" si="0"/>
        <v>0.55804761818477089</v>
      </c>
      <c r="O22" s="154">
        <f t="shared" si="0"/>
        <v>0.21312857241857622</v>
      </c>
      <c r="P22" s="174">
        <f t="shared" si="0"/>
        <v>0.30160118994258711</v>
      </c>
      <c r="S22" s="306">
        <v>5</v>
      </c>
      <c r="T22" s="307">
        <v>1.7848714192708335</v>
      </c>
      <c r="U22" s="307">
        <v>4.0113333350136164</v>
      </c>
      <c r="V22" s="307">
        <v>6.9235237666538785</v>
      </c>
      <c r="W22" s="307">
        <v>6.5779047466459728</v>
      </c>
      <c r="X22" s="307">
        <v>5.5767619042169487</v>
      </c>
      <c r="Y22" s="307">
        <v>5.0769047623588914</v>
      </c>
      <c r="Z22" s="307">
        <v>5.9699524243672686</v>
      </c>
      <c r="AA22" s="307">
        <v>6.2130000250680109</v>
      </c>
      <c r="AB22" s="307">
        <v>3.2626190639677501</v>
      </c>
      <c r="AC22" s="307">
        <v>0.6350095229489463</v>
      </c>
      <c r="AD22" s="307">
        <v>0.22696666774295626</v>
      </c>
      <c r="AE22" s="307">
        <v>0.37951428549630295</v>
      </c>
      <c r="AF22" s="48"/>
    </row>
    <row r="23" spans="4:32" ht="13">
      <c r="D23" s="172">
        <v>30</v>
      </c>
      <c r="E23" s="173">
        <f t="shared" si="1"/>
        <v>1.4657380995296294</v>
      </c>
      <c r="F23" s="154">
        <f t="shared" si="0"/>
        <v>3.56450473126911</v>
      </c>
      <c r="G23" s="154">
        <f t="shared" si="0"/>
        <v>6.3162476108187713</v>
      </c>
      <c r="H23" s="154">
        <f t="shared" si="0"/>
        <v>6.0270190238952637</v>
      </c>
      <c r="I23" s="154">
        <f t="shared" si="0"/>
        <v>5.1963857423691513</v>
      </c>
      <c r="J23" s="154">
        <f t="shared" si="0"/>
        <v>4.7447713965461364</v>
      </c>
      <c r="K23" s="154">
        <f t="shared" si="0"/>
        <v>5.4911476464498614</v>
      </c>
      <c r="L23" s="154">
        <f t="shared" si="0"/>
        <v>5.6670857293265211</v>
      </c>
      <c r="M23" s="154">
        <f t="shared" si="0"/>
        <v>2.5767523822330287</v>
      </c>
      <c r="N23" s="154">
        <f t="shared" si="0"/>
        <v>0.52515523660750607</v>
      </c>
      <c r="O23" s="154">
        <f t="shared" si="0"/>
        <v>0.20574095277559187</v>
      </c>
      <c r="P23" s="174">
        <f t="shared" si="0"/>
        <v>0.26321809412468045</v>
      </c>
      <c r="S23" s="306">
        <v>6</v>
      </c>
      <c r="T23" s="307">
        <v>1.7029333199773518</v>
      </c>
      <c r="U23" s="307">
        <v>3.9052856876736599</v>
      </c>
      <c r="V23" s="307">
        <v>6.804523763202484</v>
      </c>
      <c r="W23" s="307">
        <v>6.4754762195405506</v>
      </c>
      <c r="X23" s="307">
        <v>5.4980000087193082</v>
      </c>
      <c r="Y23" s="307">
        <v>4.999523787271408</v>
      </c>
      <c r="Z23" s="307">
        <v>5.8745237872714089</v>
      </c>
      <c r="AA23" s="307">
        <v>6.0958571547553646</v>
      </c>
      <c r="AB23" s="307">
        <v>3.1044761850720359</v>
      </c>
      <c r="AC23" s="307">
        <v>0.61208571422667712</v>
      </c>
      <c r="AD23" s="307">
        <v>0.22246190479823522</v>
      </c>
      <c r="AE23" s="307">
        <v>0.34542857110500336</v>
      </c>
      <c r="AF23" s="48"/>
    </row>
    <row r="24" spans="4:32" ht="13">
      <c r="D24" s="172">
        <v>35</v>
      </c>
      <c r="E24" s="173">
        <f t="shared" si="1"/>
        <v>1.3785999973615013</v>
      </c>
      <c r="F24" s="154">
        <f t="shared" si="0"/>
        <v>3.4608928680419924</v>
      </c>
      <c r="G24" s="154">
        <f t="shared" si="0"/>
        <v>6.1113808881668827</v>
      </c>
      <c r="H24" s="154">
        <f t="shared" si="0"/>
        <v>5.816171409970238</v>
      </c>
      <c r="I24" s="154">
        <f t="shared" si="0"/>
        <v>5.1008666787828725</v>
      </c>
      <c r="J24" s="154">
        <f t="shared" si="0"/>
        <v>4.6624476228441516</v>
      </c>
      <c r="K24" s="154">
        <f t="shared" si="0"/>
        <v>5.3686833404359362</v>
      </c>
      <c r="L24" s="154">
        <f t="shared" si="0"/>
        <v>5.4960000219799223</v>
      </c>
      <c r="M24" s="154">
        <f t="shared" si="0"/>
        <v>2.3532071448507765</v>
      </c>
      <c r="N24" s="154">
        <f t="shared" si="0"/>
        <v>0.49522381055922732</v>
      </c>
      <c r="O24" s="154">
        <f t="shared" si="0"/>
        <v>0.20015809535980225</v>
      </c>
      <c r="P24" s="174">
        <f t="shared" si="0"/>
        <v>0.23916023692914423</v>
      </c>
      <c r="S24" s="306">
        <v>7</v>
      </c>
      <c r="T24" s="307">
        <v>1.6283190449078879</v>
      </c>
      <c r="U24" s="307">
        <v>3.8100476321719947</v>
      </c>
      <c r="V24" s="307">
        <v>6.6923809505644298</v>
      </c>
      <c r="W24" s="307">
        <v>6.3555237906319757</v>
      </c>
      <c r="X24" s="307">
        <v>5.3617619332813078</v>
      </c>
      <c r="Y24" s="307">
        <v>4.9179047743479405</v>
      </c>
      <c r="Z24" s="307">
        <v>5.736809503464471</v>
      </c>
      <c r="AA24" s="307">
        <v>5.925380990618752</v>
      </c>
      <c r="AB24" s="307">
        <v>2.9688571407681414</v>
      </c>
      <c r="AC24" s="307">
        <v>0.58212857303165244</v>
      </c>
      <c r="AD24" s="307">
        <v>0.21757142955348605</v>
      </c>
      <c r="AE24" s="307">
        <v>0.32640476028124504</v>
      </c>
      <c r="AF24" s="48"/>
    </row>
    <row r="25" spans="4:32" ht="13">
      <c r="D25" s="172">
        <v>40</v>
      </c>
      <c r="E25" s="173">
        <f t="shared" si="1"/>
        <v>1.2889200000535872</v>
      </c>
      <c r="F25" s="154">
        <f t="shared" si="0"/>
        <v>3.3260571332204907</v>
      </c>
      <c r="G25" s="154">
        <f t="shared" si="0"/>
        <v>5.8796095098767971</v>
      </c>
      <c r="H25" s="154">
        <f t="shared" si="0"/>
        <v>5.6284761882963634</v>
      </c>
      <c r="I25" s="154">
        <f t="shared" si="0"/>
        <v>4.9981809252784366</v>
      </c>
      <c r="J25" s="154">
        <f t="shared" si="0"/>
        <v>4.5805809679485501</v>
      </c>
      <c r="K25" s="154">
        <f t="shared" si="0"/>
        <v>5.2478666759672619</v>
      </c>
      <c r="L25" s="154">
        <f t="shared" si="0"/>
        <v>5.377066644032797</v>
      </c>
      <c r="M25" s="154">
        <f t="shared" si="0"/>
        <v>2.1581238031387326</v>
      </c>
      <c r="N25" s="154">
        <f t="shared" si="0"/>
        <v>0.46536476157960438</v>
      </c>
      <c r="O25" s="154">
        <f t="shared" si="0"/>
        <v>0.19543428591319492</v>
      </c>
      <c r="P25" s="174">
        <f t="shared" si="0"/>
        <v>0.21570285750286919</v>
      </c>
      <c r="S25" s="306">
        <v>8</v>
      </c>
      <c r="T25" s="307">
        <v>1.5583380943252927</v>
      </c>
      <c r="U25" s="307">
        <v>3.6931905008497696</v>
      </c>
      <c r="V25" s="307">
        <v>6.4722857929411388</v>
      </c>
      <c r="W25" s="307">
        <v>6.2127619470868787</v>
      </c>
      <c r="X25" s="307">
        <v>5.2559524150121772</v>
      </c>
      <c r="Y25" s="307">
        <v>4.8526666391463511</v>
      </c>
      <c r="Z25" s="307">
        <v>5.6307619185674751</v>
      </c>
      <c r="AA25" s="307">
        <v>5.8173333803812666</v>
      </c>
      <c r="AB25" s="307">
        <v>2.789380919365656</v>
      </c>
      <c r="AC25" s="307">
        <v>0.55804761818477089</v>
      </c>
      <c r="AD25" s="307">
        <v>0.21312857241857622</v>
      </c>
      <c r="AE25" s="307">
        <v>0.29333333316303445</v>
      </c>
      <c r="AF25" s="48"/>
    </row>
    <row r="26" spans="4:32" ht="13">
      <c r="D26" s="172">
        <v>45</v>
      </c>
      <c r="E26" s="173">
        <f t="shared" si="1"/>
        <v>1.20425618773415</v>
      </c>
      <c r="F26" s="154">
        <f t="shared" si="0"/>
        <v>3.1669761887618475</v>
      </c>
      <c r="G26" s="154">
        <f t="shared" si="0"/>
        <v>5.6603047302791056</v>
      </c>
      <c r="H26" s="154">
        <f t="shared" si="0"/>
        <v>5.4215429033551903</v>
      </c>
      <c r="I26" s="154">
        <f t="shared" si="0"/>
        <v>4.8864237898872016</v>
      </c>
      <c r="J26" s="154">
        <f t="shared" si="0"/>
        <v>4.4899333340781071</v>
      </c>
      <c r="K26" s="154">
        <f t="shared" si="0"/>
        <v>5.1220595405215308</v>
      </c>
      <c r="L26" s="154">
        <f t="shared" si="0"/>
        <v>5.225409507751464</v>
      </c>
      <c r="M26" s="154">
        <f t="shared" si="0"/>
        <v>1.9609118952637627</v>
      </c>
      <c r="N26" s="154">
        <f t="shared" si="0"/>
        <v>0.43874285930678963</v>
      </c>
      <c r="O26" s="154">
        <f t="shared" si="0"/>
        <v>0.19066476311002459</v>
      </c>
      <c r="P26" s="174">
        <f t="shared" si="0"/>
        <v>0.20111833314100905</v>
      </c>
      <c r="S26" s="306">
        <v>9</v>
      </c>
      <c r="T26" s="307">
        <v>1.5007666661625811</v>
      </c>
      <c r="U26" s="307">
        <v>3.5914761565980462</v>
      </c>
      <c r="V26" s="307">
        <v>6.3681904701959517</v>
      </c>
      <c r="W26" s="307">
        <v>6.1090475831712991</v>
      </c>
      <c r="X26" s="307">
        <v>5.1708571683792837</v>
      </c>
      <c r="Y26" s="307">
        <v>4.7732856727781749</v>
      </c>
      <c r="Z26" s="307">
        <v>5.5119047732580277</v>
      </c>
      <c r="AA26" s="307">
        <v>5.7168571267809192</v>
      </c>
      <c r="AB26" s="307">
        <v>2.6196666672116229</v>
      </c>
      <c r="AC26" s="307">
        <v>0.53835238019625342</v>
      </c>
      <c r="AD26" s="307">
        <v>0.20762381028561364</v>
      </c>
      <c r="AE26" s="307">
        <v>0.26670952283200761</v>
      </c>
      <c r="AF26" s="48"/>
    </row>
    <row r="27" spans="4:32" ht="13">
      <c r="D27" s="172">
        <v>50</v>
      </c>
      <c r="E27" s="173">
        <f t="shared" si="1"/>
        <v>1.1168142897742137</v>
      </c>
      <c r="F27" s="154">
        <f t="shared" si="0"/>
        <v>2.9638095072337558</v>
      </c>
      <c r="G27" s="154">
        <f t="shared" si="0"/>
        <v>5.4275238059815907</v>
      </c>
      <c r="H27" s="154">
        <f t="shared" si="0"/>
        <v>5.2772381078629271</v>
      </c>
      <c r="I27" s="154">
        <f t="shared" si="0"/>
        <v>4.7661666245687568</v>
      </c>
      <c r="J27" s="154">
        <f t="shared" si="0"/>
        <v>4.3769523870377309</v>
      </c>
      <c r="K27" s="154">
        <f t="shared" si="0"/>
        <v>4.963523819333032</v>
      </c>
      <c r="L27" s="154">
        <f t="shared" si="0"/>
        <v>5.0698570978073842</v>
      </c>
      <c r="M27" s="154">
        <f t="shared" si="0"/>
        <v>1.7881904868852523</v>
      </c>
      <c r="N27" s="154">
        <f t="shared" si="0"/>
        <v>0.4176190481299446</v>
      </c>
      <c r="O27" s="154">
        <f t="shared" si="0"/>
        <v>0.18663809554917474</v>
      </c>
      <c r="P27" s="174">
        <f t="shared" si="0"/>
        <v>0.18675000096360844</v>
      </c>
      <c r="S27" s="306">
        <v>10</v>
      </c>
      <c r="T27" s="307">
        <v>1.4423857217743283</v>
      </c>
      <c r="U27" s="307">
        <v>3.5015714055015925</v>
      </c>
      <c r="V27" s="307">
        <v>6.2816190379006516</v>
      </c>
      <c r="W27" s="307">
        <v>5.9723333177112403</v>
      </c>
      <c r="X27" s="307">
        <v>5.112523828233992</v>
      </c>
      <c r="Y27" s="307">
        <v>4.7257618790581111</v>
      </c>
      <c r="Z27" s="307">
        <v>5.4427143505641391</v>
      </c>
      <c r="AA27" s="307">
        <v>5.6339047976902554</v>
      </c>
      <c r="AB27" s="307">
        <v>2.4766190506163097</v>
      </c>
      <c r="AC27" s="307">
        <v>0.51635714088167461</v>
      </c>
      <c r="AD27" s="307">
        <v>0.20448571443557739</v>
      </c>
      <c r="AE27" s="307">
        <v>0.25507142714091713</v>
      </c>
      <c r="AF27" s="48"/>
    </row>
    <row r="28" spans="4:32" ht="13">
      <c r="D28" s="172">
        <v>55</v>
      </c>
      <c r="E28" s="173">
        <f t="shared" si="1"/>
        <v>1.0292428624062309</v>
      </c>
      <c r="F28" s="154">
        <f t="shared" si="0"/>
        <v>2.7749238269669672</v>
      </c>
      <c r="G28" s="154">
        <f t="shared" si="0"/>
        <v>5.2173523823420203</v>
      </c>
      <c r="H28" s="154">
        <f t="shared" si="0"/>
        <v>5.1458475953056704</v>
      </c>
      <c r="I28" s="154">
        <f t="shared" si="0"/>
        <v>4.6374500416574032</v>
      </c>
      <c r="J28" s="154">
        <f t="shared" si="0"/>
        <v>4.2751904805501306</v>
      </c>
      <c r="K28" s="154">
        <f t="shared" si="0"/>
        <v>4.8296166539192198</v>
      </c>
      <c r="L28" s="154">
        <f t="shared" si="0"/>
        <v>4.9521809532528831</v>
      </c>
      <c r="M28" s="154">
        <f t="shared" si="0"/>
        <v>1.6276021411021548</v>
      </c>
      <c r="N28" s="154">
        <f t="shared" si="0"/>
        <v>0.39219333075341717</v>
      </c>
      <c r="O28" s="154">
        <f t="shared" si="0"/>
        <v>0.18093237976233162</v>
      </c>
      <c r="P28" s="174">
        <f t="shared" si="0"/>
        <v>0.17247785782175404</v>
      </c>
      <c r="S28" s="306">
        <v>11</v>
      </c>
      <c r="T28" s="307">
        <v>1.386823804605575</v>
      </c>
      <c r="U28" s="307">
        <v>3.4537143026079451</v>
      </c>
      <c r="V28" s="307">
        <v>6.1453332673935668</v>
      </c>
      <c r="W28" s="307">
        <v>5.8386666434151779</v>
      </c>
      <c r="X28" s="307">
        <v>5.034809498559861</v>
      </c>
      <c r="Y28" s="307">
        <v>4.6714761938367575</v>
      </c>
      <c r="Z28" s="307">
        <v>5.3556190445309593</v>
      </c>
      <c r="AA28" s="307">
        <v>5.5098095507848832</v>
      </c>
      <c r="AB28" s="307">
        <v>2.3314285732450939</v>
      </c>
      <c r="AC28" s="307">
        <v>0.49871428665660672</v>
      </c>
      <c r="AD28" s="307">
        <v>0.20094761891024454</v>
      </c>
      <c r="AE28" s="307">
        <v>0.23635237983294896</v>
      </c>
      <c r="AF28" s="48"/>
    </row>
    <row r="29" spans="4:32" ht="13">
      <c r="D29" s="172">
        <v>60</v>
      </c>
      <c r="E29" s="173">
        <f t="shared" si="1"/>
        <v>0.93533809525626066</v>
      </c>
      <c r="F29" s="154">
        <f t="shared" si="0"/>
        <v>2.5650361935297648</v>
      </c>
      <c r="G29" s="154">
        <f t="shared" si="0"/>
        <v>5.0741428068705963</v>
      </c>
      <c r="H29" s="154">
        <f t="shared" si="0"/>
        <v>4.9962095419565822</v>
      </c>
      <c r="I29" s="154">
        <f t="shared" si="0"/>
        <v>4.5162666298094249</v>
      </c>
      <c r="J29" s="154">
        <f t="shared" si="0"/>
        <v>4.1977428640638079</v>
      </c>
      <c r="K29" s="154">
        <f t="shared" si="0"/>
        <v>4.7423618884313674</v>
      </c>
      <c r="L29" s="154">
        <f t="shared" si="0"/>
        <v>4.7574857053302582</v>
      </c>
      <c r="M29" s="154">
        <f t="shared" si="0"/>
        <v>1.4793533404668171</v>
      </c>
      <c r="N29" s="154">
        <f t="shared" si="0"/>
        <v>0.37119618881316413</v>
      </c>
      <c r="O29" s="154">
        <f t="shared" si="0"/>
        <v>0.17412000000476835</v>
      </c>
      <c r="P29" s="174">
        <f t="shared" si="0"/>
        <v>0.16091428732588176</v>
      </c>
      <c r="S29" s="306">
        <v>12</v>
      </c>
      <c r="T29" s="307">
        <v>1.3457047683852061</v>
      </c>
      <c r="U29" s="307">
        <v>3.3666666746139526</v>
      </c>
      <c r="V29" s="307">
        <v>5.9755713712601439</v>
      </c>
      <c r="W29" s="307">
        <v>5.7261904761904763</v>
      </c>
      <c r="X29" s="307">
        <v>4.9737618764241542</v>
      </c>
      <c r="Y29" s="307">
        <v>4.6263333388737271</v>
      </c>
      <c r="Z29" s="307">
        <v>5.2724762189955943</v>
      </c>
      <c r="AA29" s="307">
        <v>5.4407619067600796</v>
      </c>
      <c r="AB29" s="307">
        <v>2.2110952252433411</v>
      </c>
      <c r="AC29" s="307">
        <v>0.48126190616970965</v>
      </c>
      <c r="AD29" s="307">
        <v>0.19700000115803312</v>
      </c>
      <c r="AE29" s="307">
        <v>0.22187619088661106</v>
      </c>
      <c r="AF29" s="48"/>
    </row>
    <row r="30" spans="4:32" ht="13">
      <c r="D30" s="172">
        <v>65</v>
      </c>
      <c r="E30" s="173">
        <f t="shared" si="1"/>
        <v>0.86789808954511372</v>
      </c>
      <c r="F30" s="154">
        <f t="shared" si="0"/>
        <v>2.3901916620277222</v>
      </c>
      <c r="G30" s="154">
        <f t="shared" si="0"/>
        <v>4.8875142926261539</v>
      </c>
      <c r="H30" s="154">
        <f t="shared" si="0"/>
        <v>4.8948761871882835</v>
      </c>
      <c r="I30" s="154">
        <f t="shared" si="0"/>
        <v>4.4303809722264615</v>
      </c>
      <c r="J30" s="154">
        <f t="shared" si="0"/>
        <v>4.0904285726093113</v>
      </c>
      <c r="K30" s="154">
        <f t="shared" si="0"/>
        <v>4.6448428256171095</v>
      </c>
      <c r="L30" s="154">
        <f t="shared" si="0"/>
        <v>4.5804190295083185</v>
      </c>
      <c r="M30" s="154">
        <f t="shared" si="0"/>
        <v>1.3396771377041223</v>
      </c>
      <c r="N30" s="154">
        <f t="shared" si="0"/>
        <v>0.35335618938718522</v>
      </c>
      <c r="O30" s="154">
        <f t="shared" si="0"/>
        <v>0.16936571385179247</v>
      </c>
      <c r="P30" s="174">
        <f t="shared" si="0"/>
        <v>0.1541414295456239</v>
      </c>
      <c r="S30" s="306">
        <v>13</v>
      </c>
      <c r="T30" s="307">
        <v>1.2747238079706826</v>
      </c>
      <c r="U30" s="307">
        <v>3.265142821130298</v>
      </c>
      <c r="V30" s="307">
        <v>5.8556190445309602</v>
      </c>
      <c r="W30" s="307">
        <v>5.604047616322835</v>
      </c>
      <c r="X30" s="307">
        <v>4.8899999800182528</v>
      </c>
      <c r="Y30" s="307">
        <v>4.5691428752172554</v>
      </c>
      <c r="Z30" s="307">
        <v>5.2109523614247646</v>
      </c>
      <c r="AA30" s="307">
        <v>5.3611428283509763</v>
      </c>
      <c r="AB30" s="307">
        <v>2.0786666699818204</v>
      </c>
      <c r="AC30" s="307">
        <v>0.46139047543207806</v>
      </c>
      <c r="AD30" s="307">
        <v>0.19504285710198538</v>
      </c>
      <c r="AE30" s="307">
        <v>0.20644285742725643</v>
      </c>
      <c r="AF30" s="48"/>
    </row>
    <row r="31" spans="4:32" ht="13">
      <c r="D31" s="172">
        <v>70</v>
      </c>
      <c r="E31" s="173">
        <f t="shared" si="1"/>
        <v>0.80035904731069296</v>
      </c>
      <c r="F31" s="154">
        <f t="shared" si="0"/>
        <v>2.1241180973393576</v>
      </c>
      <c r="G31" s="154">
        <f t="shared" si="0"/>
        <v>4.7143714019230432</v>
      </c>
      <c r="H31" s="154">
        <f t="shared" si="0"/>
        <v>4.7878571215130048</v>
      </c>
      <c r="I31" s="154">
        <f t="shared" si="0"/>
        <v>4.3264667045502438</v>
      </c>
      <c r="J31" s="154">
        <f t="shared" si="0"/>
        <v>4.0147999945141022</v>
      </c>
      <c r="K31" s="154">
        <f t="shared" si="0"/>
        <v>4.5083333367393132</v>
      </c>
      <c r="L31" s="154">
        <f t="shared" si="0"/>
        <v>4.4367333730061844</v>
      </c>
      <c r="M31" s="154">
        <f t="shared" si="0"/>
        <v>1.2259000054427558</v>
      </c>
      <c r="N31" s="154">
        <f t="shared" si="0"/>
        <v>0.33440666681244258</v>
      </c>
      <c r="O31" s="154">
        <f t="shared" si="0"/>
        <v>0.16576380985123773</v>
      </c>
      <c r="P31" s="174">
        <f t="shared" si="0"/>
        <v>0.14431809545272872</v>
      </c>
      <c r="S31" s="306">
        <v>14</v>
      </c>
      <c r="T31" s="307">
        <v>1.2288619081179302</v>
      </c>
      <c r="U31" s="307">
        <v>3.1618095239003501</v>
      </c>
      <c r="V31" s="307">
        <v>5.7218095120929542</v>
      </c>
      <c r="W31" s="307">
        <v>5.464571475982666</v>
      </c>
      <c r="X31" s="307">
        <v>4.818476177397228</v>
      </c>
      <c r="Y31" s="307">
        <v>4.514333350317818</v>
      </c>
      <c r="Z31" s="307">
        <v>5.1173809710003075</v>
      </c>
      <c r="AA31" s="307">
        <v>5.2678095045543838</v>
      </c>
      <c r="AB31" s="307">
        <v>1.9547142755417597</v>
      </c>
      <c r="AC31" s="307">
        <v>0.44537143338294255</v>
      </c>
      <c r="AD31" s="307">
        <v>0.19174285729726154</v>
      </c>
      <c r="AE31" s="307">
        <v>0.20083809502068023</v>
      </c>
      <c r="AF31" s="48"/>
    </row>
    <row r="32" spans="4:32" ht="13">
      <c r="D32" s="172">
        <v>75</v>
      </c>
      <c r="E32" s="173">
        <f t="shared" si="1"/>
        <v>0.73893332907131737</v>
      </c>
      <c r="F32" s="154">
        <f t="shared" si="0"/>
        <v>1.9271047441732316</v>
      </c>
      <c r="G32" s="154">
        <f t="shared" si="0"/>
        <v>4.4666666643960138</v>
      </c>
      <c r="H32" s="154">
        <f t="shared" si="0"/>
        <v>4.6648095221746537</v>
      </c>
      <c r="I32" s="154">
        <f t="shared" si="0"/>
        <v>4.2506547541845423</v>
      </c>
      <c r="J32" s="154">
        <f t="shared" si="0"/>
        <v>3.9283333392370312</v>
      </c>
      <c r="K32" s="154">
        <f t="shared" si="0"/>
        <v>4.3602737614086697</v>
      </c>
      <c r="L32" s="154">
        <f t="shared" si="0"/>
        <v>4.2961904889061344</v>
      </c>
      <c r="M32" s="154">
        <f t="shared" si="0"/>
        <v>1.1291642863126028</v>
      </c>
      <c r="N32" s="154">
        <f t="shared" si="0"/>
        <v>0.31669047616776957</v>
      </c>
      <c r="O32" s="154">
        <f t="shared" si="0"/>
        <v>0.16203809387627099</v>
      </c>
      <c r="P32" s="174">
        <f t="shared" si="0"/>
        <v>0.13901309571450665</v>
      </c>
      <c r="S32" s="306">
        <v>15</v>
      </c>
      <c r="T32" s="307">
        <v>1.1673476071584794</v>
      </c>
      <c r="U32" s="307">
        <v>2.9977142924354192</v>
      </c>
      <c r="V32" s="307">
        <v>5.5680475575583319</v>
      </c>
      <c r="W32" s="307">
        <v>5.3570000444139758</v>
      </c>
      <c r="X32" s="307">
        <v>4.7138570717402857</v>
      </c>
      <c r="Y32" s="307">
        <v>4.4533333097185412</v>
      </c>
      <c r="Z32" s="307">
        <v>5.0260952881404348</v>
      </c>
      <c r="AA32" s="307">
        <v>5.1618095125470838</v>
      </c>
      <c r="AB32" s="307">
        <v>1.839761904307774</v>
      </c>
      <c r="AC32" s="307">
        <v>0.42879999819256015</v>
      </c>
      <c r="AD32" s="307">
        <v>0.18904762182916918</v>
      </c>
      <c r="AE32" s="307">
        <v>0.19180952438286375</v>
      </c>
      <c r="AF32" s="48"/>
    </row>
    <row r="33" spans="4:33" ht="13">
      <c r="D33" s="172">
        <v>80</v>
      </c>
      <c r="E33" s="173">
        <f t="shared" si="1"/>
        <v>0.64107713656766074</v>
      </c>
      <c r="F33" s="154">
        <f t="shared" si="0"/>
        <v>1.8168971532867069</v>
      </c>
      <c r="G33" s="154">
        <f t="shared" si="0"/>
        <v>4.2986857016881315</v>
      </c>
      <c r="H33" s="154">
        <f t="shared" si="0"/>
        <v>4.5566094716389971</v>
      </c>
      <c r="I33" s="154">
        <f t="shared" si="0"/>
        <v>4.1490667002541679</v>
      </c>
      <c r="J33" s="154">
        <f t="shared" si="0"/>
        <v>3.8065618832906081</v>
      </c>
      <c r="K33" s="154">
        <f t="shared" si="0"/>
        <v>4.2015047618321013</v>
      </c>
      <c r="L33" s="154">
        <f t="shared" si="0"/>
        <v>4.1699904850551048</v>
      </c>
      <c r="M33" s="154">
        <f t="shared" si="0"/>
        <v>1.0354599952697754</v>
      </c>
      <c r="N33" s="154">
        <f t="shared" si="0"/>
        <v>0.29995333396253132</v>
      </c>
      <c r="O33" s="154">
        <f t="shared" si="0"/>
        <v>0.15886190512350629</v>
      </c>
      <c r="P33" s="174">
        <f t="shared" si="0"/>
        <v>0.13320380946000412</v>
      </c>
      <c r="S33" s="306">
        <v>16</v>
      </c>
      <c r="T33" s="307">
        <v>1.1168142897742137</v>
      </c>
      <c r="U33" s="307">
        <v>2.9299047220320924</v>
      </c>
      <c r="V33" s="307">
        <v>5.4275238059815907</v>
      </c>
      <c r="W33" s="307">
        <v>5.2772381078629271</v>
      </c>
      <c r="X33" s="307">
        <v>4.633428619021462</v>
      </c>
      <c r="Y33" s="307">
        <v>4.3769523870377309</v>
      </c>
      <c r="Z33" s="307">
        <v>4.9009523505256292</v>
      </c>
      <c r="AA33" s="307">
        <v>5.0698570978073842</v>
      </c>
      <c r="AB33" s="307">
        <v>1.7366190694627308</v>
      </c>
      <c r="AC33" s="307">
        <v>0.4176190481299446</v>
      </c>
      <c r="AD33" s="307">
        <v>0.18663809554917474</v>
      </c>
      <c r="AE33" s="307">
        <v>0.18169047754435316</v>
      </c>
      <c r="AF33" s="48"/>
    </row>
    <row r="34" spans="4:33" ht="13">
      <c r="D34" s="172">
        <v>85</v>
      </c>
      <c r="E34" s="173">
        <f t="shared" si="1"/>
        <v>0.57822094886075881</v>
      </c>
      <c r="F34" s="154">
        <f t="shared" si="1"/>
        <v>1.639973809747469</v>
      </c>
      <c r="G34" s="154">
        <f t="shared" si="1"/>
        <v>4.0498952354703635</v>
      </c>
      <c r="H34" s="154">
        <f t="shared" si="1"/>
        <v>4.4372856957571845</v>
      </c>
      <c r="I34" s="154">
        <f t="shared" si="1"/>
        <v>4.0539499947002957</v>
      </c>
      <c r="J34" s="154">
        <f t="shared" si="1"/>
        <v>3.6885618981860939</v>
      </c>
      <c r="K34" s="154">
        <f t="shared" si="1"/>
        <v>4.069280961013976</v>
      </c>
      <c r="L34" s="154">
        <f t="shared" si="1"/>
        <v>3.9769047918773834</v>
      </c>
      <c r="M34" s="154">
        <f t="shared" si="1"/>
        <v>0.9557402375198546</v>
      </c>
      <c r="N34" s="154">
        <f t="shared" si="1"/>
        <v>0.28529809713363646</v>
      </c>
      <c r="O34" s="154">
        <f t="shared" si="1"/>
        <v>0.1535104751586914</v>
      </c>
      <c r="P34" s="174">
        <f t="shared" si="1"/>
        <v>0.12879866622388361</v>
      </c>
      <c r="S34" s="306">
        <v>17</v>
      </c>
      <c r="T34" s="307">
        <v>1.0616714216413952</v>
      </c>
      <c r="U34" s="307">
        <v>2.7811428762617569</v>
      </c>
      <c r="V34" s="307">
        <v>5.2716667197999501</v>
      </c>
      <c r="W34" s="307">
        <v>5.1990476222265336</v>
      </c>
      <c r="X34" s="307">
        <v>4.5379046826135543</v>
      </c>
      <c r="Y34" s="307">
        <v>4.3096190293629979</v>
      </c>
      <c r="Z34" s="307">
        <v>4.8325714156741189</v>
      </c>
      <c r="AA34" s="307">
        <v>5.0006666751134965</v>
      </c>
      <c r="AB34" s="307">
        <v>1.6322380928766158</v>
      </c>
      <c r="AC34" s="307">
        <v>0.40100476287660142</v>
      </c>
      <c r="AD34" s="307">
        <v>0.18253809568427853</v>
      </c>
      <c r="AE34" s="307">
        <v>0.17284285773833594</v>
      </c>
      <c r="AF34" s="48"/>
    </row>
    <row r="35" spans="4:33" ht="13">
      <c r="D35" s="172">
        <v>90</v>
      </c>
      <c r="E35" s="173">
        <f t="shared" si="1"/>
        <v>0.50716190465859001</v>
      </c>
      <c r="F35" s="154">
        <f t="shared" si="1"/>
        <v>1.4703699832870849</v>
      </c>
      <c r="G35" s="154">
        <f t="shared" si="1"/>
        <v>3.8364857071921938</v>
      </c>
      <c r="H35" s="154">
        <f t="shared" si="1"/>
        <v>4.2995333353678387</v>
      </c>
      <c r="I35" s="154">
        <f t="shared" si="1"/>
        <v>3.9554047629946751</v>
      </c>
      <c r="J35" s="154">
        <f t="shared" si="1"/>
        <v>3.5703524044581822</v>
      </c>
      <c r="K35" s="154">
        <f t="shared" si="1"/>
        <v>3.8230285780770439</v>
      </c>
      <c r="L35" s="154">
        <f t="shared" si="1"/>
        <v>3.7860856964474627</v>
      </c>
      <c r="M35" s="154">
        <f t="shared" si="1"/>
        <v>0.88229238334156201</v>
      </c>
      <c r="N35" s="154">
        <f t="shared" si="1"/>
        <v>0.26996857268469671</v>
      </c>
      <c r="O35" s="154">
        <f t="shared" si="1"/>
        <v>0.14876380846613926</v>
      </c>
      <c r="P35" s="174">
        <f t="shared" si="1"/>
        <v>0.12425866794018518</v>
      </c>
      <c r="S35" s="306">
        <v>18</v>
      </c>
      <c r="T35" s="307">
        <v>1.0076238229161216</v>
      </c>
      <c r="U35" s="307">
        <v>2.656761890365964</v>
      </c>
      <c r="V35" s="307">
        <v>5.1811428240367334</v>
      </c>
      <c r="W35" s="307">
        <v>5.1103809106917621</v>
      </c>
      <c r="X35" s="307">
        <v>4.4838095506032314</v>
      </c>
      <c r="Y35" s="307">
        <v>4.2522381146748858</v>
      </c>
      <c r="Z35" s="307">
        <v>4.7734761805761421</v>
      </c>
      <c r="AA35" s="307">
        <v>4.9198571386791405</v>
      </c>
      <c r="AB35" s="307">
        <v>1.5395190573873974</v>
      </c>
      <c r="AC35" s="307">
        <v>0.38631904267129435</v>
      </c>
      <c r="AD35" s="307">
        <v>0.1798619024810337</v>
      </c>
      <c r="AE35" s="307">
        <v>0.1655428594066983</v>
      </c>
      <c r="AF35" s="48"/>
    </row>
    <row r="36" spans="4:33" ht="13">
      <c r="D36" s="175">
        <v>95</v>
      </c>
      <c r="E36" s="176">
        <f>_xlfn.PERCENTILE.EXC(T$18:T$48,1-($D36/100))</f>
        <v>0.4260638079472952</v>
      </c>
      <c r="F36" s="159">
        <f t="shared" ref="F36:P36" si="2">_xlfn.PERCENTILE.EXC(U$18:U$48,1-($D36/100))</f>
        <v>1.2889073865754268</v>
      </c>
      <c r="G36" s="159">
        <f t="shared" si="2"/>
        <v>3.5973904995691215</v>
      </c>
      <c r="H36" s="159">
        <f t="shared" si="2"/>
        <v>4.122704769316174</v>
      </c>
      <c r="I36" s="159">
        <f t="shared" si="2"/>
        <v>3.8019118973187038</v>
      </c>
      <c r="J36" s="159">
        <f t="shared" si="2"/>
        <v>3.4347904886518208</v>
      </c>
      <c r="K36" s="159">
        <f t="shared" si="2"/>
        <v>3.6281523721558715</v>
      </c>
      <c r="L36" s="159">
        <f t="shared" si="2"/>
        <v>3.6286857287089029</v>
      </c>
      <c r="M36" s="159">
        <f t="shared" si="2"/>
        <v>0.81687809555303492</v>
      </c>
      <c r="N36" s="159">
        <f t="shared" si="2"/>
        <v>0.25613714413983485</v>
      </c>
      <c r="O36" s="159">
        <f t="shared" si="2"/>
        <v>0.14354857170865651</v>
      </c>
      <c r="P36" s="177">
        <f t="shared" si="2"/>
        <v>0.11807862011094888</v>
      </c>
      <c r="S36" s="306">
        <v>19</v>
      </c>
      <c r="T36" s="307">
        <v>0.94568095178831213</v>
      </c>
      <c r="U36" s="307">
        <v>2.5038857289722984</v>
      </c>
      <c r="V36" s="307">
        <v>5.0993332749321345</v>
      </c>
      <c r="W36" s="307">
        <v>5.0075714588165265</v>
      </c>
      <c r="X36" s="307">
        <v>4.4209523995717372</v>
      </c>
      <c r="Y36" s="307">
        <v>4.2142381100427544</v>
      </c>
      <c r="Z36" s="307">
        <v>4.7216190270015179</v>
      </c>
      <c r="AA36" s="307">
        <v>4.7810952322823654</v>
      </c>
      <c r="AB36" s="307">
        <v>1.4392428625197635</v>
      </c>
      <c r="AC36" s="307">
        <v>0.37333809336026508</v>
      </c>
      <c r="AD36" s="307">
        <v>0.174685714500291</v>
      </c>
      <c r="AE36" s="307">
        <v>0.15782857260533739</v>
      </c>
      <c r="AF36" s="48"/>
    </row>
    <row r="37" spans="4:33" ht="13">
      <c r="D37" s="178"/>
      <c r="E37" s="179"/>
      <c r="F37" s="180"/>
      <c r="G37" s="180"/>
      <c r="H37" s="180"/>
      <c r="I37" s="180"/>
      <c r="J37" s="180"/>
      <c r="K37" s="180"/>
      <c r="L37" s="180"/>
      <c r="M37" s="180"/>
      <c r="N37" s="180"/>
      <c r="O37" s="180"/>
      <c r="P37" s="180"/>
      <c r="S37" s="306">
        <v>20</v>
      </c>
      <c r="T37" s="307">
        <v>0.89396666912805478</v>
      </c>
      <c r="U37" s="307">
        <v>2.4158952292941867</v>
      </c>
      <c r="V37" s="307">
        <v>4.9733809346244442</v>
      </c>
      <c r="W37" s="307">
        <v>4.9507618745168047</v>
      </c>
      <c r="X37" s="307">
        <v>4.3419524374462313</v>
      </c>
      <c r="Y37" s="307">
        <v>4.1317618801480238</v>
      </c>
      <c r="Z37" s="307">
        <v>4.659285681588309</v>
      </c>
      <c r="AA37" s="307">
        <v>4.6630475975218273</v>
      </c>
      <c r="AB37" s="307">
        <v>1.3509142796198523</v>
      </c>
      <c r="AC37" s="307">
        <v>0.36262857062476023</v>
      </c>
      <c r="AD37" s="307">
        <v>0.17185714202267782</v>
      </c>
      <c r="AE37" s="307">
        <v>0.15517142947231019</v>
      </c>
      <c r="AF37" s="48"/>
    </row>
    <row r="38" spans="4:33" ht="13">
      <c r="D38" s="178"/>
      <c r="E38" s="179"/>
      <c r="F38" s="180"/>
      <c r="G38" s="180"/>
      <c r="H38" s="180"/>
      <c r="I38" s="180"/>
      <c r="J38" s="180"/>
      <c r="K38" s="180"/>
      <c r="L38" s="180"/>
      <c r="M38" s="180"/>
      <c r="N38" s="180"/>
      <c r="O38" s="180"/>
      <c r="P38" s="180"/>
      <c r="S38" s="306">
        <v>21</v>
      </c>
      <c r="T38" s="307">
        <v>0.86138094464937842</v>
      </c>
      <c r="U38" s="307">
        <v>2.2445381141844249</v>
      </c>
      <c r="V38" s="307">
        <v>4.8660476321265813</v>
      </c>
      <c r="W38" s="307">
        <v>4.8809047653561537</v>
      </c>
      <c r="X38" s="307">
        <v>4.2903333277929407</v>
      </c>
      <c r="Y38" s="307">
        <v>4.0800952457246327</v>
      </c>
      <c r="Z38" s="307">
        <v>4.5629999751136427</v>
      </c>
      <c r="AA38" s="307">
        <v>4.5597618875049415</v>
      </c>
      <c r="AB38" s="307">
        <v>1.2760000001816523</v>
      </c>
      <c r="AC38" s="307">
        <v>0.35103809407779146</v>
      </c>
      <c r="AD38" s="307">
        <v>0.16874285680907114</v>
      </c>
      <c r="AE38" s="307">
        <v>0.14830476329440162</v>
      </c>
      <c r="AF38" s="48"/>
    </row>
    <row r="39" spans="4:33" ht="13">
      <c r="D39" s="178"/>
      <c r="E39" s="179"/>
      <c r="F39" s="180"/>
      <c r="G39" s="180"/>
      <c r="H39" s="180"/>
      <c r="I39" s="180"/>
      <c r="J39" s="180"/>
      <c r="K39" s="180"/>
      <c r="L39" s="180"/>
      <c r="M39" s="180"/>
      <c r="N39" s="180"/>
      <c r="O39" s="180"/>
      <c r="P39" s="180"/>
      <c r="S39" s="306">
        <v>22</v>
      </c>
      <c r="T39" s="307">
        <v>0.81887142289252501</v>
      </c>
      <c r="U39" s="307">
        <v>2.0725095186914713</v>
      </c>
      <c r="V39" s="307">
        <v>4.7808094819386797</v>
      </c>
      <c r="W39" s="307">
        <v>4.8097618988582083</v>
      </c>
      <c r="X39" s="307">
        <v>4.2374285629817425</v>
      </c>
      <c r="Y39" s="307">
        <v>4.0335237866356257</v>
      </c>
      <c r="Z39" s="307">
        <v>4.4849047774360287</v>
      </c>
      <c r="AA39" s="307">
        <v>4.4659524418058849</v>
      </c>
      <c r="AB39" s="307">
        <v>1.2044285791260858</v>
      </c>
      <c r="AC39" s="307">
        <v>0.3399666675499507</v>
      </c>
      <c r="AD39" s="307">
        <v>0.16670476254962743</v>
      </c>
      <c r="AE39" s="307">
        <v>0.1426095235205832</v>
      </c>
      <c r="AF39" s="48"/>
    </row>
    <row r="40" spans="4:33" ht="13">
      <c r="D40" s="147"/>
      <c r="E40" s="147"/>
      <c r="F40" s="180"/>
      <c r="G40" s="180"/>
      <c r="H40" s="180"/>
      <c r="I40" s="180"/>
      <c r="J40" s="180"/>
      <c r="K40" s="180"/>
      <c r="L40" s="180"/>
      <c r="M40" s="180"/>
      <c r="N40" s="180"/>
      <c r="O40" s="180"/>
      <c r="P40" s="180"/>
      <c r="S40" s="306">
        <v>23</v>
      </c>
      <c r="T40" s="307">
        <v>0.77259048393794472</v>
      </c>
      <c r="U40" s="307">
        <v>1.9485809263728915</v>
      </c>
      <c r="V40" s="307">
        <v>4.6147142818995883</v>
      </c>
      <c r="W40" s="307">
        <v>4.7549999554952</v>
      </c>
      <c r="X40" s="307">
        <v>4.1572381314777189</v>
      </c>
      <c r="Y40" s="307">
        <v>3.986714306331816</v>
      </c>
      <c r="Z40" s="307">
        <v>4.3908094565073652</v>
      </c>
      <c r="AA40" s="307">
        <v>4.3929047698066332</v>
      </c>
      <c r="AB40" s="307">
        <v>1.1463000008038111</v>
      </c>
      <c r="AC40" s="307">
        <v>0.32606666570618031</v>
      </c>
      <c r="AD40" s="307">
        <v>0.16435238080365316</v>
      </c>
      <c r="AE40" s="307">
        <v>0.13989047670648214</v>
      </c>
      <c r="AF40" s="48"/>
    </row>
    <row r="41" spans="4:33" ht="15.5">
      <c r="D41" s="797"/>
      <c r="E41" s="797"/>
      <c r="F41" s="797"/>
      <c r="G41" s="94"/>
      <c r="H41" s="94"/>
      <c r="I41" s="94"/>
      <c r="J41" s="94"/>
      <c r="K41" s="94"/>
      <c r="L41" s="94"/>
      <c r="M41" s="94"/>
      <c r="N41" s="94"/>
      <c r="O41" s="94"/>
      <c r="P41" s="94"/>
      <c r="S41" s="306">
        <v>24</v>
      </c>
      <c r="T41" s="307">
        <v>0.73893332907131737</v>
      </c>
      <c r="U41" s="307">
        <v>1.8626761975742521</v>
      </c>
      <c r="V41" s="307">
        <v>4.4666666643960138</v>
      </c>
      <c r="W41" s="307">
        <v>4.6648095221746537</v>
      </c>
      <c r="X41" s="307">
        <v>4.1163809753599621</v>
      </c>
      <c r="Y41" s="307">
        <v>3.9283333392370312</v>
      </c>
      <c r="Z41" s="307">
        <v>4.2686666761125833</v>
      </c>
      <c r="AA41" s="307">
        <v>4.2961904889061344</v>
      </c>
      <c r="AB41" s="307">
        <v>1.0777571428389774</v>
      </c>
      <c r="AC41" s="307">
        <v>0.31669047616776957</v>
      </c>
      <c r="AD41" s="307">
        <v>0.16203809387627099</v>
      </c>
      <c r="AE41" s="307">
        <v>0.13638095273858025</v>
      </c>
      <c r="AF41" s="48"/>
    </row>
    <row r="42" spans="4:33" ht="13">
      <c r="E42" s="3" t="str">
        <f>CONCATENATE("MONTHLY RATED FLOW CURVES. ",D2)</f>
        <v>MONTHLY RATED FLOW CURVES. NATURAL FLOW</v>
      </c>
      <c r="S42" s="306">
        <v>25</v>
      </c>
      <c r="T42" s="307">
        <v>0.67782856736864372</v>
      </c>
      <c r="U42" s="307">
        <v>1.8054523922148207</v>
      </c>
      <c r="V42" s="307">
        <v>4.3568571238290712</v>
      </c>
      <c r="W42" s="307">
        <v>4.621523766290573</v>
      </c>
      <c r="X42" s="307">
        <v>4.0203333128066285</v>
      </c>
      <c r="Y42" s="307">
        <v>3.8567619096665147</v>
      </c>
      <c r="Z42" s="307">
        <v>4.1847142832619806</v>
      </c>
      <c r="AA42" s="307">
        <v>4.2281904561179013</v>
      </c>
      <c r="AB42" s="307">
        <v>1.0248857083774749</v>
      </c>
      <c r="AC42" s="307">
        <v>0.3046333335694813</v>
      </c>
      <c r="AD42" s="307">
        <v>0.16013333414282122</v>
      </c>
      <c r="AE42" s="307">
        <v>0.1324095236403601</v>
      </c>
      <c r="AF42" s="48"/>
    </row>
    <row r="43" spans="4:33" ht="13">
      <c r="S43" s="306">
        <v>26</v>
      </c>
      <c r="T43" s="307">
        <v>0.61657618270033887</v>
      </c>
      <c r="U43" s="307">
        <v>1.6753904734339033</v>
      </c>
      <c r="V43" s="307">
        <v>4.2599047535941716</v>
      </c>
      <c r="W43" s="307">
        <v>4.5133332752046131</v>
      </c>
      <c r="X43" s="307">
        <v>3.9650476205916632</v>
      </c>
      <c r="Y43" s="307">
        <v>3.7730951990400041</v>
      </c>
      <c r="Z43" s="307">
        <v>4.1260476339431031</v>
      </c>
      <c r="AA43" s="307">
        <v>4.1311905043465744</v>
      </c>
      <c r="AB43" s="307">
        <v>0.97529523997079759</v>
      </c>
      <c r="AC43" s="307">
        <v>0.29683333422456465</v>
      </c>
      <c r="AD43" s="307">
        <v>0.15801428577729634</v>
      </c>
      <c r="AE43" s="307">
        <v>0.1296666661898295</v>
      </c>
      <c r="AF43" s="48"/>
    </row>
    <row r="44" spans="4:33" ht="13">
      <c r="S44" s="306">
        <v>27</v>
      </c>
      <c r="T44" s="307">
        <v>0.58388570944468177</v>
      </c>
      <c r="U44" s="307">
        <v>1.5742000057583767</v>
      </c>
      <c r="V44" s="307">
        <v>4.0776666573115756</v>
      </c>
      <c r="W44" s="307">
        <v>4.4583333219800672</v>
      </c>
      <c r="X44" s="307">
        <v>3.8686190446217856</v>
      </c>
      <c r="Y44" s="307">
        <v>3.7065714200337734</v>
      </c>
      <c r="Z44" s="307">
        <v>3.9638571398598814</v>
      </c>
      <c r="AA44" s="307">
        <v>4.0028571741921564</v>
      </c>
      <c r="AB44" s="307">
        <v>0.9194238043966747</v>
      </c>
      <c r="AC44" s="307">
        <v>0.28723809690702529</v>
      </c>
      <c r="AD44" s="307">
        <v>0.15393333207993279</v>
      </c>
      <c r="AE44" s="307">
        <v>0.12718666628712699</v>
      </c>
      <c r="AF44" s="48"/>
    </row>
    <row r="45" spans="4:33" ht="13">
      <c r="S45" s="306">
        <v>28</v>
      </c>
      <c r="T45" s="307">
        <v>0.55556190652506698</v>
      </c>
      <c r="U45" s="307">
        <v>1.4588333141236081</v>
      </c>
      <c r="V45" s="307">
        <v>3.938809548105513</v>
      </c>
      <c r="W45" s="307">
        <v>4.3530951908656519</v>
      </c>
      <c r="X45" s="307">
        <v>3.7473333222525458</v>
      </c>
      <c r="Y45" s="307">
        <v>3.6165238107953748</v>
      </c>
      <c r="Z45" s="307">
        <v>3.807380960101173</v>
      </c>
      <c r="AA45" s="307">
        <v>3.8730952626182917</v>
      </c>
      <c r="AB45" s="307">
        <v>0.87816666989099401</v>
      </c>
      <c r="AC45" s="307">
        <v>0.27753809804008117</v>
      </c>
      <c r="AD45" s="308">
        <v>0.15181904747372579</v>
      </c>
      <c r="AE45" s="308">
        <v>0.12393333479052498</v>
      </c>
      <c r="AF45" s="297"/>
      <c r="AG45" s="297"/>
    </row>
    <row r="46" spans="4:33" ht="13">
      <c r="S46" s="306">
        <v>29</v>
      </c>
      <c r="T46" s="307">
        <v>0.49506190419197083</v>
      </c>
      <c r="U46" s="307">
        <v>1.33352381842477</v>
      </c>
      <c r="V46" s="307">
        <v>3.8109047469638639</v>
      </c>
      <c r="W46" s="307">
        <v>4.2861428714933849</v>
      </c>
      <c r="X46" s="307"/>
      <c r="Y46" s="307">
        <v>3.5588095528738841</v>
      </c>
      <c r="Z46" s="307">
        <v>3.6929523604256773</v>
      </c>
      <c r="AA46" s="307">
        <v>3.7643333049047554</v>
      </c>
      <c r="AB46" s="307">
        <v>0.83618095375242696</v>
      </c>
      <c r="AC46" s="307">
        <v>0.26807619134585059</v>
      </c>
      <c r="AD46" s="308">
        <v>0.14799999871424263</v>
      </c>
      <c r="AE46" s="308">
        <v>0.11973762050980614</v>
      </c>
      <c r="AF46" s="297"/>
      <c r="AG46" s="297"/>
    </row>
    <row r="47" spans="4:33" ht="13">
      <c r="S47" s="306">
        <v>30</v>
      </c>
      <c r="T47" s="307">
        <v>0.44765237896215354</v>
      </c>
      <c r="U47" s="307">
        <v>1.2343761920928957</v>
      </c>
      <c r="V47" s="307">
        <v>3.6648571604774114</v>
      </c>
      <c r="W47" s="307">
        <v>4.1691428820292149</v>
      </c>
      <c r="X47" s="307"/>
      <c r="Y47" s="307">
        <v>3.4789047695341564</v>
      </c>
      <c r="Z47" s="307">
        <v>3.548952386492775</v>
      </c>
      <c r="AA47" s="307">
        <v>3.6802857262747621</v>
      </c>
      <c r="AB47" s="307">
        <v>0.7932857133093334</v>
      </c>
      <c r="AC47" s="307">
        <v>0.25989523884795962</v>
      </c>
      <c r="AD47" s="308">
        <v>0.14551428563538052</v>
      </c>
      <c r="AE47" s="308">
        <v>0.11605095295679001</v>
      </c>
      <c r="AF47" s="297"/>
      <c r="AG47" s="297"/>
    </row>
    <row r="48" spans="4:33" ht="13">
      <c r="S48" s="306">
        <v>31</v>
      </c>
      <c r="T48" s="307">
        <v>0.39368095142500747</v>
      </c>
      <c r="U48" s="307"/>
      <c r="V48" s="307">
        <v>3.4961905082066855</v>
      </c>
      <c r="W48" s="307">
        <v>4.0530476002466127</v>
      </c>
      <c r="X48" s="307"/>
      <c r="Y48" s="307">
        <v>3.368619067328317</v>
      </c>
      <c r="Z48" s="307"/>
      <c r="AA48" s="307">
        <v>3.5512857323601135</v>
      </c>
      <c r="AB48" s="307"/>
      <c r="AC48" s="307">
        <v>0.25050000207764761</v>
      </c>
      <c r="AD48" s="308">
        <v>0.14060000081857046</v>
      </c>
      <c r="AE48" s="308"/>
      <c r="AF48" s="297"/>
      <c r="AG48" s="297"/>
    </row>
    <row r="49" spans="19:33">
      <c r="AD49" s="297"/>
      <c r="AE49" s="297"/>
      <c r="AF49" s="297"/>
      <c r="AG49" s="297"/>
    </row>
    <row r="50" spans="19:33" ht="14">
      <c r="S50" s="181"/>
      <c r="T50" s="182"/>
      <c r="U50" s="182"/>
      <c r="V50" s="182"/>
      <c r="W50" s="182"/>
      <c r="X50" s="182"/>
      <c r="Y50" s="182"/>
      <c r="Z50" s="182"/>
      <c r="AA50" s="182"/>
      <c r="AB50" s="182"/>
      <c r="AC50" s="182"/>
      <c r="AD50" s="309"/>
      <c r="AE50" s="309"/>
      <c r="AF50" s="801" t="s">
        <v>396</v>
      </c>
      <c r="AG50" s="297"/>
    </row>
    <row r="51" spans="19:33" ht="14.5">
      <c r="S51" s="181"/>
      <c r="T51" s="183"/>
      <c r="U51" s="183"/>
      <c r="V51" s="183"/>
      <c r="W51" s="183"/>
      <c r="X51" s="183"/>
      <c r="Y51" s="183"/>
      <c r="Z51" s="183"/>
      <c r="AA51" s="183"/>
      <c r="AB51" s="183"/>
      <c r="AC51" s="183"/>
      <c r="AD51" s="310"/>
      <c r="AE51" s="310"/>
      <c r="AF51" s="802"/>
      <c r="AG51" s="297"/>
    </row>
    <row r="52" spans="19:33" ht="13">
      <c r="S52" s="184"/>
      <c r="AD52" s="297"/>
      <c r="AE52" s="297"/>
      <c r="AF52" s="311">
        <f>MAX(T52:AE52)-MIN(T52:AE52)</f>
        <v>0</v>
      </c>
      <c r="AG52" s="297"/>
    </row>
    <row r="53" spans="19:33" ht="13">
      <c r="S53" s="185"/>
      <c r="AD53" s="297"/>
      <c r="AE53" s="297"/>
      <c r="AF53" s="311">
        <f t="shared" ref="AF53:AF67" si="3">MAX(T53:AE53)-MIN(T53:AE53)</f>
        <v>0</v>
      </c>
      <c r="AG53" s="297"/>
    </row>
    <row r="54" spans="19:33" ht="13">
      <c r="S54" s="185"/>
      <c r="AD54" s="297"/>
      <c r="AE54" s="297"/>
      <c r="AF54" s="311">
        <f t="shared" si="3"/>
        <v>0</v>
      </c>
      <c r="AG54" s="297"/>
    </row>
    <row r="55" spans="19:33" ht="13">
      <c r="S55" s="185"/>
      <c r="AD55" s="297"/>
      <c r="AE55" s="297"/>
      <c r="AF55" s="311">
        <f t="shared" si="3"/>
        <v>0</v>
      </c>
      <c r="AG55" s="297"/>
    </row>
    <row r="56" spans="19:33" ht="13">
      <c r="S56" s="185"/>
      <c r="AD56" s="297"/>
      <c r="AE56" s="297"/>
      <c r="AF56" s="311">
        <f t="shared" si="3"/>
        <v>0</v>
      </c>
      <c r="AG56" s="297"/>
    </row>
    <row r="57" spans="19:33" ht="13">
      <c r="S57" s="185"/>
      <c r="AD57" s="297"/>
      <c r="AE57" s="297"/>
      <c r="AF57" s="311">
        <f t="shared" si="3"/>
        <v>0</v>
      </c>
      <c r="AG57" s="297"/>
    </row>
    <row r="58" spans="19:33" ht="13">
      <c r="S58" s="185"/>
      <c r="AD58" s="297"/>
      <c r="AE58" s="297"/>
      <c r="AF58" s="311">
        <f t="shared" si="3"/>
        <v>0</v>
      </c>
      <c r="AG58" s="297"/>
    </row>
    <row r="59" spans="19:33" ht="13">
      <c r="S59" s="185"/>
      <c r="AD59" s="297"/>
      <c r="AE59" s="297"/>
      <c r="AF59" s="311">
        <f t="shared" si="3"/>
        <v>0</v>
      </c>
      <c r="AG59" s="297"/>
    </row>
    <row r="60" spans="19:33" ht="13">
      <c r="S60" s="185"/>
      <c r="AD60" s="297"/>
      <c r="AE60" s="297"/>
      <c r="AF60" s="311">
        <f t="shared" si="3"/>
        <v>0</v>
      </c>
      <c r="AG60" s="297"/>
    </row>
    <row r="61" spans="19:33" ht="13">
      <c r="S61" s="185"/>
      <c r="AD61" s="297"/>
      <c r="AE61" s="297"/>
      <c r="AF61" s="311">
        <f t="shared" si="3"/>
        <v>0</v>
      </c>
      <c r="AG61" s="297"/>
    </row>
    <row r="62" spans="19:33" ht="13">
      <c r="S62" s="185"/>
      <c r="AD62" s="297"/>
      <c r="AE62" s="297"/>
      <c r="AF62" s="311">
        <f t="shared" si="3"/>
        <v>0</v>
      </c>
      <c r="AG62" s="297"/>
    </row>
    <row r="63" spans="19:33" ht="13">
      <c r="S63" s="185"/>
      <c r="AD63" s="297"/>
      <c r="AE63" s="297"/>
      <c r="AF63" s="311">
        <f t="shared" si="3"/>
        <v>0</v>
      </c>
      <c r="AG63" s="297"/>
    </row>
    <row r="64" spans="19:33" ht="13">
      <c r="S64" s="185"/>
      <c r="AD64" s="297"/>
      <c r="AE64" s="297"/>
      <c r="AF64" s="311">
        <f t="shared" si="3"/>
        <v>0</v>
      </c>
      <c r="AG64" s="297"/>
    </row>
    <row r="65" spans="19:33" ht="13">
      <c r="S65" s="185"/>
      <c r="AD65" s="297"/>
      <c r="AE65" s="297"/>
      <c r="AF65" s="311">
        <f t="shared" si="3"/>
        <v>0</v>
      </c>
      <c r="AG65" s="297"/>
    </row>
    <row r="66" spans="19:33" ht="13">
      <c r="S66" s="185"/>
      <c r="AD66" s="297"/>
      <c r="AE66" s="297"/>
      <c r="AF66" s="311">
        <f t="shared" si="3"/>
        <v>0</v>
      </c>
      <c r="AG66" s="297"/>
    </row>
    <row r="67" spans="19:33" ht="13">
      <c r="S67" s="185"/>
      <c r="AD67" s="297"/>
      <c r="AE67" s="297"/>
      <c r="AF67" s="311">
        <f t="shared" si="3"/>
        <v>0</v>
      </c>
      <c r="AG67" s="297"/>
    </row>
    <row r="68" spans="19:33">
      <c r="AD68" s="297"/>
      <c r="AE68" s="297"/>
      <c r="AF68" s="297"/>
      <c r="AG68" s="297"/>
    </row>
    <row r="69" spans="19:33">
      <c r="AD69" s="297"/>
      <c r="AE69" s="297"/>
      <c r="AF69" s="297"/>
      <c r="AG69" s="297"/>
    </row>
  </sheetData>
  <mergeCells count="24">
    <mergeCell ref="D41:F41"/>
    <mergeCell ref="AF50:AF51"/>
    <mergeCell ref="D15:P15"/>
    <mergeCell ref="E16:E17"/>
    <mergeCell ref="F16:F17"/>
    <mergeCell ref="G16:G17"/>
    <mergeCell ref="H16:H17"/>
    <mergeCell ref="I16:I17"/>
    <mergeCell ref="J16:J17"/>
    <mergeCell ref="K16:K17"/>
    <mergeCell ref="L16:L17"/>
    <mergeCell ref="M16:M17"/>
    <mergeCell ref="N16:N17"/>
    <mergeCell ref="O16:O17"/>
    <mergeCell ref="P16:P17"/>
    <mergeCell ref="D14:P14"/>
    <mergeCell ref="D2:L2"/>
    <mergeCell ref="D3:L3"/>
    <mergeCell ref="B5:D5"/>
    <mergeCell ref="B6:D6"/>
    <mergeCell ref="B7:D7"/>
    <mergeCell ref="D12:P12"/>
    <mergeCell ref="B2:C2"/>
    <mergeCell ref="B3:C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8"/>
  <dimension ref="A1:AG67"/>
  <sheetViews>
    <sheetView showGridLines="0" zoomScale="70" zoomScaleNormal="70" workbookViewId="0">
      <selection activeCell="B3" sqref="B3:C3"/>
    </sheetView>
  </sheetViews>
  <sheetFormatPr baseColWidth="10" defaultRowHeight="12.5"/>
  <cols>
    <col min="1" max="1" width="2.81640625" style="3" customWidth="1"/>
    <col min="2" max="2" width="20.453125" style="3" customWidth="1"/>
    <col min="3" max="3" width="10.1796875" style="3" customWidth="1"/>
    <col min="4" max="4" width="19.81640625" style="3" customWidth="1"/>
    <col min="5" max="17" width="13.81640625" style="3" customWidth="1"/>
    <col min="18" max="18" width="11.453125" style="3" customWidth="1"/>
    <col min="19" max="19" width="13.81640625" style="3" customWidth="1"/>
    <col min="20" max="20" width="15.54296875" style="3" customWidth="1"/>
    <col min="21" max="264" width="11.453125" style="3" customWidth="1"/>
    <col min="265" max="265" width="2.81640625" style="3" customWidth="1"/>
    <col min="266" max="266" width="15" style="3" customWidth="1"/>
    <col min="267" max="267" width="10.1796875" style="3" customWidth="1"/>
    <col min="268" max="268" width="19.81640625" style="3" customWidth="1"/>
    <col min="269" max="269" width="18" style="3" customWidth="1"/>
    <col min="270" max="270" width="17.81640625" style="3" customWidth="1"/>
    <col min="271" max="271" width="13.1796875" style="3" customWidth="1"/>
    <col min="272" max="272" width="9.81640625" style="3" customWidth="1"/>
    <col min="273" max="520" width="11.453125" style="3" customWidth="1"/>
    <col min="521" max="521" width="2.81640625" style="3" customWidth="1"/>
    <col min="522" max="522" width="15" style="3" customWidth="1"/>
    <col min="523" max="523" width="10.1796875" style="3" customWidth="1"/>
    <col min="524" max="524" width="19.81640625" style="3" customWidth="1"/>
    <col min="525" max="525" width="18" style="3" customWidth="1"/>
    <col min="526" max="526" width="17.81640625" style="3" customWidth="1"/>
    <col min="527" max="527" width="13.1796875" style="3" customWidth="1"/>
    <col min="528" max="528" width="9.81640625" style="3" customWidth="1"/>
    <col min="529" max="776" width="11.453125" style="3" customWidth="1"/>
    <col min="777" max="777" width="2.81640625" style="3" customWidth="1"/>
    <col min="778" max="778" width="15" style="3" customWidth="1"/>
    <col min="779" max="779" width="10.1796875" style="3" customWidth="1"/>
    <col min="780" max="780" width="19.81640625" style="3" customWidth="1"/>
    <col min="781" max="781" width="18" style="3" customWidth="1"/>
    <col min="782" max="782" width="17.81640625" style="3" customWidth="1"/>
    <col min="783" max="783" width="13.1796875" style="3" customWidth="1"/>
    <col min="784" max="784" width="9.81640625" style="3" customWidth="1"/>
    <col min="785" max="1032" width="11.453125" style="3" customWidth="1"/>
    <col min="1033" max="1033" width="2.81640625" style="3" customWidth="1"/>
    <col min="1034" max="1034" width="15" style="3" customWidth="1"/>
    <col min="1035" max="1035" width="10.1796875" style="3" customWidth="1"/>
    <col min="1036" max="1036" width="19.81640625" style="3" customWidth="1"/>
    <col min="1037" max="1037" width="18" style="3" customWidth="1"/>
    <col min="1038" max="1038" width="17.81640625" style="3" customWidth="1"/>
    <col min="1039" max="1039" width="13.1796875" style="3" customWidth="1"/>
    <col min="1040" max="1040" width="9.81640625" style="3" customWidth="1"/>
    <col min="1041" max="1288" width="11.453125" style="3" customWidth="1"/>
    <col min="1289" max="1289" width="2.81640625" style="3" customWidth="1"/>
    <col min="1290" max="1290" width="15" style="3" customWidth="1"/>
    <col min="1291" max="1291" width="10.1796875" style="3" customWidth="1"/>
    <col min="1292" max="1292" width="19.81640625" style="3" customWidth="1"/>
    <col min="1293" max="1293" width="18" style="3" customWidth="1"/>
    <col min="1294" max="1294" width="17.81640625" style="3" customWidth="1"/>
    <col min="1295" max="1295" width="13.1796875" style="3" customWidth="1"/>
    <col min="1296" max="1296" width="9.81640625" style="3" customWidth="1"/>
    <col min="1297" max="1544" width="11.453125" style="3" customWidth="1"/>
    <col min="1545" max="1545" width="2.81640625" style="3" customWidth="1"/>
    <col min="1546" max="1546" width="15" style="3" customWidth="1"/>
    <col min="1547" max="1547" width="10.1796875" style="3" customWidth="1"/>
    <col min="1548" max="1548" width="19.81640625" style="3" customWidth="1"/>
    <col min="1549" max="1549" width="18" style="3" customWidth="1"/>
    <col min="1550" max="1550" width="17.81640625" style="3" customWidth="1"/>
    <col min="1551" max="1551" width="13.1796875" style="3" customWidth="1"/>
    <col min="1552" max="1552" width="9.81640625" style="3" customWidth="1"/>
    <col min="1553" max="1800" width="11.453125" style="3" customWidth="1"/>
    <col min="1801" max="1801" width="2.81640625" style="3" customWidth="1"/>
    <col min="1802" max="1802" width="15" style="3" customWidth="1"/>
    <col min="1803" max="1803" width="10.1796875" style="3" customWidth="1"/>
    <col min="1804" max="1804" width="19.81640625" style="3" customWidth="1"/>
    <col min="1805" max="1805" width="18" style="3" customWidth="1"/>
    <col min="1806" max="1806" width="17.81640625" style="3" customWidth="1"/>
    <col min="1807" max="1807" width="13.1796875" style="3" customWidth="1"/>
    <col min="1808" max="1808" width="9.81640625" style="3" customWidth="1"/>
    <col min="1809" max="2056" width="11.453125" style="3" customWidth="1"/>
    <col min="2057" max="2057" width="2.81640625" style="3" customWidth="1"/>
    <col min="2058" max="2058" width="15" style="3" customWidth="1"/>
    <col min="2059" max="2059" width="10.1796875" style="3" customWidth="1"/>
    <col min="2060" max="2060" width="19.81640625" style="3" customWidth="1"/>
    <col min="2061" max="2061" width="18" style="3" customWidth="1"/>
    <col min="2062" max="2062" width="17.81640625" style="3" customWidth="1"/>
    <col min="2063" max="2063" width="13.1796875" style="3" customWidth="1"/>
    <col min="2064" max="2064" width="9.81640625" style="3" customWidth="1"/>
    <col min="2065" max="2312" width="11.453125" style="3" customWidth="1"/>
    <col min="2313" max="2313" width="2.81640625" style="3" customWidth="1"/>
    <col min="2314" max="2314" width="15" style="3" customWidth="1"/>
    <col min="2315" max="2315" width="10.1796875" style="3" customWidth="1"/>
    <col min="2316" max="2316" width="19.81640625" style="3" customWidth="1"/>
    <col min="2317" max="2317" width="18" style="3" customWidth="1"/>
    <col min="2318" max="2318" width="17.81640625" style="3" customWidth="1"/>
    <col min="2319" max="2319" width="13.1796875" style="3" customWidth="1"/>
    <col min="2320" max="2320" width="9.81640625" style="3" customWidth="1"/>
    <col min="2321" max="2568" width="11.453125" style="3" customWidth="1"/>
    <col min="2569" max="2569" width="2.81640625" style="3" customWidth="1"/>
    <col min="2570" max="2570" width="15" style="3" customWidth="1"/>
    <col min="2571" max="2571" width="10.1796875" style="3" customWidth="1"/>
    <col min="2572" max="2572" width="19.81640625" style="3" customWidth="1"/>
    <col min="2573" max="2573" width="18" style="3" customWidth="1"/>
    <col min="2574" max="2574" width="17.81640625" style="3" customWidth="1"/>
    <col min="2575" max="2575" width="13.1796875" style="3" customWidth="1"/>
    <col min="2576" max="2576" width="9.81640625" style="3" customWidth="1"/>
    <col min="2577" max="2824" width="11.453125" style="3" customWidth="1"/>
    <col min="2825" max="2825" width="2.81640625" style="3" customWidth="1"/>
    <col min="2826" max="2826" width="15" style="3" customWidth="1"/>
    <col min="2827" max="2827" width="10.1796875" style="3" customWidth="1"/>
    <col min="2828" max="2828" width="19.81640625" style="3" customWidth="1"/>
    <col min="2829" max="2829" width="18" style="3" customWidth="1"/>
    <col min="2830" max="2830" width="17.81640625" style="3" customWidth="1"/>
    <col min="2831" max="2831" width="13.1796875" style="3" customWidth="1"/>
    <col min="2832" max="2832" width="9.81640625" style="3" customWidth="1"/>
    <col min="2833" max="3080" width="11.453125" style="3" customWidth="1"/>
    <col min="3081" max="3081" width="2.81640625" style="3" customWidth="1"/>
    <col min="3082" max="3082" width="15" style="3" customWidth="1"/>
    <col min="3083" max="3083" width="10.1796875" style="3" customWidth="1"/>
    <col min="3084" max="3084" width="19.81640625" style="3" customWidth="1"/>
    <col min="3085" max="3085" width="18" style="3" customWidth="1"/>
    <col min="3086" max="3086" width="17.81640625" style="3" customWidth="1"/>
    <col min="3087" max="3087" width="13.1796875" style="3" customWidth="1"/>
    <col min="3088" max="3088" width="9.81640625" style="3" customWidth="1"/>
    <col min="3089" max="3336" width="11.453125" style="3" customWidth="1"/>
    <col min="3337" max="3337" width="2.81640625" style="3" customWidth="1"/>
    <col min="3338" max="3338" width="15" style="3" customWidth="1"/>
    <col min="3339" max="3339" width="10.1796875" style="3" customWidth="1"/>
    <col min="3340" max="3340" width="19.81640625" style="3" customWidth="1"/>
    <col min="3341" max="3341" width="18" style="3" customWidth="1"/>
    <col min="3342" max="3342" width="17.81640625" style="3" customWidth="1"/>
    <col min="3343" max="3343" width="13.1796875" style="3" customWidth="1"/>
    <col min="3344" max="3344" width="9.81640625" style="3" customWidth="1"/>
    <col min="3345" max="3592" width="11.453125" style="3" customWidth="1"/>
    <col min="3593" max="3593" width="2.81640625" style="3" customWidth="1"/>
    <col min="3594" max="3594" width="15" style="3" customWidth="1"/>
    <col min="3595" max="3595" width="10.1796875" style="3" customWidth="1"/>
    <col min="3596" max="3596" width="19.81640625" style="3" customWidth="1"/>
    <col min="3597" max="3597" width="18" style="3" customWidth="1"/>
    <col min="3598" max="3598" width="17.81640625" style="3" customWidth="1"/>
    <col min="3599" max="3599" width="13.1796875" style="3" customWidth="1"/>
    <col min="3600" max="3600" width="9.81640625" style="3" customWidth="1"/>
    <col min="3601" max="3848" width="11.453125" style="3" customWidth="1"/>
    <col min="3849" max="3849" width="2.81640625" style="3" customWidth="1"/>
    <col min="3850" max="3850" width="15" style="3" customWidth="1"/>
    <col min="3851" max="3851" width="10.1796875" style="3" customWidth="1"/>
    <col min="3852" max="3852" width="19.81640625" style="3" customWidth="1"/>
    <col min="3853" max="3853" width="18" style="3" customWidth="1"/>
    <col min="3854" max="3854" width="17.81640625" style="3" customWidth="1"/>
    <col min="3855" max="3855" width="13.1796875" style="3" customWidth="1"/>
    <col min="3856" max="3856" width="9.81640625" style="3" customWidth="1"/>
    <col min="3857" max="4104" width="11.453125" style="3" customWidth="1"/>
    <col min="4105" max="4105" width="2.81640625" style="3" customWidth="1"/>
    <col min="4106" max="4106" width="15" style="3" customWidth="1"/>
    <col min="4107" max="4107" width="10.1796875" style="3" customWidth="1"/>
    <col min="4108" max="4108" width="19.81640625" style="3" customWidth="1"/>
    <col min="4109" max="4109" width="18" style="3" customWidth="1"/>
    <col min="4110" max="4110" width="17.81640625" style="3" customWidth="1"/>
    <col min="4111" max="4111" width="13.1796875" style="3" customWidth="1"/>
    <col min="4112" max="4112" width="9.81640625" style="3" customWidth="1"/>
    <col min="4113" max="4360" width="11.453125" style="3" customWidth="1"/>
    <col min="4361" max="4361" width="2.81640625" style="3" customWidth="1"/>
    <col min="4362" max="4362" width="15" style="3" customWidth="1"/>
    <col min="4363" max="4363" width="10.1796875" style="3" customWidth="1"/>
    <col min="4364" max="4364" width="19.81640625" style="3" customWidth="1"/>
    <col min="4365" max="4365" width="18" style="3" customWidth="1"/>
    <col min="4366" max="4366" width="17.81640625" style="3" customWidth="1"/>
    <col min="4367" max="4367" width="13.1796875" style="3" customWidth="1"/>
    <col min="4368" max="4368" width="9.81640625" style="3" customWidth="1"/>
    <col min="4369" max="4616" width="11.453125" style="3" customWidth="1"/>
    <col min="4617" max="4617" width="2.81640625" style="3" customWidth="1"/>
    <col min="4618" max="4618" width="15" style="3" customWidth="1"/>
    <col min="4619" max="4619" width="10.1796875" style="3" customWidth="1"/>
    <col min="4620" max="4620" width="19.81640625" style="3" customWidth="1"/>
    <col min="4621" max="4621" width="18" style="3" customWidth="1"/>
    <col min="4622" max="4622" width="17.81640625" style="3" customWidth="1"/>
    <col min="4623" max="4623" width="13.1796875" style="3" customWidth="1"/>
    <col min="4624" max="4624" width="9.81640625" style="3" customWidth="1"/>
    <col min="4625" max="4872" width="11.453125" style="3" customWidth="1"/>
    <col min="4873" max="4873" width="2.81640625" style="3" customWidth="1"/>
    <col min="4874" max="4874" width="15" style="3" customWidth="1"/>
    <col min="4875" max="4875" width="10.1796875" style="3" customWidth="1"/>
    <col min="4876" max="4876" width="19.81640625" style="3" customWidth="1"/>
    <col min="4877" max="4877" width="18" style="3" customWidth="1"/>
    <col min="4878" max="4878" width="17.81640625" style="3" customWidth="1"/>
    <col min="4879" max="4879" width="13.1796875" style="3" customWidth="1"/>
    <col min="4880" max="4880" width="9.81640625" style="3" customWidth="1"/>
    <col min="4881" max="5128" width="11.453125" style="3" customWidth="1"/>
    <col min="5129" max="5129" width="2.81640625" style="3" customWidth="1"/>
    <col min="5130" max="5130" width="15" style="3" customWidth="1"/>
    <col min="5131" max="5131" width="10.1796875" style="3" customWidth="1"/>
    <col min="5132" max="5132" width="19.81640625" style="3" customWidth="1"/>
    <col min="5133" max="5133" width="18" style="3" customWidth="1"/>
    <col min="5134" max="5134" width="17.81640625" style="3" customWidth="1"/>
    <col min="5135" max="5135" width="13.1796875" style="3" customWidth="1"/>
    <col min="5136" max="5136" width="9.81640625" style="3" customWidth="1"/>
    <col min="5137" max="5384" width="11.453125" style="3" customWidth="1"/>
    <col min="5385" max="5385" width="2.81640625" style="3" customWidth="1"/>
    <col min="5386" max="5386" width="15" style="3" customWidth="1"/>
    <col min="5387" max="5387" width="10.1796875" style="3" customWidth="1"/>
    <col min="5388" max="5388" width="19.81640625" style="3" customWidth="1"/>
    <col min="5389" max="5389" width="18" style="3" customWidth="1"/>
    <col min="5390" max="5390" width="17.81640625" style="3" customWidth="1"/>
    <col min="5391" max="5391" width="13.1796875" style="3" customWidth="1"/>
    <col min="5392" max="5392" width="9.81640625" style="3" customWidth="1"/>
    <col min="5393" max="5640" width="11.453125" style="3" customWidth="1"/>
    <col min="5641" max="5641" width="2.81640625" style="3" customWidth="1"/>
    <col min="5642" max="5642" width="15" style="3" customWidth="1"/>
    <col min="5643" max="5643" width="10.1796875" style="3" customWidth="1"/>
    <col min="5644" max="5644" width="19.81640625" style="3" customWidth="1"/>
    <col min="5645" max="5645" width="18" style="3" customWidth="1"/>
    <col min="5646" max="5646" width="17.81640625" style="3" customWidth="1"/>
    <col min="5647" max="5647" width="13.1796875" style="3" customWidth="1"/>
    <col min="5648" max="5648" width="9.81640625" style="3" customWidth="1"/>
    <col min="5649" max="5896" width="11.453125" style="3" customWidth="1"/>
    <col min="5897" max="5897" width="2.81640625" style="3" customWidth="1"/>
    <col min="5898" max="5898" width="15" style="3" customWidth="1"/>
    <col min="5899" max="5899" width="10.1796875" style="3" customWidth="1"/>
    <col min="5900" max="5900" width="19.81640625" style="3" customWidth="1"/>
    <col min="5901" max="5901" width="18" style="3" customWidth="1"/>
    <col min="5902" max="5902" width="17.81640625" style="3" customWidth="1"/>
    <col min="5903" max="5903" width="13.1796875" style="3" customWidth="1"/>
    <col min="5904" max="5904" width="9.81640625" style="3" customWidth="1"/>
    <col min="5905" max="6152" width="11.453125" style="3" customWidth="1"/>
    <col min="6153" max="6153" width="2.81640625" style="3" customWidth="1"/>
    <col min="6154" max="6154" width="15" style="3" customWidth="1"/>
    <col min="6155" max="6155" width="10.1796875" style="3" customWidth="1"/>
    <col min="6156" max="6156" width="19.81640625" style="3" customWidth="1"/>
    <col min="6157" max="6157" width="18" style="3" customWidth="1"/>
    <col min="6158" max="6158" width="17.81640625" style="3" customWidth="1"/>
    <col min="6159" max="6159" width="13.1796875" style="3" customWidth="1"/>
    <col min="6160" max="6160" width="9.81640625" style="3" customWidth="1"/>
    <col min="6161" max="6408" width="11.453125" style="3" customWidth="1"/>
    <col min="6409" max="6409" width="2.81640625" style="3" customWidth="1"/>
    <col min="6410" max="6410" width="15" style="3" customWidth="1"/>
    <col min="6411" max="6411" width="10.1796875" style="3" customWidth="1"/>
    <col min="6412" max="6412" width="19.81640625" style="3" customWidth="1"/>
    <col min="6413" max="6413" width="18" style="3" customWidth="1"/>
    <col min="6414" max="6414" width="17.81640625" style="3" customWidth="1"/>
    <col min="6415" max="6415" width="13.1796875" style="3" customWidth="1"/>
    <col min="6416" max="6416" width="9.81640625" style="3" customWidth="1"/>
    <col min="6417" max="6664" width="11.453125" style="3" customWidth="1"/>
    <col min="6665" max="6665" width="2.81640625" style="3" customWidth="1"/>
    <col min="6666" max="6666" width="15" style="3" customWidth="1"/>
    <col min="6667" max="6667" width="10.1796875" style="3" customWidth="1"/>
    <col min="6668" max="6668" width="19.81640625" style="3" customWidth="1"/>
    <col min="6669" max="6669" width="18" style="3" customWidth="1"/>
    <col min="6670" max="6670" width="17.81640625" style="3" customWidth="1"/>
    <col min="6671" max="6671" width="13.1796875" style="3" customWidth="1"/>
    <col min="6672" max="6672" width="9.81640625" style="3" customWidth="1"/>
    <col min="6673" max="6920" width="11.453125" style="3" customWidth="1"/>
    <col min="6921" max="6921" width="2.81640625" style="3" customWidth="1"/>
    <col min="6922" max="6922" width="15" style="3" customWidth="1"/>
    <col min="6923" max="6923" width="10.1796875" style="3" customWidth="1"/>
    <col min="6924" max="6924" width="19.81640625" style="3" customWidth="1"/>
    <col min="6925" max="6925" width="18" style="3" customWidth="1"/>
    <col min="6926" max="6926" width="17.81640625" style="3" customWidth="1"/>
    <col min="6927" max="6927" width="13.1796875" style="3" customWidth="1"/>
    <col min="6928" max="6928" width="9.81640625" style="3" customWidth="1"/>
    <col min="6929" max="7176" width="11.453125" style="3" customWidth="1"/>
    <col min="7177" max="7177" width="2.81640625" style="3" customWidth="1"/>
    <col min="7178" max="7178" width="15" style="3" customWidth="1"/>
    <col min="7179" max="7179" width="10.1796875" style="3" customWidth="1"/>
    <col min="7180" max="7180" width="19.81640625" style="3" customWidth="1"/>
    <col min="7181" max="7181" width="18" style="3" customWidth="1"/>
    <col min="7182" max="7182" width="17.81640625" style="3" customWidth="1"/>
    <col min="7183" max="7183" width="13.1796875" style="3" customWidth="1"/>
    <col min="7184" max="7184" width="9.81640625" style="3" customWidth="1"/>
    <col min="7185" max="7432" width="11.453125" style="3" customWidth="1"/>
    <col min="7433" max="7433" width="2.81640625" style="3" customWidth="1"/>
    <col min="7434" max="7434" width="15" style="3" customWidth="1"/>
    <col min="7435" max="7435" width="10.1796875" style="3" customWidth="1"/>
    <col min="7436" max="7436" width="19.81640625" style="3" customWidth="1"/>
    <col min="7437" max="7437" width="18" style="3" customWidth="1"/>
    <col min="7438" max="7438" width="17.81640625" style="3" customWidth="1"/>
    <col min="7439" max="7439" width="13.1796875" style="3" customWidth="1"/>
    <col min="7440" max="7440" width="9.81640625" style="3" customWidth="1"/>
    <col min="7441" max="7688" width="11.453125" style="3" customWidth="1"/>
    <col min="7689" max="7689" width="2.81640625" style="3" customWidth="1"/>
    <col min="7690" max="7690" width="15" style="3" customWidth="1"/>
    <col min="7691" max="7691" width="10.1796875" style="3" customWidth="1"/>
    <col min="7692" max="7692" width="19.81640625" style="3" customWidth="1"/>
    <col min="7693" max="7693" width="18" style="3" customWidth="1"/>
    <col min="7694" max="7694" width="17.81640625" style="3" customWidth="1"/>
    <col min="7695" max="7695" width="13.1796875" style="3" customWidth="1"/>
    <col min="7696" max="7696" width="9.81640625" style="3" customWidth="1"/>
    <col min="7697" max="7944" width="11.453125" style="3" customWidth="1"/>
    <col min="7945" max="7945" width="2.81640625" style="3" customWidth="1"/>
    <col min="7946" max="7946" width="15" style="3" customWidth="1"/>
    <col min="7947" max="7947" width="10.1796875" style="3" customWidth="1"/>
    <col min="7948" max="7948" width="19.81640625" style="3" customWidth="1"/>
    <col min="7949" max="7949" width="18" style="3" customWidth="1"/>
    <col min="7950" max="7950" width="17.81640625" style="3" customWidth="1"/>
    <col min="7951" max="7951" width="13.1796875" style="3" customWidth="1"/>
    <col min="7952" max="7952" width="9.81640625" style="3" customWidth="1"/>
    <col min="7953" max="8200" width="11.453125" style="3" customWidth="1"/>
    <col min="8201" max="8201" width="2.81640625" style="3" customWidth="1"/>
    <col min="8202" max="8202" width="15" style="3" customWidth="1"/>
    <col min="8203" max="8203" width="10.1796875" style="3" customWidth="1"/>
    <col min="8204" max="8204" width="19.81640625" style="3" customWidth="1"/>
    <col min="8205" max="8205" width="18" style="3" customWidth="1"/>
    <col min="8206" max="8206" width="17.81640625" style="3" customWidth="1"/>
    <col min="8207" max="8207" width="13.1796875" style="3" customWidth="1"/>
    <col min="8208" max="8208" width="9.81640625" style="3" customWidth="1"/>
    <col min="8209" max="8456" width="11.453125" style="3" customWidth="1"/>
    <col min="8457" max="8457" width="2.81640625" style="3" customWidth="1"/>
    <col min="8458" max="8458" width="15" style="3" customWidth="1"/>
    <col min="8459" max="8459" width="10.1796875" style="3" customWidth="1"/>
    <col min="8460" max="8460" width="19.81640625" style="3" customWidth="1"/>
    <col min="8461" max="8461" width="18" style="3" customWidth="1"/>
    <col min="8462" max="8462" width="17.81640625" style="3" customWidth="1"/>
    <col min="8463" max="8463" width="13.1796875" style="3" customWidth="1"/>
    <col min="8464" max="8464" width="9.81640625" style="3" customWidth="1"/>
    <col min="8465" max="8712" width="11.453125" style="3" customWidth="1"/>
    <col min="8713" max="8713" width="2.81640625" style="3" customWidth="1"/>
    <col min="8714" max="8714" width="15" style="3" customWidth="1"/>
    <col min="8715" max="8715" width="10.1796875" style="3" customWidth="1"/>
    <col min="8716" max="8716" width="19.81640625" style="3" customWidth="1"/>
    <col min="8717" max="8717" width="18" style="3" customWidth="1"/>
    <col min="8718" max="8718" width="17.81640625" style="3" customWidth="1"/>
    <col min="8719" max="8719" width="13.1796875" style="3" customWidth="1"/>
    <col min="8720" max="8720" width="9.81640625" style="3" customWidth="1"/>
    <col min="8721" max="8968" width="11.453125" style="3" customWidth="1"/>
    <col min="8969" max="8969" width="2.81640625" style="3" customWidth="1"/>
    <col min="8970" max="8970" width="15" style="3" customWidth="1"/>
    <col min="8971" max="8971" width="10.1796875" style="3" customWidth="1"/>
    <col min="8972" max="8972" width="19.81640625" style="3" customWidth="1"/>
    <col min="8973" max="8973" width="18" style="3" customWidth="1"/>
    <col min="8974" max="8974" width="17.81640625" style="3" customWidth="1"/>
    <col min="8975" max="8975" width="13.1796875" style="3" customWidth="1"/>
    <col min="8976" max="8976" width="9.81640625" style="3" customWidth="1"/>
    <col min="8977" max="9224" width="11.453125" style="3" customWidth="1"/>
    <col min="9225" max="9225" width="2.81640625" style="3" customWidth="1"/>
    <col min="9226" max="9226" width="15" style="3" customWidth="1"/>
    <col min="9227" max="9227" width="10.1796875" style="3" customWidth="1"/>
    <col min="9228" max="9228" width="19.81640625" style="3" customWidth="1"/>
    <col min="9229" max="9229" width="18" style="3" customWidth="1"/>
    <col min="9230" max="9230" width="17.81640625" style="3" customWidth="1"/>
    <col min="9231" max="9231" width="13.1796875" style="3" customWidth="1"/>
    <col min="9232" max="9232" width="9.81640625" style="3" customWidth="1"/>
    <col min="9233" max="9480" width="11.453125" style="3" customWidth="1"/>
    <col min="9481" max="9481" width="2.81640625" style="3" customWidth="1"/>
    <col min="9482" max="9482" width="15" style="3" customWidth="1"/>
    <col min="9483" max="9483" width="10.1796875" style="3" customWidth="1"/>
    <col min="9484" max="9484" width="19.81640625" style="3" customWidth="1"/>
    <col min="9485" max="9485" width="18" style="3" customWidth="1"/>
    <col min="9486" max="9486" width="17.81640625" style="3" customWidth="1"/>
    <col min="9487" max="9487" width="13.1796875" style="3" customWidth="1"/>
    <col min="9488" max="9488" width="9.81640625" style="3" customWidth="1"/>
    <col min="9489" max="9736" width="11.453125" style="3" customWidth="1"/>
    <col min="9737" max="9737" width="2.81640625" style="3" customWidth="1"/>
    <col min="9738" max="9738" width="15" style="3" customWidth="1"/>
    <col min="9739" max="9739" width="10.1796875" style="3" customWidth="1"/>
    <col min="9740" max="9740" width="19.81640625" style="3" customWidth="1"/>
    <col min="9741" max="9741" width="18" style="3" customWidth="1"/>
    <col min="9742" max="9742" width="17.81640625" style="3" customWidth="1"/>
    <col min="9743" max="9743" width="13.1796875" style="3" customWidth="1"/>
    <col min="9744" max="9744" width="9.81640625" style="3" customWidth="1"/>
    <col min="9745" max="9992" width="11.453125" style="3" customWidth="1"/>
    <col min="9993" max="9993" width="2.81640625" style="3" customWidth="1"/>
    <col min="9994" max="9994" width="15" style="3" customWidth="1"/>
    <col min="9995" max="9995" width="10.1796875" style="3" customWidth="1"/>
    <col min="9996" max="9996" width="19.81640625" style="3" customWidth="1"/>
    <col min="9997" max="9997" width="18" style="3" customWidth="1"/>
    <col min="9998" max="9998" width="17.81640625" style="3" customWidth="1"/>
    <col min="9999" max="9999" width="13.1796875" style="3" customWidth="1"/>
    <col min="10000" max="10000" width="9.81640625" style="3" customWidth="1"/>
    <col min="10001" max="10248" width="11.453125" style="3" customWidth="1"/>
    <col min="10249" max="10249" width="2.81640625" style="3" customWidth="1"/>
    <col min="10250" max="10250" width="15" style="3" customWidth="1"/>
    <col min="10251" max="10251" width="10.1796875" style="3" customWidth="1"/>
    <col min="10252" max="10252" width="19.81640625" style="3" customWidth="1"/>
    <col min="10253" max="10253" width="18" style="3" customWidth="1"/>
    <col min="10254" max="10254" width="17.81640625" style="3" customWidth="1"/>
    <col min="10255" max="10255" width="13.1796875" style="3" customWidth="1"/>
    <col min="10256" max="10256" width="9.81640625" style="3" customWidth="1"/>
    <col min="10257" max="10504" width="11.453125" style="3" customWidth="1"/>
    <col min="10505" max="10505" width="2.81640625" style="3" customWidth="1"/>
    <col min="10506" max="10506" width="15" style="3" customWidth="1"/>
    <col min="10507" max="10507" width="10.1796875" style="3" customWidth="1"/>
    <col min="10508" max="10508" width="19.81640625" style="3" customWidth="1"/>
    <col min="10509" max="10509" width="18" style="3" customWidth="1"/>
    <col min="10510" max="10510" width="17.81640625" style="3" customWidth="1"/>
    <col min="10511" max="10511" width="13.1796875" style="3" customWidth="1"/>
    <col min="10512" max="10512" width="9.81640625" style="3" customWidth="1"/>
    <col min="10513" max="10760" width="11.453125" style="3" customWidth="1"/>
    <col min="10761" max="10761" width="2.81640625" style="3" customWidth="1"/>
    <col min="10762" max="10762" width="15" style="3" customWidth="1"/>
    <col min="10763" max="10763" width="10.1796875" style="3" customWidth="1"/>
    <col min="10764" max="10764" width="19.81640625" style="3" customWidth="1"/>
    <col min="10765" max="10765" width="18" style="3" customWidth="1"/>
    <col min="10766" max="10766" width="17.81640625" style="3" customWidth="1"/>
    <col min="10767" max="10767" width="13.1796875" style="3" customWidth="1"/>
    <col min="10768" max="10768" width="9.81640625" style="3" customWidth="1"/>
    <col min="10769" max="11016" width="11.453125" style="3" customWidth="1"/>
    <col min="11017" max="11017" width="2.81640625" style="3" customWidth="1"/>
    <col min="11018" max="11018" width="15" style="3" customWidth="1"/>
    <col min="11019" max="11019" width="10.1796875" style="3" customWidth="1"/>
    <col min="11020" max="11020" width="19.81640625" style="3" customWidth="1"/>
    <col min="11021" max="11021" width="18" style="3" customWidth="1"/>
    <col min="11022" max="11022" width="17.81640625" style="3" customWidth="1"/>
    <col min="11023" max="11023" width="13.1796875" style="3" customWidth="1"/>
    <col min="11024" max="11024" width="9.81640625" style="3" customWidth="1"/>
    <col min="11025" max="11272" width="11.453125" style="3" customWidth="1"/>
    <col min="11273" max="11273" width="2.81640625" style="3" customWidth="1"/>
    <col min="11274" max="11274" width="15" style="3" customWidth="1"/>
    <col min="11275" max="11275" width="10.1796875" style="3" customWidth="1"/>
    <col min="11276" max="11276" width="19.81640625" style="3" customWidth="1"/>
    <col min="11277" max="11277" width="18" style="3" customWidth="1"/>
    <col min="11278" max="11278" width="17.81640625" style="3" customWidth="1"/>
    <col min="11279" max="11279" width="13.1796875" style="3" customWidth="1"/>
    <col min="11280" max="11280" width="9.81640625" style="3" customWidth="1"/>
    <col min="11281" max="11528" width="11.453125" style="3" customWidth="1"/>
    <col min="11529" max="11529" width="2.81640625" style="3" customWidth="1"/>
    <col min="11530" max="11530" width="15" style="3" customWidth="1"/>
    <col min="11531" max="11531" width="10.1796875" style="3" customWidth="1"/>
    <col min="11532" max="11532" width="19.81640625" style="3" customWidth="1"/>
    <col min="11533" max="11533" width="18" style="3" customWidth="1"/>
    <col min="11534" max="11534" width="17.81640625" style="3" customWidth="1"/>
    <col min="11535" max="11535" width="13.1796875" style="3" customWidth="1"/>
    <col min="11536" max="11536" width="9.81640625" style="3" customWidth="1"/>
    <col min="11537" max="11784" width="11.453125" style="3" customWidth="1"/>
    <col min="11785" max="11785" width="2.81640625" style="3" customWidth="1"/>
    <col min="11786" max="11786" width="15" style="3" customWidth="1"/>
    <col min="11787" max="11787" width="10.1796875" style="3" customWidth="1"/>
    <col min="11788" max="11788" width="19.81640625" style="3" customWidth="1"/>
    <col min="11789" max="11789" width="18" style="3" customWidth="1"/>
    <col min="11790" max="11790" width="17.81640625" style="3" customWidth="1"/>
    <col min="11791" max="11791" width="13.1796875" style="3" customWidth="1"/>
    <col min="11792" max="11792" width="9.81640625" style="3" customWidth="1"/>
    <col min="11793" max="12040" width="11.453125" style="3" customWidth="1"/>
    <col min="12041" max="12041" width="2.81640625" style="3" customWidth="1"/>
    <col min="12042" max="12042" width="15" style="3" customWidth="1"/>
    <col min="12043" max="12043" width="10.1796875" style="3" customWidth="1"/>
    <col min="12044" max="12044" width="19.81640625" style="3" customWidth="1"/>
    <col min="12045" max="12045" width="18" style="3" customWidth="1"/>
    <col min="12046" max="12046" width="17.81640625" style="3" customWidth="1"/>
    <col min="12047" max="12047" width="13.1796875" style="3" customWidth="1"/>
    <col min="12048" max="12048" width="9.81640625" style="3" customWidth="1"/>
    <col min="12049" max="12296" width="11.453125" style="3" customWidth="1"/>
    <col min="12297" max="12297" width="2.81640625" style="3" customWidth="1"/>
    <col min="12298" max="12298" width="15" style="3" customWidth="1"/>
    <col min="12299" max="12299" width="10.1796875" style="3" customWidth="1"/>
    <col min="12300" max="12300" width="19.81640625" style="3" customWidth="1"/>
    <col min="12301" max="12301" width="18" style="3" customWidth="1"/>
    <col min="12302" max="12302" width="17.81640625" style="3" customWidth="1"/>
    <col min="12303" max="12303" width="13.1796875" style="3" customWidth="1"/>
    <col min="12304" max="12304" width="9.81640625" style="3" customWidth="1"/>
    <col min="12305" max="12552" width="11.453125" style="3" customWidth="1"/>
    <col min="12553" max="12553" width="2.81640625" style="3" customWidth="1"/>
    <col min="12554" max="12554" width="15" style="3" customWidth="1"/>
    <col min="12555" max="12555" width="10.1796875" style="3" customWidth="1"/>
    <col min="12556" max="12556" width="19.81640625" style="3" customWidth="1"/>
    <col min="12557" max="12557" width="18" style="3" customWidth="1"/>
    <col min="12558" max="12558" width="17.81640625" style="3" customWidth="1"/>
    <col min="12559" max="12559" width="13.1796875" style="3" customWidth="1"/>
    <col min="12560" max="12560" width="9.81640625" style="3" customWidth="1"/>
    <col min="12561" max="12808" width="11.453125" style="3" customWidth="1"/>
    <col min="12809" max="12809" width="2.81640625" style="3" customWidth="1"/>
    <col min="12810" max="12810" width="15" style="3" customWidth="1"/>
    <col min="12811" max="12811" width="10.1796875" style="3" customWidth="1"/>
    <col min="12812" max="12812" width="19.81640625" style="3" customWidth="1"/>
    <col min="12813" max="12813" width="18" style="3" customWidth="1"/>
    <col min="12814" max="12814" width="17.81640625" style="3" customWidth="1"/>
    <col min="12815" max="12815" width="13.1796875" style="3" customWidth="1"/>
    <col min="12816" max="12816" width="9.81640625" style="3" customWidth="1"/>
    <col min="12817" max="13064" width="11.453125" style="3" customWidth="1"/>
    <col min="13065" max="13065" width="2.81640625" style="3" customWidth="1"/>
    <col min="13066" max="13066" width="15" style="3" customWidth="1"/>
    <col min="13067" max="13067" width="10.1796875" style="3" customWidth="1"/>
    <col min="13068" max="13068" width="19.81640625" style="3" customWidth="1"/>
    <col min="13069" max="13069" width="18" style="3" customWidth="1"/>
    <col min="13070" max="13070" width="17.81640625" style="3" customWidth="1"/>
    <col min="13071" max="13071" width="13.1796875" style="3" customWidth="1"/>
    <col min="13072" max="13072" width="9.81640625" style="3" customWidth="1"/>
    <col min="13073" max="13320" width="11.453125" style="3" customWidth="1"/>
    <col min="13321" max="13321" width="2.81640625" style="3" customWidth="1"/>
    <col min="13322" max="13322" width="15" style="3" customWidth="1"/>
    <col min="13323" max="13323" width="10.1796875" style="3" customWidth="1"/>
    <col min="13324" max="13324" width="19.81640625" style="3" customWidth="1"/>
    <col min="13325" max="13325" width="18" style="3" customWidth="1"/>
    <col min="13326" max="13326" width="17.81640625" style="3" customWidth="1"/>
    <col min="13327" max="13327" width="13.1796875" style="3" customWidth="1"/>
    <col min="13328" max="13328" width="9.81640625" style="3" customWidth="1"/>
    <col min="13329" max="13576" width="11.453125" style="3" customWidth="1"/>
    <col min="13577" max="13577" width="2.81640625" style="3" customWidth="1"/>
    <col min="13578" max="13578" width="15" style="3" customWidth="1"/>
    <col min="13579" max="13579" width="10.1796875" style="3" customWidth="1"/>
    <col min="13580" max="13580" width="19.81640625" style="3" customWidth="1"/>
    <col min="13581" max="13581" width="18" style="3" customWidth="1"/>
    <col min="13582" max="13582" width="17.81640625" style="3" customWidth="1"/>
    <col min="13583" max="13583" width="13.1796875" style="3" customWidth="1"/>
    <col min="13584" max="13584" width="9.81640625" style="3" customWidth="1"/>
    <col min="13585" max="13832" width="11.453125" style="3" customWidth="1"/>
    <col min="13833" max="13833" width="2.81640625" style="3" customWidth="1"/>
    <col min="13834" max="13834" width="15" style="3" customWidth="1"/>
    <col min="13835" max="13835" width="10.1796875" style="3" customWidth="1"/>
    <col min="13836" max="13836" width="19.81640625" style="3" customWidth="1"/>
    <col min="13837" max="13837" width="18" style="3" customWidth="1"/>
    <col min="13838" max="13838" width="17.81640625" style="3" customWidth="1"/>
    <col min="13839" max="13839" width="13.1796875" style="3" customWidth="1"/>
    <col min="13840" max="13840" width="9.81640625" style="3" customWidth="1"/>
    <col min="13841" max="14088" width="11.453125" style="3" customWidth="1"/>
    <col min="14089" max="14089" width="2.81640625" style="3" customWidth="1"/>
    <col min="14090" max="14090" width="15" style="3" customWidth="1"/>
    <col min="14091" max="14091" width="10.1796875" style="3" customWidth="1"/>
    <col min="14092" max="14092" width="19.81640625" style="3" customWidth="1"/>
    <col min="14093" max="14093" width="18" style="3" customWidth="1"/>
    <col min="14094" max="14094" width="17.81640625" style="3" customWidth="1"/>
    <col min="14095" max="14095" width="13.1796875" style="3" customWidth="1"/>
    <col min="14096" max="14096" width="9.81640625" style="3" customWidth="1"/>
    <col min="14097" max="14344" width="11.453125" style="3" customWidth="1"/>
    <col min="14345" max="14345" width="2.81640625" style="3" customWidth="1"/>
    <col min="14346" max="14346" width="15" style="3" customWidth="1"/>
    <col min="14347" max="14347" width="10.1796875" style="3" customWidth="1"/>
    <col min="14348" max="14348" width="19.81640625" style="3" customWidth="1"/>
    <col min="14349" max="14349" width="18" style="3" customWidth="1"/>
    <col min="14350" max="14350" width="17.81640625" style="3" customWidth="1"/>
    <col min="14351" max="14351" width="13.1796875" style="3" customWidth="1"/>
    <col min="14352" max="14352" width="9.81640625" style="3" customWidth="1"/>
    <col min="14353" max="14600" width="11.453125" style="3" customWidth="1"/>
    <col min="14601" max="14601" width="2.81640625" style="3" customWidth="1"/>
    <col min="14602" max="14602" width="15" style="3" customWidth="1"/>
    <col min="14603" max="14603" width="10.1796875" style="3" customWidth="1"/>
    <col min="14604" max="14604" width="19.81640625" style="3" customWidth="1"/>
    <col min="14605" max="14605" width="18" style="3" customWidth="1"/>
    <col min="14606" max="14606" width="17.81640625" style="3" customWidth="1"/>
    <col min="14607" max="14607" width="13.1796875" style="3" customWidth="1"/>
    <col min="14608" max="14608" width="9.81640625" style="3" customWidth="1"/>
    <col min="14609" max="14856" width="11.453125" style="3" customWidth="1"/>
    <col min="14857" max="14857" width="2.81640625" style="3" customWidth="1"/>
    <col min="14858" max="14858" width="15" style="3" customWidth="1"/>
    <col min="14859" max="14859" width="10.1796875" style="3" customWidth="1"/>
    <col min="14860" max="14860" width="19.81640625" style="3" customWidth="1"/>
    <col min="14861" max="14861" width="18" style="3" customWidth="1"/>
    <col min="14862" max="14862" width="17.81640625" style="3" customWidth="1"/>
    <col min="14863" max="14863" width="13.1796875" style="3" customWidth="1"/>
    <col min="14864" max="14864" width="9.81640625" style="3" customWidth="1"/>
    <col min="14865" max="15112" width="11.453125" style="3" customWidth="1"/>
    <col min="15113" max="15113" width="2.81640625" style="3" customWidth="1"/>
    <col min="15114" max="15114" width="15" style="3" customWidth="1"/>
    <col min="15115" max="15115" width="10.1796875" style="3" customWidth="1"/>
    <col min="15116" max="15116" width="19.81640625" style="3" customWidth="1"/>
    <col min="15117" max="15117" width="18" style="3" customWidth="1"/>
    <col min="15118" max="15118" width="17.81640625" style="3" customWidth="1"/>
    <col min="15119" max="15119" width="13.1796875" style="3" customWidth="1"/>
    <col min="15120" max="15120" width="9.81640625" style="3" customWidth="1"/>
    <col min="15121" max="15368" width="11.453125" style="3" customWidth="1"/>
    <col min="15369" max="15369" width="2.81640625" style="3" customWidth="1"/>
    <col min="15370" max="15370" width="15" style="3" customWidth="1"/>
    <col min="15371" max="15371" width="10.1796875" style="3" customWidth="1"/>
    <col min="15372" max="15372" width="19.81640625" style="3" customWidth="1"/>
    <col min="15373" max="15373" width="18" style="3" customWidth="1"/>
    <col min="15374" max="15374" width="17.81640625" style="3" customWidth="1"/>
    <col min="15375" max="15375" width="13.1796875" style="3" customWidth="1"/>
    <col min="15376" max="15376" width="9.81640625" style="3" customWidth="1"/>
    <col min="15377" max="15624" width="11.453125" style="3" customWidth="1"/>
    <col min="15625" max="15625" width="2.81640625" style="3" customWidth="1"/>
    <col min="15626" max="15626" width="15" style="3" customWidth="1"/>
    <col min="15627" max="15627" width="10.1796875" style="3" customWidth="1"/>
    <col min="15628" max="15628" width="19.81640625" style="3" customWidth="1"/>
    <col min="15629" max="15629" width="18" style="3" customWidth="1"/>
    <col min="15630" max="15630" width="17.81640625" style="3" customWidth="1"/>
    <col min="15631" max="15631" width="13.1796875" style="3" customWidth="1"/>
    <col min="15632" max="15632" width="9.81640625" style="3" customWidth="1"/>
    <col min="15633" max="15880" width="11.453125" style="3" customWidth="1"/>
    <col min="15881" max="15881" width="2.81640625" style="3" customWidth="1"/>
    <col min="15882" max="15882" width="15" style="3" customWidth="1"/>
    <col min="15883" max="15883" width="10.1796875" style="3" customWidth="1"/>
    <col min="15884" max="15884" width="19.81640625" style="3" customWidth="1"/>
    <col min="15885" max="15885" width="18" style="3" customWidth="1"/>
    <col min="15886" max="15886" width="17.81640625" style="3" customWidth="1"/>
    <col min="15887" max="15887" width="13.1796875" style="3" customWidth="1"/>
    <col min="15888" max="15888" width="9.81640625" style="3" customWidth="1"/>
    <col min="15889" max="16136" width="11.453125" style="3" customWidth="1"/>
    <col min="16137" max="16137" width="2.81640625" style="3" customWidth="1"/>
    <col min="16138" max="16138" width="15" style="3" customWidth="1"/>
    <col min="16139" max="16139" width="10.1796875" style="3" customWidth="1"/>
    <col min="16140" max="16140" width="19.81640625" style="3" customWidth="1"/>
    <col min="16141" max="16141" width="18" style="3" customWidth="1"/>
    <col min="16142" max="16142" width="17.81640625" style="3" customWidth="1"/>
    <col min="16143" max="16143" width="13.1796875" style="3" customWidth="1"/>
    <col min="16144" max="16144" width="9.81640625" style="3" customWidth="1"/>
    <col min="16145" max="16384" width="11.453125" style="3" customWidth="1"/>
  </cols>
  <sheetData>
    <row r="1" spans="1:33">
      <c r="A1" s="134"/>
      <c r="B1" s="135"/>
      <c r="C1" s="84"/>
      <c r="D1" s="83"/>
      <c r="E1" s="83"/>
      <c r="F1" s="83"/>
      <c r="G1" s="83"/>
      <c r="H1" s="83"/>
    </row>
    <row r="2" spans="1:33" ht="18">
      <c r="B2" s="687" t="s">
        <v>397</v>
      </c>
      <c r="C2" s="687"/>
      <c r="D2" s="688" t="str">
        <f>UPPER(REPORTS!$AB$2)</f>
        <v>ALTERED FLOW</v>
      </c>
      <c r="E2" s="688"/>
      <c r="F2" s="688"/>
      <c r="G2" s="688"/>
      <c r="H2" s="688"/>
      <c r="I2" s="688"/>
      <c r="J2" s="688"/>
      <c r="K2" s="688"/>
      <c r="L2" s="688"/>
      <c r="M2" s="136"/>
      <c r="N2" s="136"/>
      <c r="O2" s="136"/>
      <c r="P2" s="136"/>
      <c r="Q2" s="136"/>
      <c r="R2" s="136"/>
    </row>
    <row r="3" spans="1:33" ht="18">
      <c r="B3" s="687" t="s">
        <v>398</v>
      </c>
      <c r="C3" s="687"/>
      <c r="D3" s="689" t="s">
        <v>368</v>
      </c>
      <c r="E3" s="688"/>
      <c r="F3" s="688"/>
      <c r="G3" s="688"/>
      <c r="H3" s="688"/>
      <c r="I3" s="688"/>
      <c r="J3" s="688"/>
      <c r="K3" s="688"/>
      <c r="L3" s="688"/>
      <c r="M3" s="136"/>
      <c r="N3" s="136"/>
      <c r="O3" s="136"/>
      <c r="P3" s="136"/>
      <c r="Q3" s="136"/>
      <c r="R3" s="136"/>
    </row>
    <row r="5" spans="1:33" ht="15.75" customHeight="1">
      <c r="B5" s="556" t="s">
        <v>1</v>
      </c>
      <c r="C5" s="556"/>
      <c r="D5" s="556"/>
      <c r="E5" s="484" t="str">
        <f>REPORTS!E7</f>
        <v>Natural Flow (Nat_F)</v>
      </c>
      <c r="F5" s="489"/>
      <c r="G5" s="489"/>
      <c r="H5" s="489"/>
      <c r="I5" s="489"/>
      <c r="J5" s="95"/>
      <c r="K5" s="95"/>
      <c r="L5" s="95"/>
      <c r="M5" s="95"/>
      <c r="N5" s="95"/>
      <c r="O5" s="95"/>
      <c r="P5" s="95"/>
      <c r="Q5" s="95"/>
      <c r="R5" s="95"/>
    </row>
    <row r="6" spans="1:33" ht="15.75" customHeight="1">
      <c r="B6" s="556" t="s">
        <v>2</v>
      </c>
      <c r="C6" s="556"/>
      <c r="D6" s="556"/>
      <c r="E6" s="484" t="str">
        <f>REPORTS!E8</f>
        <v>Altered Flow (Alt_F)</v>
      </c>
      <c r="F6" s="489"/>
      <c r="G6" s="489"/>
      <c r="H6" s="489"/>
      <c r="I6" s="489"/>
      <c r="J6" s="95"/>
      <c r="K6" s="95"/>
      <c r="L6" s="95"/>
      <c r="M6" s="95"/>
      <c r="N6" s="95"/>
      <c r="O6" s="95"/>
      <c r="P6" s="95"/>
      <c r="Q6" s="95"/>
      <c r="R6" s="95"/>
    </row>
    <row r="7" spans="1:33" ht="13">
      <c r="B7" s="556" t="s">
        <v>3</v>
      </c>
      <c r="C7" s="556"/>
      <c r="D7" s="556"/>
      <c r="E7" s="484" t="s">
        <v>4</v>
      </c>
      <c r="F7" s="489"/>
      <c r="G7" s="489"/>
      <c r="H7" s="489"/>
      <c r="I7" s="489"/>
      <c r="J7" s="95"/>
      <c r="K7" s="95"/>
      <c r="L7" s="95"/>
      <c r="M7" s="95"/>
      <c r="N7" s="95"/>
      <c r="O7" s="95"/>
      <c r="P7" s="95"/>
      <c r="Q7" s="95"/>
      <c r="R7" s="95"/>
    </row>
    <row r="8" spans="1:33" ht="13">
      <c r="B8" s="482"/>
      <c r="C8" s="482"/>
      <c r="D8" s="482"/>
      <c r="E8" s="477"/>
      <c r="F8" s="484"/>
      <c r="G8" s="484"/>
      <c r="H8" s="484"/>
      <c r="I8" s="484"/>
      <c r="J8" s="95"/>
      <c r="K8" s="95"/>
      <c r="L8" s="95"/>
      <c r="M8" s="95"/>
      <c r="N8" s="95"/>
      <c r="O8" s="95"/>
      <c r="P8" s="95"/>
      <c r="Q8" s="95"/>
      <c r="R8" s="95"/>
    </row>
    <row r="9" spans="1:33" ht="13">
      <c r="B9" s="482"/>
      <c r="C9" s="482"/>
      <c r="D9" s="482"/>
      <c r="E9" s="484"/>
      <c r="F9" s="484"/>
      <c r="G9" s="484"/>
      <c r="H9" s="484"/>
      <c r="I9" s="484"/>
      <c r="J9" s="95"/>
      <c r="K9" s="95"/>
      <c r="L9" s="95"/>
      <c r="M9" s="95"/>
      <c r="N9" s="95"/>
      <c r="O9" s="95"/>
      <c r="P9" s="95"/>
      <c r="Q9" s="95"/>
      <c r="R9" s="95"/>
    </row>
    <row r="12" spans="1:33" ht="18">
      <c r="B12" s="186"/>
      <c r="C12" s="186"/>
      <c r="D12" s="798" t="s">
        <v>156</v>
      </c>
      <c r="E12" s="798"/>
      <c r="F12" s="798"/>
      <c r="G12" s="798"/>
      <c r="H12" s="798"/>
      <c r="I12" s="798"/>
      <c r="J12" s="798"/>
      <c r="K12" s="798"/>
      <c r="L12" s="798"/>
      <c r="M12" s="798"/>
      <c r="N12" s="798"/>
      <c r="O12" s="798"/>
      <c r="P12" s="798"/>
    </row>
    <row r="13" spans="1:33" ht="14">
      <c r="S13" s="13"/>
      <c r="T13" s="13"/>
    </row>
    <row r="14" spans="1:33" ht="15.5">
      <c r="C14" s="17"/>
      <c r="D14" s="797" t="str">
        <f>'Informe nº6d'!$E$42</f>
        <v>MONTHLY RATED FLOW CURVES. ALTERED FLOW</v>
      </c>
      <c r="E14" s="797"/>
      <c r="F14" s="797"/>
      <c r="G14" s="797"/>
      <c r="H14" s="797"/>
      <c r="I14" s="797"/>
      <c r="J14" s="797"/>
      <c r="K14" s="797"/>
      <c r="L14" s="797"/>
      <c r="M14" s="797"/>
      <c r="N14" s="797"/>
      <c r="O14" s="797"/>
      <c r="P14" s="797"/>
      <c r="R14" s="48"/>
      <c r="S14" s="299"/>
      <c r="T14" s="300"/>
      <c r="U14" s="300"/>
      <c r="V14" s="300"/>
      <c r="W14" s="300"/>
      <c r="X14" s="300"/>
      <c r="Y14" s="300"/>
      <c r="Z14" s="300"/>
      <c r="AA14" s="300"/>
      <c r="AB14" s="300"/>
      <c r="AC14" s="300"/>
      <c r="AD14" s="300"/>
      <c r="AE14" s="300"/>
      <c r="AF14" s="48"/>
      <c r="AG14" s="48"/>
    </row>
    <row r="15" spans="1:33" ht="15">
      <c r="D15" s="600" t="s">
        <v>369</v>
      </c>
      <c r="E15" s="600"/>
      <c r="F15" s="600"/>
      <c r="G15" s="600"/>
      <c r="H15" s="600"/>
      <c r="I15" s="600"/>
      <c r="J15" s="600"/>
      <c r="K15" s="600"/>
      <c r="L15" s="600"/>
      <c r="M15" s="600"/>
      <c r="N15" s="600"/>
      <c r="O15" s="600"/>
      <c r="P15" s="600"/>
      <c r="R15" s="48"/>
      <c r="S15" s="48"/>
      <c r="T15" s="301"/>
      <c r="U15" s="301"/>
      <c r="V15" s="301"/>
      <c r="W15" s="301"/>
      <c r="X15" s="301"/>
      <c r="Y15" s="301"/>
      <c r="Z15" s="301"/>
      <c r="AA15" s="301"/>
      <c r="AB15" s="301"/>
      <c r="AC15" s="301"/>
      <c r="AD15" s="301"/>
      <c r="AE15" s="301"/>
      <c r="AF15" s="48"/>
      <c r="AG15" s="48"/>
    </row>
    <row r="16" spans="1:33">
      <c r="D16" s="509" t="s">
        <v>359</v>
      </c>
      <c r="E16" s="803" t="s">
        <v>370</v>
      </c>
      <c r="F16" s="805" t="s">
        <v>371</v>
      </c>
      <c r="G16" s="805" t="s">
        <v>372</v>
      </c>
      <c r="H16" s="805" t="s">
        <v>373</v>
      </c>
      <c r="I16" s="805" t="s">
        <v>374</v>
      </c>
      <c r="J16" s="805" t="s">
        <v>375</v>
      </c>
      <c r="K16" s="805" t="s">
        <v>376</v>
      </c>
      <c r="L16" s="805" t="s">
        <v>377</v>
      </c>
      <c r="M16" s="805" t="s">
        <v>378</v>
      </c>
      <c r="N16" s="805" t="s">
        <v>379</v>
      </c>
      <c r="O16" s="805" t="s">
        <v>380</v>
      </c>
      <c r="P16" s="807" t="s">
        <v>381</v>
      </c>
      <c r="R16" s="48"/>
      <c r="S16" s="302"/>
      <c r="T16" s="303"/>
      <c r="U16" s="48"/>
      <c r="V16" s="48"/>
      <c r="W16" s="48"/>
      <c r="X16" s="48"/>
      <c r="Y16" s="48"/>
      <c r="Z16" s="48"/>
      <c r="AA16" s="48"/>
      <c r="AB16" s="48"/>
      <c r="AC16" s="48"/>
      <c r="AD16" s="48"/>
      <c r="AE16" s="48"/>
      <c r="AF16" s="48"/>
      <c r="AG16" s="48"/>
    </row>
    <row r="17" spans="4:33">
      <c r="D17" s="510" t="s">
        <v>382</v>
      </c>
      <c r="E17" s="804"/>
      <c r="F17" s="806"/>
      <c r="G17" s="806"/>
      <c r="H17" s="806"/>
      <c r="I17" s="806"/>
      <c r="J17" s="806"/>
      <c r="K17" s="806"/>
      <c r="L17" s="806"/>
      <c r="M17" s="806"/>
      <c r="N17" s="806"/>
      <c r="O17" s="806"/>
      <c r="P17" s="808"/>
      <c r="R17" s="48"/>
      <c r="S17" s="304" t="s">
        <v>383</v>
      </c>
      <c r="T17" s="305" t="s">
        <v>384</v>
      </c>
      <c r="U17" s="305" t="s">
        <v>385</v>
      </c>
      <c r="V17" s="305" t="s">
        <v>386</v>
      </c>
      <c r="W17" s="305" t="s">
        <v>387</v>
      </c>
      <c r="X17" s="305" t="s">
        <v>388</v>
      </c>
      <c r="Y17" s="305" t="s">
        <v>389</v>
      </c>
      <c r="Z17" s="305" t="s">
        <v>390</v>
      </c>
      <c r="AA17" s="305" t="s">
        <v>391</v>
      </c>
      <c r="AB17" s="305" t="s">
        <v>392</v>
      </c>
      <c r="AC17" s="305" t="s">
        <v>393</v>
      </c>
      <c r="AD17" s="305" t="s">
        <v>394</v>
      </c>
      <c r="AE17" s="305" t="s">
        <v>395</v>
      </c>
      <c r="AF17" s="48"/>
      <c r="AG17" s="48"/>
    </row>
    <row r="18" spans="4:33" ht="13">
      <c r="D18" s="187">
        <v>5</v>
      </c>
      <c r="E18" s="188">
        <f>_xlfn.PERCENTILE.EXC(T$18:T$48,1-($D18/100))</f>
        <v>1.1599552361738112</v>
      </c>
      <c r="F18" s="189">
        <f t="shared" ref="F18:P33" si="0">_xlfn.PERCENTILE.EXC(U$18:U$48,1-($D18/100))</f>
        <v>2.4471904811404999</v>
      </c>
      <c r="G18" s="189">
        <f t="shared" si="0"/>
        <v>4.2454000018891831</v>
      </c>
      <c r="H18" s="189">
        <f t="shared" si="0"/>
        <v>5.6672476450602218</v>
      </c>
      <c r="I18" s="189">
        <f t="shared" si="0"/>
        <v>6.1194166240237999</v>
      </c>
      <c r="J18" s="189">
        <f t="shared" si="0"/>
        <v>5.1412380967821383</v>
      </c>
      <c r="K18" s="189">
        <f t="shared" si="0"/>
        <v>3.5384523732321607</v>
      </c>
      <c r="L18" s="189">
        <f t="shared" si="0"/>
        <v>2.2453076317196796</v>
      </c>
      <c r="M18" s="189">
        <f t="shared" si="0"/>
        <v>0.43915190466103105</v>
      </c>
      <c r="N18" s="189">
        <f t="shared" si="0"/>
        <v>0.16234838004623139</v>
      </c>
      <c r="O18" s="189">
        <f t="shared" si="0"/>
        <v>9.605895273742221E-2</v>
      </c>
      <c r="P18" s="190">
        <f t="shared" si="0"/>
        <v>0.13448368970836908</v>
      </c>
      <c r="R18" s="48"/>
      <c r="S18" s="306">
        <v>1</v>
      </c>
      <c r="T18" s="307">
        <v>1.273380946545374</v>
      </c>
      <c r="U18" s="307">
        <v>2.6100952625274663</v>
      </c>
      <c r="V18" s="307">
        <v>4.4102856999351863</v>
      </c>
      <c r="W18" s="307">
        <v>5.8310477279481443</v>
      </c>
      <c r="X18" s="307">
        <v>6.2373809019724522</v>
      </c>
      <c r="Y18" s="307">
        <v>5.2419523852212091</v>
      </c>
      <c r="Z18" s="307">
        <v>3.6267142749968038</v>
      </c>
      <c r="AA18" s="307">
        <v>2.3391047943206056</v>
      </c>
      <c r="AB18" s="307">
        <v>0.45204285709630876</v>
      </c>
      <c r="AC18" s="307">
        <v>0.16741666517087389</v>
      </c>
      <c r="AD18" s="307">
        <v>0.10199952373902003</v>
      </c>
      <c r="AE18" s="307">
        <v>0.14694380795671827</v>
      </c>
      <c r="AF18" s="48"/>
      <c r="AG18" s="48"/>
    </row>
    <row r="19" spans="4:33" ht="13">
      <c r="D19" s="191">
        <v>10</v>
      </c>
      <c r="E19" s="192">
        <f>_xlfn.PERCENTILE.EXC(T$18:T$48,1-($D19/100))</f>
        <v>0.94163810213406884</v>
      </c>
      <c r="F19" s="193">
        <f t="shared" si="0"/>
        <v>2.1379285585312617</v>
      </c>
      <c r="G19" s="193">
        <f t="shared" si="0"/>
        <v>3.8914476326533727</v>
      </c>
      <c r="H19" s="193">
        <f t="shared" si="0"/>
        <v>5.3387332961672831</v>
      </c>
      <c r="I19" s="193">
        <f t="shared" si="0"/>
        <v>5.8425095262981595</v>
      </c>
      <c r="J19" s="193">
        <f t="shared" si="0"/>
        <v>4.8692952383132209</v>
      </c>
      <c r="K19" s="193">
        <f t="shared" si="0"/>
        <v>3.3341428699947544</v>
      </c>
      <c r="L19" s="193">
        <f t="shared" si="0"/>
        <v>2.024013343879155</v>
      </c>
      <c r="M19" s="193">
        <f t="shared" si="0"/>
        <v>0.40375809123118722</v>
      </c>
      <c r="N19" s="193">
        <f t="shared" si="0"/>
        <v>0.1520352371391796</v>
      </c>
      <c r="O19" s="193">
        <f t="shared" si="0"/>
        <v>8.7569238103571395E-2</v>
      </c>
      <c r="P19" s="194">
        <f t="shared" si="0"/>
        <v>0.10938461916077706</v>
      </c>
      <c r="R19" s="48"/>
      <c r="S19" s="306">
        <v>2</v>
      </c>
      <c r="T19" s="307">
        <v>1.0843380959261033</v>
      </c>
      <c r="U19" s="307">
        <v>2.3139047509148001</v>
      </c>
      <c r="V19" s="307">
        <v>4.1354762031918479</v>
      </c>
      <c r="W19" s="307">
        <v>5.5580475898016068</v>
      </c>
      <c r="X19" s="307">
        <v>5.9752380620865591</v>
      </c>
      <c r="Y19" s="307">
        <v>5.0740952378227586</v>
      </c>
      <c r="Z19" s="307">
        <v>3.4662380899701799</v>
      </c>
      <c r="AA19" s="307">
        <v>2.1827761899857294</v>
      </c>
      <c r="AB19" s="307">
        <v>0.42860476175944018</v>
      </c>
      <c r="AC19" s="307">
        <v>0.15896952329646977</v>
      </c>
      <c r="AD19" s="307">
        <v>9.2098572069690354E-2</v>
      </c>
      <c r="AE19" s="307">
        <v>0.12428904750517432</v>
      </c>
      <c r="AF19" s="48"/>
      <c r="AG19" s="48"/>
    </row>
    <row r="20" spans="4:33" ht="13">
      <c r="D20" s="191">
        <v>15</v>
      </c>
      <c r="E20" s="192">
        <f t="shared" ref="E20:P35" si="1">_xlfn.PERCENTILE.EXC(T$18:T$48,1-($D20/100))</f>
        <v>0.86367237709817424</v>
      </c>
      <c r="F20" s="193">
        <f t="shared" si="0"/>
        <v>2.018549998885109</v>
      </c>
      <c r="G20" s="193">
        <f t="shared" si="0"/>
        <v>3.6596761907849999</v>
      </c>
      <c r="H20" s="193">
        <f t="shared" si="0"/>
        <v>5.1177428608848921</v>
      </c>
      <c r="I20" s="193">
        <f t="shared" si="0"/>
        <v>5.687166663010915</v>
      </c>
      <c r="J20" s="193">
        <f t="shared" si="0"/>
        <v>4.5633142743791844</v>
      </c>
      <c r="K20" s="193">
        <f t="shared" si="0"/>
        <v>3.1637190353302724</v>
      </c>
      <c r="L20" s="193">
        <f t="shared" si="0"/>
        <v>1.8746990447952636</v>
      </c>
      <c r="M20" s="193">
        <f t="shared" si="0"/>
        <v>0.37773666637284409</v>
      </c>
      <c r="N20" s="193">
        <f t="shared" si="0"/>
        <v>0.1461415247548194</v>
      </c>
      <c r="O20" s="193">
        <f t="shared" si="0"/>
        <v>8.4245047328018005E-2</v>
      </c>
      <c r="P20" s="194">
        <f t="shared" si="0"/>
        <v>9.7495714495224609E-2</v>
      </c>
      <c r="R20" s="48"/>
      <c r="S20" s="306">
        <v>3</v>
      </c>
      <c r="T20" s="307">
        <v>0.95458572180498213</v>
      </c>
      <c r="U20" s="307">
        <v>2.1450952234722318</v>
      </c>
      <c r="V20" s="307">
        <v>3.9275238286881216</v>
      </c>
      <c r="W20" s="307">
        <v>5.3638571103413906</v>
      </c>
      <c r="X20" s="307">
        <v>5.8277619112105592</v>
      </c>
      <c r="Y20" s="307">
        <v>4.9018571490333196</v>
      </c>
      <c r="Z20" s="307">
        <v>3.3459047760282248</v>
      </c>
      <c r="AA20" s="307">
        <v>2.0453619190624783</v>
      </c>
      <c r="AB20" s="307">
        <v>0.40568571005548748</v>
      </c>
      <c r="AC20" s="307">
        <v>0.15282666541281201</v>
      </c>
      <c r="AD20" s="307">
        <v>8.8110476022674925E-2</v>
      </c>
      <c r="AE20" s="307">
        <v>0.11023857160693123</v>
      </c>
      <c r="AF20" s="48"/>
      <c r="AG20" s="48"/>
    </row>
    <row r="21" spans="4:33" ht="13">
      <c r="D21" s="191">
        <v>20</v>
      </c>
      <c r="E21" s="192">
        <f t="shared" si="1"/>
        <v>0.76233142458257219</v>
      </c>
      <c r="F21" s="193">
        <f t="shared" si="0"/>
        <v>1.8880171350070412</v>
      </c>
      <c r="G21" s="193">
        <f t="shared" si="0"/>
        <v>3.43522857938494</v>
      </c>
      <c r="H21" s="193">
        <f t="shared" si="0"/>
        <v>4.9155237561180485</v>
      </c>
      <c r="I21" s="193">
        <f t="shared" si="0"/>
        <v>5.5222571509225027</v>
      </c>
      <c r="J21" s="193">
        <f t="shared" si="0"/>
        <v>4.3361618814014262</v>
      </c>
      <c r="K21" s="193">
        <f t="shared" si="0"/>
        <v>3.0530190570013862</v>
      </c>
      <c r="L21" s="193">
        <f t="shared" si="0"/>
        <v>1.7423504732903983</v>
      </c>
      <c r="M21" s="193">
        <f t="shared" si="0"/>
        <v>0.35295714012214113</v>
      </c>
      <c r="N21" s="193">
        <f t="shared" si="0"/>
        <v>0.14052200118700664</v>
      </c>
      <c r="O21" s="193">
        <f t="shared" si="0"/>
        <v>8.2477428764104854E-2</v>
      </c>
      <c r="P21" s="194">
        <f t="shared" si="0"/>
        <v>8.7617333588146051E-2</v>
      </c>
      <c r="R21" s="48"/>
      <c r="S21" s="306">
        <v>4</v>
      </c>
      <c r="T21" s="307">
        <v>0.88984762345041546</v>
      </c>
      <c r="U21" s="307">
        <v>2.0734285740625289</v>
      </c>
      <c r="V21" s="307">
        <v>3.7471428485143754</v>
      </c>
      <c r="W21" s="307">
        <v>5.2382380394708532</v>
      </c>
      <c r="X21" s="307">
        <v>5.7310000260670986</v>
      </c>
      <c r="Y21" s="307">
        <v>4.7390475954328251</v>
      </c>
      <c r="Z21" s="307">
        <v>3.2282857156935192</v>
      </c>
      <c r="AA21" s="307">
        <v>1.9386190431458605</v>
      </c>
      <c r="AB21" s="307">
        <v>0.38640952181248434</v>
      </c>
      <c r="AC21" s="307">
        <v>0.14886952404464993</v>
      </c>
      <c r="AD21" s="307">
        <v>8.5404286427157278E-2</v>
      </c>
      <c r="AE21" s="307">
        <v>0.10169904714538937</v>
      </c>
      <c r="AF21" s="48"/>
      <c r="AG21" s="48"/>
    </row>
    <row r="22" spans="4:33" ht="13">
      <c r="D22" s="191">
        <v>25</v>
      </c>
      <c r="E22" s="192">
        <f t="shared" si="1"/>
        <v>0.62584285509018667</v>
      </c>
      <c r="F22" s="193">
        <f t="shared" si="0"/>
        <v>1.7931916656948268</v>
      </c>
      <c r="G22" s="193">
        <f t="shared" si="0"/>
        <v>3.1844285783313566</v>
      </c>
      <c r="H22" s="193">
        <f t="shared" si="0"/>
        <v>4.7604761691320512</v>
      </c>
      <c r="I22" s="193">
        <f t="shared" si="0"/>
        <v>5.3940357140132367</v>
      </c>
      <c r="J22" s="193">
        <f t="shared" si="0"/>
        <v>4.1630475804919289</v>
      </c>
      <c r="K22" s="193">
        <f t="shared" si="0"/>
        <v>2.9187738171645572</v>
      </c>
      <c r="L22" s="193">
        <f t="shared" si="0"/>
        <v>1.6280190490541004</v>
      </c>
      <c r="M22" s="193">
        <f t="shared" si="0"/>
        <v>0.32884643173643524</v>
      </c>
      <c r="N22" s="193">
        <f t="shared" si="0"/>
        <v>0.13571190514734813</v>
      </c>
      <c r="O22" s="193">
        <f t="shared" si="0"/>
        <v>8.0813334101722353E-2</v>
      </c>
      <c r="P22" s="194">
        <f t="shared" si="0"/>
        <v>7.9427381046116352E-2</v>
      </c>
      <c r="R22" s="48"/>
      <c r="S22" s="306">
        <v>5</v>
      </c>
      <c r="T22" s="307">
        <v>0.85712856551011396</v>
      </c>
      <c r="U22" s="307">
        <v>1.9889999968664989</v>
      </c>
      <c r="V22" s="307">
        <v>3.637809526352656</v>
      </c>
      <c r="W22" s="307">
        <v>5.0876190662384024</v>
      </c>
      <c r="X22" s="307">
        <v>5.6057618459065752</v>
      </c>
      <c r="Y22" s="307">
        <v>4.5193809441157748</v>
      </c>
      <c r="Z22" s="307">
        <v>3.1289523612885244</v>
      </c>
      <c r="AA22" s="307">
        <v>1.8587190452076143</v>
      </c>
      <c r="AB22" s="307">
        <v>0.37306666728996091</v>
      </c>
      <c r="AC22" s="307">
        <v>0.14545952493236175</v>
      </c>
      <c r="AD22" s="307">
        <v>8.3955237553233183E-2</v>
      </c>
      <c r="AE22" s="307">
        <v>9.5232381529751289E-2</v>
      </c>
      <c r="AF22" s="48"/>
      <c r="AG22" s="48"/>
    </row>
    <row r="23" spans="4:33" ht="13">
      <c r="D23" s="191">
        <v>30</v>
      </c>
      <c r="E23" s="192">
        <f t="shared" si="1"/>
        <v>0.52857523553428187</v>
      </c>
      <c r="F23" s="193">
        <f t="shared" si="0"/>
        <v>1.7134923841272083</v>
      </c>
      <c r="G23" s="193">
        <f t="shared" si="0"/>
        <v>3.0086095287686305</v>
      </c>
      <c r="H23" s="193">
        <f t="shared" si="0"/>
        <v>4.6524285884130574</v>
      </c>
      <c r="I23" s="193">
        <f t="shared" si="0"/>
        <v>5.2637952498027252</v>
      </c>
      <c r="J23" s="193">
        <f t="shared" si="0"/>
        <v>3.9713904834928955</v>
      </c>
      <c r="K23" s="193">
        <f t="shared" si="0"/>
        <v>2.7757000128428144</v>
      </c>
      <c r="L23" s="193">
        <f t="shared" si="0"/>
        <v>1.514067627134777</v>
      </c>
      <c r="M23" s="193">
        <f t="shared" si="0"/>
        <v>0.31275571279582531</v>
      </c>
      <c r="N23" s="193">
        <f t="shared" si="0"/>
        <v>0.13086914299499419</v>
      </c>
      <c r="O23" s="193">
        <f t="shared" si="0"/>
        <v>7.9586381323280789E-2</v>
      </c>
      <c r="P23" s="194">
        <f t="shared" si="0"/>
        <v>7.5523999794608082E-2</v>
      </c>
      <c r="R23" s="48"/>
      <c r="S23" s="306">
        <v>6</v>
      </c>
      <c r="T23" s="307">
        <v>0.78463809334096435</v>
      </c>
      <c r="U23" s="307">
        <v>1.8991904656092329</v>
      </c>
      <c r="V23" s="307">
        <v>3.5145238240559893</v>
      </c>
      <c r="W23" s="307">
        <v>4.9536189805893684</v>
      </c>
      <c r="X23" s="307">
        <v>5.5013809771764839</v>
      </c>
      <c r="Y23" s="307">
        <v>4.382523763747443</v>
      </c>
      <c r="Z23" s="307">
        <v>3.0705714396068027</v>
      </c>
      <c r="AA23" s="307">
        <v>1.7818761808531627</v>
      </c>
      <c r="AB23" s="307">
        <v>0.35621428276811323</v>
      </c>
      <c r="AC23" s="307">
        <v>0.14226809640725452</v>
      </c>
      <c r="AD23" s="307">
        <v>8.2866190622250258E-2</v>
      </c>
      <c r="AE23" s="307">
        <v>8.8770000175351207E-2</v>
      </c>
      <c r="AF23" s="48"/>
      <c r="AG23" s="48"/>
    </row>
    <row r="24" spans="4:33" ht="13">
      <c r="D24" s="191">
        <v>35</v>
      </c>
      <c r="E24" s="192">
        <f t="shared" si="1"/>
        <v>0.4377849512156986</v>
      </c>
      <c r="F24" s="193">
        <f t="shared" si="0"/>
        <v>1.6341395122664319</v>
      </c>
      <c r="G24" s="193">
        <f t="shared" si="0"/>
        <v>2.8269333396639147</v>
      </c>
      <c r="H24" s="193">
        <f t="shared" si="0"/>
        <v>4.503380932126726</v>
      </c>
      <c r="I24" s="193">
        <f t="shared" si="0"/>
        <v>5.1515619544755848</v>
      </c>
      <c r="J24" s="193">
        <f t="shared" si="0"/>
        <v>3.8142190195265271</v>
      </c>
      <c r="K24" s="193">
        <f t="shared" si="0"/>
        <v>2.6841976412705013</v>
      </c>
      <c r="L24" s="193">
        <f t="shared" si="0"/>
        <v>1.4036942728928159</v>
      </c>
      <c r="M24" s="193">
        <f t="shared" si="0"/>
        <v>0.29603452338349262</v>
      </c>
      <c r="N24" s="193">
        <f t="shared" si="0"/>
        <v>0.1256453330318133</v>
      </c>
      <c r="O24" s="193">
        <f t="shared" si="0"/>
        <v>7.8066380605811156E-2</v>
      </c>
      <c r="P24" s="194">
        <f t="shared" si="0"/>
        <v>7.1049833404166374E-2</v>
      </c>
      <c r="R24" s="48"/>
      <c r="S24" s="306">
        <v>7</v>
      </c>
      <c r="T24" s="307">
        <v>0.72887142144498374</v>
      </c>
      <c r="U24" s="307">
        <v>1.8433238125982738</v>
      </c>
      <c r="V24" s="307">
        <v>3.3162857123783658</v>
      </c>
      <c r="W24" s="307">
        <v>4.8583809194110685</v>
      </c>
      <c r="X24" s="307">
        <v>5.4265714259374711</v>
      </c>
      <c r="Y24" s="307">
        <v>4.2666190578824006</v>
      </c>
      <c r="Z24" s="307">
        <v>2.9828095265797208</v>
      </c>
      <c r="AA24" s="307">
        <v>1.6830619119462511</v>
      </c>
      <c r="AB24" s="307">
        <v>0.33992856953825273</v>
      </c>
      <c r="AC24" s="307">
        <v>0.13790285835663479</v>
      </c>
      <c r="AD24" s="307">
        <v>8.1894285976886749E-2</v>
      </c>
      <c r="AE24" s="307">
        <v>8.3006667239325385E-2</v>
      </c>
      <c r="AF24" s="48"/>
      <c r="AG24" s="48"/>
    </row>
    <row r="25" spans="4:33" ht="13">
      <c r="D25" s="191">
        <v>40</v>
      </c>
      <c r="E25" s="192">
        <f t="shared" si="1"/>
        <v>0.39510685957613445</v>
      </c>
      <c r="F25" s="193">
        <f t="shared" si="0"/>
        <v>1.5459009613309589</v>
      </c>
      <c r="G25" s="193">
        <f t="shared" si="0"/>
        <v>2.7233142954962597</v>
      </c>
      <c r="H25" s="193">
        <f t="shared" si="0"/>
        <v>4.3471904777345198</v>
      </c>
      <c r="I25" s="193">
        <f t="shared" si="0"/>
        <v>5.0127523762839177</v>
      </c>
      <c r="J25" s="193">
        <f t="shared" si="0"/>
        <v>3.6770380780810399</v>
      </c>
      <c r="K25" s="193">
        <f t="shared" si="0"/>
        <v>2.5927809488205682</v>
      </c>
      <c r="L25" s="193">
        <f t="shared" si="0"/>
        <v>1.2871609605493999</v>
      </c>
      <c r="M25" s="193">
        <f t="shared" si="0"/>
        <v>0.28324190576871233</v>
      </c>
      <c r="N25" s="193">
        <f t="shared" si="0"/>
        <v>0.12164457106874103</v>
      </c>
      <c r="O25" s="193">
        <f t="shared" si="0"/>
        <v>7.690561960140864E-2</v>
      </c>
      <c r="P25" s="194">
        <f t="shared" si="0"/>
        <v>6.8575619232086896E-2</v>
      </c>
      <c r="R25" s="48"/>
      <c r="S25" s="306">
        <v>8</v>
      </c>
      <c r="T25" s="307">
        <v>0.62584285509018667</v>
      </c>
      <c r="U25" s="307">
        <v>1.7764809500603445</v>
      </c>
      <c r="V25" s="307">
        <v>3.1844285783313566</v>
      </c>
      <c r="W25" s="307">
        <v>4.7604761691320512</v>
      </c>
      <c r="X25" s="307">
        <v>5.2964285782405316</v>
      </c>
      <c r="Y25" s="307">
        <v>4.1630475804919289</v>
      </c>
      <c r="Z25" s="307">
        <v>2.8974285806928362</v>
      </c>
      <c r="AA25" s="307">
        <v>1.6280190490541004</v>
      </c>
      <c r="AB25" s="307">
        <v>0.32515238580249611</v>
      </c>
      <c r="AC25" s="307">
        <v>0.13571190514734813</v>
      </c>
      <c r="AD25" s="307">
        <v>8.0813334101722353E-2</v>
      </c>
      <c r="AE25" s="307">
        <v>7.8234285648380003E-2</v>
      </c>
      <c r="AF25" s="48"/>
      <c r="AG25" s="48"/>
    </row>
    <row r="26" spans="4:33" ht="13">
      <c r="D26" s="191">
        <v>45</v>
      </c>
      <c r="E26" s="192">
        <f t="shared" si="1"/>
        <v>0.32874323832137253</v>
      </c>
      <c r="F26" s="193">
        <f t="shared" si="0"/>
        <v>1.4835454769077754</v>
      </c>
      <c r="G26" s="193">
        <f t="shared" si="0"/>
        <v>2.5995143016179405</v>
      </c>
      <c r="H26" s="193">
        <f t="shared" si="0"/>
        <v>4.2022380919683551</v>
      </c>
      <c r="I26" s="193">
        <f t="shared" si="0"/>
        <v>4.8895690265155984</v>
      </c>
      <c r="J26" s="193">
        <f t="shared" si="0"/>
        <v>3.5420381023770284</v>
      </c>
      <c r="K26" s="193">
        <f t="shared" si="0"/>
        <v>2.4858237922191626</v>
      </c>
      <c r="L26" s="193">
        <f t="shared" si="0"/>
        <v>1.1619104833829972</v>
      </c>
      <c r="M26" s="193">
        <f t="shared" si="0"/>
        <v>0.26842142982142314</v>
      </c>
      <c r="N26" s="193">
        <f t="shared" si="0"/>
        <v>0.11786762036028363</v>
      </c>
      <c r="O26" s="193">
        <f t="shared" si="0"/>
        <v>7.5272857149442027E-2</v>
      </c>
      <c r="P26" s="194">
        <f t="shared" si="0"/>
        <v>6.5127428390440487E-2</v>
      </c>
      <c r="R26" s="48"/>
      <c r="S26" s="306">
        <v>9</v>
      </c>
      <c r="T26" s="307">
        <v>0.57589522891101375</v>
      </c>
      <c r="U26" s="307">
        <v>1.7274095245770047</v>
      </c>
      <c r="V26" s="307">
        <v>3.0609523795899891</v>
      </c>
      <c r="W26" s="307">
        <v>4.7044285933176679</v>
      </c>
      <c r="X26" s="307">
        <v>5.2498095376150946</v>
      </c>
      <c r="Y26" s="307">
        <v>4.0564762297130752</v>
      </c>
      <c r="Z26" s="307">
        <v>2.7895714441935224</v>
      </c>
      <c r="AA26" s="307">
        <v>1.5532333368346802</v>
      </c>
      <c r="AB26" s="307">
        <v>0.31611428445293799</v>
      </c>
      <c r="AC26" s="307">
        <v>0.13272142906983692</v>
      </c>
      <c r="AD26" s="307">
        <v>8.0223809040728081E-2</v>
      </c>
      <c r="AE26" s="307">
        <v>7.6357142556281329E-2</v>
      </c>
      <c r="AF26" s="48"/>
      <c r="AG26" s="48"/>
    </row>
    <row r="27" spans="4:33" ht="13">
      <c r="D27" s="191">
        <v>50</v>
      </c>
      <c r="E27" s="192">
        <f t="shared" si="1"/>
        <v>0.27224380913234897</v>
      </c>
      <c r="F27" s="193">
        <f t="shared" si="0"/>
        <v>1.4138404684407369</v>
      </c>
      <c r="G27" s="193">
        <f t="shared" si="0"/>
        <v>2.4997618993123374</v>
      </c>
      <c r="H27" s="193">
        <f t="shared" si="0"/>
        <v>4.064857130958921</v>
      </c>
      <c r="I27" s="193">
        <f t="shared" si="0"/>
        <v>4.7536428599130547</v>
      </c>
      <c r="J27" s="193">
        <f t="shared" si="0"/>
        <v>3.4189523855845132</v>
      </c>
      <c r="K27" s="193">
        <f t="shared" si="0"/>
        <v>2.3864047669229054</v>
      </c>
      <c r="L27" s="193">
        <f t="shared" si="0"/>
        <v>1.0564476251602173</v>
      </c>
      <c r="M27" s="193">
        <f t="shared" si="0"/>
        <v>0.25680476107767658</v>
      </c>
      <c r="N27" s="193">
        <f t="shared" si="0"/>
        <v>0.11470952452648255</v>
      </c>
      <c r="O27" s="193">
        <f t="shared" si="0"/>
        <v>7.3476667382887439E-2</v>
      </c>
      <c r="P27" s="194">
        <f t="shared" si="0"/>
        <v>6.2824523785994166E-2</v>
      </c>
      <c r="R27" s="48"/>
      <c r="S27" s="306">
        <v>10</v>
      </c>
      <c r="T27" s="307">
        <v>0.49702857328312749</v>
      </c>
      <c r="U27" s="307">
        <v>1.6810190564110166</v>
      </c>
      <c r="V27" s="307">
        <v>2.9737142948877247</v>
      </c>
      <c r="W27" s="307">
        <v>4.6177619184766501</v>
      </c>
      <c r="X27" s="307">
        <v>5.1657619589851018</v>
      </c>
      <c r="Y27" s="307">
        <v>3.9146666526794425</v>
      </c>
      <c r="Z27" s="307">
        <v>2.7433333396911621</v>
      </c>
      <c r="AA27" s="307">
        <v>1.4879571540015084</v>
      </c>
      <c r="AB27" s="307">
        <v>0.30491904559589572</v>
      </c>
      <c r="AC27" s="307">
        <v>0.12963428561176574</v>
      </c>
      <c r="AD27" s="307">
        <v>7.916142951164927E-2</v>
      </c>
      <c r="AE27" s="307">
        <v>7.35800000173705E-2</v>
      </c>
      <c r="AF27" s="48"/>
      <c r="AG27" s="48"/>
    </row>
    <row r="28" spans="4:33" ht="13">
      <c r="D28" s="191">
        <v>55</v>
      </c>
      <c r="E28" s="192">
        <f t="shared" si="1"/>
        <v>0.24162066883984062</v>
      </c>
      <c r="F28" s="193">
        <f t="shared" si="0"/>
        <v>1.338223322516396</v>
      </c>
      <c r="G28" s="193">
        <f t="shared" si="0"/>
        <v>2.3618095227650238</v>
      </c>
      <c r="H28" s="193">
        <f t="shared" si="0"/>
        <v>3.912866671880086</v>
      </c>
      <c r="I28" s="193">
        <f t="shared" si="0"/>
        <v>4.5996214077586233</v>
      </c>
      <c r="J28" s="193">
        <f t="shared" si="0"/>
        <v>3.3071428719021023</v>
      </c>
      <c r="K28" s="193">
        <f t="shared" si="0"/>
        <v>2.3056904577073598</v>
      </c>
      <c r="L28" s="193">
        <f t="shared" si="0"/>
        <v>0.96513047757602888</v>
      </c>
      <c r="M28" s="193">
        <f t="shared" si="0"/>
        <v>0.2443666630912395</v>
      </c>
      <c r="N28" s="193">
        <f t="shared" si="0"/>
        <v>0.11150704742897125</v>
      </c>
      <c r="O28" s="193">
        <f t="shared" si="0"/>
        <v>7.2206189944630572E-2</v>
      </c>
      <c r="P28" s="194">
        <f t="shared" si="0"/>
        <v>6.0586976437341594E-2</v>
      </c>
      <c r="R28" s="48"/>
      <c r="S28" s="306">
        <v>11</v>
      </c>
      <c r="T28" s="307">
        <v>0.4421147611879167</v>
      </c>
      <c r="U28" s="307">
        <v>1.6258666515350344</v>
      </c>
      <c r="V28" s="307">
        <v>2.8394285781042918</v>
      </c>
      <c r="W28" s="307">
        <v>4.526571398689633</v>
      </c>
      <c r="X28" s="307">
        <v>5.0710952622549881</v>
      </c>
      <c r="Y28" s="307">
        <v>3.8349523487545194</v>
      </c>
      <c r="Z28" s="307">
        <v>2.6737619297845021</v>
      </c>
      <c r="AA28" s="307">
        <v>1.4167666492008029</v>
      </c>
      <c r="AB28" s="307">
        <v>0.29446666652248027</v>
      </c>
      <c r="AC28" s="307">
        <v>0.12608333322263898</v>
      </c>
      <c r="AD28" s="307">
        <v>7.8256666305519279E-2</v>
      </c>
      <c r="AE28" s="307">
        <v>7.0603333413600936E-2</v>
      </c>
      <c r="AF28" s="48"/>
      <c r="AG28" s="48"/>
    </row>
    <row r="29" spans="4:33" ht="13">
      <c r="D29" s="191">
        <v>60</v>
      </c>
      <c r="E29" s="192">
        <f t="shared" si="1"/>
        <v>0.21920885773641724</v>
      </c>
      <c r="F29" s="193">
        <f t="shared" si="0"/>
        <v>1.2471314259937831</v>
      </c>
      <c r="G29" s="193">
        <f t="shared" si="0"/>
        <v>2.2687809592201598</v>
      </c>
      <c r="H29" s="193">
        <f t="shared" si="0"/>
        <v>3.7918761889139811</v>
      </c>
      <c r="I29" s="193">
        <f t="shared" si="0"/>
        <v>4.4694666953313913</v>
      </c>
      <c r="J29" s="193">
        <f t="shared" si="0"/>
        <v>3.1997809546334408</v>
      </c>
      <c r="K29" s="193">
        <f t="shared" si="0"/>
        <v>2.1777438004811609</v>
      </c>
      <c r="L29" s="193">
        <f t="shared" si="0"/>
        <v>0.89055619154657639</v>
      </c>
      <c r="M29" s="193">
        <f t="shared" si="0"/>
        <v>0.23368000075930642</v>
      </c>
      <c r="N29" s="193">
        <f t="shared" si="0"/>
        <v>0.10825495201916921</v>
      </c>
      <c r="O29" s="193">
        <f t="shared" si="0"/>
        <v>7.0648380759216478E-2</v>
      </c>
      <c r="P29" s="194">
        <f t="shared" si="0"/>
        <v>5.9028857414211558E-2</v>
      </c>
      <c r="R29" s="48"/>
      <c r="S29" s="306">
        <v>12</v>
      </c>
      <c r="T29" s="307">
        <v>0.42046571132682625</v>
      </c>
      <c r="U29" s="307">
        <v>1.5686190525690715</v>
      </c>
      <c r="V29" s="307">
        <v>2.7769523859024052</v>
      </c>
      <c r="W29" s="307">
        <v>4.4106190658750979</v>
      </c>
      <c r="X29" s="307">
        <v>4.973857118969871</v>
      </c>
      <c r="Y29" s="307">
        <v>3.7312857026145574</v>
      </c>
      <c r="Z29" s="307">
        <v>2.6186666602180115</v>
      </c>
      <c r="AA29" s="307">
        <v>1.3514047676608674</v>
      </c>
      <c r="AB29" s="307">
        <v>0.28754285971323645</v>
      </c>
      <c r="AC29" s="307">
        <v>0.12389333226851054</v>
      </c>
      <c r="AD29" s="307">
        <v>7.7305237806978663E-2</v>
      </c>
      <c r="AE29" s="307">
        <v>6.8982857323828181E-2</v>
      </c>
      <c r="AF29" s="48"/>
      <c r="AG29" s="48"/>
    </row>
    <row r="30" spans="4:33" ht="13">
      <c r="D30" s="191">
        <v>65</v>
      </c>
      <c r="E30" s="192">
        <f t="shared" si="1"/>
        <v>0.18653800051127159</v>
      </c>
      <c r="F30" s="193">
        <f t="shared" si="0"/>
        <v>1.1797369038774852</v>
      </c>
      <c r="G30" s="193">
        <f t="shared" si="0"/>
        <v>2.1526285727818806</v>
      </c>
      <c r="H30" s="193">
        <f t="shared" si="0"/>
        <v>3.6874952180044991</v>
      </c>
      <c r="I30" s="193">
        <f t="shared" si="0"/>
        <v>4.3531595383371622</v>
      </c>
      <c r="J30" s="193">
        <f t="shared" si="0"/>
        <v>3.0504857381184896</v>
      </c>
      <c r="K30" s="193">
        <f t="shared" si="0"/>
        <v>2.0689588051466719</v>
      </c>
      <c r="L30" s="193">
        <f t="shared" si="0"/>
        <v>0.81691429416338601</v>
      </c>
      <c r="M30" s="193">
        <f t="shared" si="0"/>
        <v>0.22050642827082248</v>
      </c>
      <c r="N30" s="193">
        <f t="shared" si="0"/>
        <v>0.10489495275985626</v>
      </c>
      <c r="O30" s="193">
        <f t="shared" si="0"/>
        <v>6.8758475567613345E-2</v>
      </c>
      <c r="P30" s="194">
        <f t="shared" si="0"/>
        <v>5.7387500247430237E-2</v>
      </c>
      <c r="R30" s="48"/>
      <c r="S30" s="306">
        <v>13</v>
      </c>
      <c r="T30" s="307">
        <v>0.38876714663846151</v>
      </c>
      <c r="U30" s="307">
        <v>1.51182382447379</v>
      </c>
      <c r="V30" s="307">
        <v>2.7099047728947232</v>
      </c>
      <c r="W30" s="307">
        <v>4.3313333306993753</v>
      </c>
      <c r="X30" s="307">
        <v>4.8938095001947319</v>
      </c>
      <c r="Y30" s="307">
        <v>3.6634761719476607</v>
      </c>
      <c r="Z30" s="307">
        <v>2.5539523817244034</v>
      </c>
      <c r="AA30" s="307">
        <v>1.271100008771533</v>
      </c>
      <c r="AB30" s="307">
        <v>0.27679047485192615</v>
      </c>
      <c r="AC30" s="307">
        <v>0.12108238076879867</v>
      </c>
      <c r="AD30" s="307">
        <v>7.6805715050016127E-2</v>
      </c>
      <c r="AE30" s="307">
        <v>6.7964762094474968E-2</v>
      </c>
      <c r="AF30" s="48"/>
      <c r="AG30" s="48"/>
    </row>
    <row r="31" spans="4:33" ht="13">
      <c r="D31" s="191">
        <v>70</v>
      </c>
      <c r="E31" s="192">
        <f t="shared" si="1"/>
        <v>0.14077057224654019</v>
      </c>
      <c r="F31" s="193">
        <f t="shared" si="0"/>
        <v>1.0842847585678101</v>
      </c>
      <c r="G31" s="193">
        <f t="shared" si="0"/>
        <v>2.0392800013224286</v>
      </c>
      <c r="H31" s="193">
        <f t="shared" si="0"/>
        <v>3.5594952333541143</v>
      </c>
      <c r="I31" s="193">
        <f t="shared" si="0"/>
        <v>4.2321571531749909</v>
      </c>
      <c r="J31" s="193">
        <f t="shared" si="0"/>
        <v>2.9176095417567667</v>
      </c>
      <c r="K31" s="193">
        <f t="shared" si="0"/>
        <v>1.9932352369739896</v>
      </c>
      <c r="L31" s="193">
        <f t="shared" si="0"/>
        <v>0.74002191282454</v>
      </c>
      <c r="M31" s="193">
        <f t="shared" si="0"/>
        <v>0.20993428499925704</v>
      </c>
      <c r="N31" s="193">
        <f t="shared" si="0"/>
        <v>0.10191552365819614</v>
      </c>
      <c r="O31" s="193">
        <f t="shared" si="0"/>
        <v>6.7457619096551624E-2</v>
      </c>
      <c r="P31" s="194">
        <f t="shared" si="0"/>
        <v>5.5770333945041613E-2</v>
      </c>
      <c r="R31" s="48"/>
      <c r="S31" s="306">
        <v>14</v>
      </c>
      <c r="T31" s="307">
        <v>0.34244952279896967</v>
      </c>
      <c r="U31" s="307">
        <v>1.4820571428253535</v>
      </c>
      <c r="V31" s="307">
        <v>2.6289047797520957</v>
      </c>
      <c r="W31" s="307">
        <v>4.2299523467109319</v>
      </c>
      <c r="X31" s="307">
        <v>4.8090000266120558</v>
      </c>
      <c r="Y31" s="307">
        <v>3.5679047448294501</v>
      </c>
      <c r="Z31" s="307">
        <v>2.4822380769820445</v>
      </c>
      <c r="AA31" s="307">
        <v>1.194047626994905</v>
      </c>
      <c r="AB31" s="307">
        <v>0.26798095376718611</v>
      </c>
      <c r="AC31" s="307">
        <v>0.11864571628116427</v>
      </c>
      <c r="AD31" s="307">
        <v>7.577476224728992E-2</v>
      </c>
      <c r="AE31" s="307">
        <v>6.4978095037596564E-2</v>
      </c>
      <c r="AF31" s="48"/>
      <c r="AG31" s="48"/>
    </row>
    <row r="32" spans="4:33" ht="13">
      <c r="D32" s="191">
        <v>75</v>
      </c>
      <c r="E32" s="192">
        <f t="shared" si="1"/>
        <v>0.11247999948405082</v>
      </c>
      <c r="F32" s="193">
        <f t="shared" si="0"/>
        <v>0.94354404473588582</v>
      </c>
      <c r="G32" s="193">
        <f t="shared" si="0"/>
        <v>1.867457140059698</v>
      </c>
      <c r="H32" s="193">
        <f t="shared" si="0"/>
        <v>3.4480000109899609</v>
      </c>
      <c r="I32" s="193">
        <f t="shared" si="0"/>
        <v>4.1054761721974335</v>
      </c>
      <c r="J32" s="193">
        <f t="shared" si="0"/>
        <v>2.7762857051122749</v>
      </c>
      <c r="K32" s="193">
        <f t="shared" si="0"/>
        <v>1.9201821542921518</v>
      </c>
      <c r="L32" s="193">
        <f t="shared" si="0"/>
        <v>0.68380000193913781</v>
      </c>
      <c r="M32" s="193">
        <f t="shared" si="0"/>
        <v>0.19917499903766883</v>
      </c>
      <c r="N32" s="193">
        <f t="shared" si="0"/>
        <v>9.9200000897759502E-2</v>
      </c>
      <c r="O32" s="193">
        <f t="shared" si="0"/>
        <v>6.5968095724071779E-2</v>
      </c>
      <c r="P32" s="194">
        <f t="shared" si="0"/>
        <v>5.419999986354794E-2</v>
      </c>
      <c r="R32" s="48"/>
      <c r="S32" s="306">
        <v>15</v>
      </c>
      <c r="T32" s="307">
        <v>0.30818381160497665</v>
      </c>
      <c r="U32" s="307">
        <v>1.4376761828150066</v>
      </c>
      <c r="V32" s="307">
        <v>2.5554285844167071</v>
      </c>
      <c r="W32" s="307">
        <v>4.1606667098544889</v>
      </c>
      <c r="X32" s="307">
        <v>4.6982856932140535</v>
      </c>
      <c r="Y32" s="307">
        <v>3.503238138698396</v>
      </c>
      <c r="Z32" s="307">
        <v>2.4120952515375049</v>
      </c>
      <c r="AA32" s="307">
        <v>1.1137047679651351</v>
      </c>
      <c r="AB32" s="307">
        <v>0.26105714270046781</v>
      </c>
      <c r="AC32" s="307">
        <v>0.11670047647896267</v>
      </c>
      <c r="AD32" s="307">
        <v>7.4519999502670187E-2</v>
      </c>
      <c r="AE32" s="307">
        <v>6.3690952779281704E-2</v>
      </c>
      <c r="AF32" s="48"/>
      <c r="AG32" s="48"/>
    </row>
    <row r="33" spans="4:33" ht="13">
      <c r="D33" s="191">
        <v>80</v>
      </c>
      <c r="E33" s="192">
        <f t="shared" si="1"/>
        <v>8.9507618759359628E-2</v>
      </c>
      <c r="F33" s="193">
        <f t="shared" si="0"/>
        <v>0.88494476165090286</v>
      </c>
      <c r="G33" s="193">
        <f t="shared" si="0"/>
        <v>1.7489352419262838</v>
      </c>
      <c r="H33" s="193">
        <f t="shared" si="0"/>
        <v>3.3170666615168249</v>
      </c>
      <c r="I33" s="193">
        <f t="shared" si="0"/>
        <v>4.0000952221098389</v>
      </c>
      <c r="J33" s="193">
        <f t="shared" si="0"/>
        <v>2.6601200012933641</v>
      </c>
      <c r="K33" s="193">
        <f t="shared" si="0"/>
        <v>1.8051695204916456</v>
      </c>
      <c r="L33" s="193">
        <f t="shared" si="0"/>
        <v>0.61758381043161659</v>
      </c>
      <c r="M33" s="193">
        <f t="shared" si="0"/>
        <v>0.18973523804119652</v>
      </c>
      <c r="N33" s="193">
        <f t="shared" si="0"/>
        <v>9.6537999844267253E-2</v>
      </c>
      <c r="O33" s="193">
        <f t="shared" si="0"/>
        <v>6.4468095238719658E-2</v>
      </c>
      <c r="P33" s="194">
        <f t="shared" si="0"/>
        <v>5.2627047825427278E-2</v>
      </c>
      <c r="R33" s="48"/>
      <c r="S33" s="306">
        <v>16</v>
      </c>
      <c r="T33" s="307">
        <v>0.27224380913234897</v>
      </c>
      <c r="U33" s="307">
        <v>1.3900047540664671</v>
      </c>
      <c r="V33" s="307">
        <v>2.4997618993123374</v>
      </c>
      <c r="W33" s="307">
        <v>4.064857130958921</v>
      </c>
      <c r="X33" s="307">
        <v>4.5944285506293898</v>
      </c>
      <c r="Y33" s="307">
        <v>3.4189523855845132</v>
      </c>
      <c r="Z33" s="307">
        <v>2.3607142823083063</v>
      </c>
      <c r="AA33" s="307">
        <v>1.0564476251602173</v>
      </c>
      <c r="AB33" s="307">
        <v>0.25255237945488529</v>
      </c>
      <c r="AC33" s="307">
        <v>0.11470952452648255</v>
      </c>
      <c r="AD33" s="307">
        <v>7.3476667382887439E-2</v>
      </c>
      <c r="AE33" s="307">
        <v>6.1958094792706621E-2</v>
      </c>
      <c r="AF33" s="48"/>
      <c r="AG33" s="48"/>
    </row>
    <row r="34" spans="4:33" ht="13">
      <c r="D34" s="191">
        <v>85</v>
      </c>
      <c r="E34" s="192">
        <f t="shared" si="1"/>
        <v>7.932657070812725E-2</v>
      </c>
      <c r="F34" s="193">
        <f t="shared" si="1"/>
        <v>0.80991595692577811</v>
      </c>
      <c r="G34" s="193">
        <f t="shared" si="1"/>
        <v>1.6199847715241567</v>
      </c>
      <c r="H34" s="193">
        <f t="shared" si="1"/>
        <v>3.1664476360593521</v>
      </c>
      <c r="I34" s="193">
        <f t="shared" si="1"/>
        <v>3.825569044692176</v>
      </c>
      <c r="J34" s="193">
        <f t="shared" si="1"/>
        <v>2.4879152212824143</v>
      </c>
      <c r="K34" s="193">
        <f t="shared" si="1"/>
        <v>1.7117321315265839</v>
      </c>
      <c r="L34" s="193">
        <f t="shared" si="1"/>
        <v>0.57631809725647876</v>
      </c>
      <c r="M34" s="193">
        <f t="shared" si="1"/>
        <v>0.18137592880853581</v>
      </c>
      <c r="N34" s="193">
        <f t="shared" si="1"/>
        <v>9.3572571554354278E-2</v>
      </c>
      <c r="O34" s="193">
        <f t="shared" si="1"/>
        <v>6.3052762051423406E-2</v>
      </c>
      <c r="P34" s="194">
        <f t="shared" si="1"/>
        <v>5.0980309219587412E-2</v>
      </c>
      <c r="R34" s="48"/>
      <c r="S34" s="306">
        <v>17</v>
      </c>
      <c r="T34" s="307">
        <v>0.25005523931412471</v>
      </c>
      <c r="U34" s="307">
        <v>1.3416952263741266</v>
      </c>
      <c r="V34" s="307">
        <v>2.4092381000518803</v>
      </c>
      <c r="W34" s="307">
        <v>3.9710952157065984</v>
      </c>
      <c r="X34" s="307">
        <v>4.5046666917346769</v>
      </c>
      <c r="Y34" s="307">
        <v>3.3600000256583806</v>
      </c>
      <c r="Z34" s="307">
        <v>2.3097142662320818</v>
      </c>
      <c r="AA34" s="307">
        <v>0.99167619290806019</v>
      </c>
      <c r="AB34" s="307">
        <v>0.24461904381002703</v>
      </c>
      <c r="AC34" s="307">
        <v>0.11265476189908528</v>
      </c>
      <c r="AD34" s="307">
        <v>7.2633332794620864E-2</v>
      </c>
      <c r="AE34" s="307">
        <v>6.0638095473959326E-2</v>
      </c>
      <c r="AF34" s="48"/>
      <c r="AG34" s="48"/>
    </row>
    <row r="35" spans="4:33" ht="13">
      <c r="D35" s="191">
        <v>90</v>
      </c>
      <c r="E35" s="192">
        <f t="shared" si="1"/>
        <v>6.654180951771281E-2</v>
      </c>
      <c r="F35" s="193">
        <f t="shared" si="1"/>
        <v>0.71741428268807272</v>
      </c>
      <c r="G35" s="193">
        <f t="shared" si="1"/>
        <v>1.4661980895769029</v>
      </c>
      <c r="H35" s="193">
        <f t="shared" si="1"/>
        <v>3.0334571168536235</v>
      </c>
      <c r="I35" s="193">
        <f t="shared" si="1"/>
        <v>3.6280238236699787</v>
      </c>
      <c r="J35" s="193">
        <f t="shared" si="1"/>
        <v>2.2879685634658449</v>
      </c>
      <c r="K35" s="193">
        <f t="shared" si="1"/>
        <v>1.6223823836871558</v>
      </c>
      <c r="L35" s="193">
        <f t="shared" si="1"/>
        <v>0.53641333083311715</v>
      </c>
      <c r="M35" s="193">
        <f t="shared" si="1"/>
        <v>0.17228409502477873</v>
      </c>
      <c r="N35" s="193">
        <f t="shared" si="1"/>
        <v>9.1016762277909696E-2</v>
      </c>
      <c r="O35" s="193">
        <f t="shared" si="1"/>
        <v>6.152400040910358E-2</v>
      </c>
      <c r="P35" s="194">
        <f t="shared" si="1"/>
        <v>4.933495243035612E-2</v>
      </c>
      <c r="R35" s="48"/>
      <c r="S35" s="306">
        <v>18</v>
      </c>
      <c r="T35" s="307">
        <v>0.23599762185698461</v>
      </c>
      <c r="U35" s="307">
        <v>1.2722571492195129</v>
      </c>
      <c r="V35" s="307">
        <v>2.3301904712404529</v>
      </c>
      <c r="W35" s="307">
        <v>3.8740476426624113</v>
      </c>
      <c r="X35" s="307">
        <v>4.4166667007264628</v>
      </c>
      <c r="Y35" s="307">
        <v>3.2719047693979171</v>
      </c>
      <c r="Z35" s="307">
        <v>2.2292380957376396</v>
      </c>
      <c r="AA35" s="307">
        <v>0.94743333402134144</v>
      </c>
      <c r="AB35" s="307">
        <v>0.23957142943427678</v>
      </c>
      <c r="AC35" s="307">
        <v>0.11074190444889521</v>
      </c>
      <c r="AD35" s="307">
        <v>7.1921428044637054E-2</v>
      </c>
      <c r="AE35" s="307">
        <v>5.9615714741604688E-2</v>
      </c>
      <c r="AF35" s="48"/>
      <c r="AG35" s="48"/>
    </row>
    <row r="36" spans="4:33" ht="13">
      <c r="D36" s="195">
        <v>95</v>
      </c>
      <c r="E36" s="196">
        <f>_xlfn.PERCENTILE.EXC(T$18:T$48,1-($D36/100))</f>
        <v>5.7455428441365572E-2</v>
      </c>
      <c r="F36" s="197">
        <f t="shared" ref="F36:P36" si="2">_xlfn.PERCENTILE.EXC(U$18:U$48,1-($D36/100))</f>
        <v>0.58581409165192233</v>
      </c>
      <c r="G36" s="197">
        <f t="shared" si="2"/>
        <v>1.3191314203398568</v>
      </c>
      <c r="H36" s="197">
        <f t="shared" si="2"/>
        <v>2.8539228626659936</v>
      </c>
      <c r="I36" s="197">
        <f t="shared" si="2"/>
        <v>3.4214452377387459</v>
      </c>
      <c r="J36" s="197">
        <f t="shared" si="2"/>
        <v>2.0711933453877771</v>
      </c>
      <c r="K36" s="197">
        <f t="shared" si="2"/>
        <v>1.513724994659424</v>
      </c>
      <c r="L36" s="197">
        <f t="shared" si="2"/>
        <v>0.49557142498947332</v>
      </c>
      <c r="M36" s="197">
        <f t="shared" si="2"/>
        <v>0.16445816602735294</v>
      </c>
      <c r="N36" s="197">
        <f t="shared" si="2"/>
        <v>8.8657047670511982E-2</v>
      </c>
      <c r="O36" s="197">
        <f t="shared" si="2"/>
        <v>5.9767619201115209E-2</v>
      </c>
      <c r="P36" s="198">
        <f t="shared" si="2"/>
        <v>4.7183595158691916E-2</v>
      </c>
      <c r="R36" s="48"/>
      <c r="S36" s="306">
        <v>19</v>
      </c>
      <c r="T36" s="307">
        <v>0.22216333484365827</v>
      </c>
      <c r="U36" s="307">
        <v>1.2303809438432967</v>
      </c>
      <c r="V36" s="307">
        <v>2.2849047694887434</v>
      </c>
      <c r="W36" s="307">
        <v>3.8043333348773776</v>
      </c>
      <c r="X36" s="307">
        <v>4.3419523920331677</v>
      </c>
      <c r="Y36" s="307">
        <v>3.2177142869858519</v>
      </c>
      <c r="Z36" s="307">
        <v>2.1434142703101751</v>
      </c>
      <c r="AA36" s="307">
        <v>0.89938571339561824</v>
      </c>
      <c r="AB36" s="307">
        <v>0.22975238164265951</v>
      </c>
      <c r="AC36" s="307">
        <v>0.10868190441812786</v>
      </c>
      <c r="AD36" s="307">
        <v>7.0937618613243089E-2</v>
      </c>
      <c r="AE36" s="307">
        <v>5.8637619195949467E-2</v>
      </c>
      <c r="AF36" s="48"/>
      <c r="AG36" s="48"/>
    </row>
    <row r="37" spans="4:33" ht="13">
      <c r="D37" s="178"/>
      <c r="E37" s="179"/>
      <c r="F37" s="180"/>
      <c r="G37" s="180"/>
      <c r="H37" s="180"/>
      <c r="I37" s="180"/>
      <c r="J37" s="180"/>
      <c r="K37" s="180"/>
      <c r="L37" s="180"/>
      <c r="M37" s="180"/>
      <c r="N37" s="180"/>
      <c r="O37" s="180"/>
      <c r="P37" s="180"/>
      <c r="R37" s="48"/>
      <c r="S37" s="306">
        <v>20</v>
      </c>
      <c r="T37" s="307">
        <v>0.20739094930745308</v>
      </c>
      <c r="U37" s="307">
        <v>1.1913190455663771</v>
      </c>
      <c r="V37" s="307">
        <v>2.2042857181458251</v>
      </c>
      <c r="W37" s="307">
        <v>3.7420476050603959</v>
      </c>
      <c r="X37" s="307">
        <v>4.261285725094023</v>
      </c>
      <c r="Y37" s="307">
        <v>3.1280476252237959</v>
      </c>
      <c r="Z37" s="307">
        <v>2.0765523768606644</v>
      </c>
      <c r="AA37" s="307">
        <v>0.85523810415040891</v>
      </c>
      <c r="AB37" s="307">
        <v>0.22142857135761354</v>
      </c>
      <c r="AC37" s="307">
        <v>0.10654714242333457</v>
      </c>
      <c r="AD37" s="307">
        <v>6.9491429343110048E-2</v>
      </c>
      <c r="AE37" s="307">
        <v>5.7560000213838759E-2</v>
      </c>
      <c r="AF37" s="48"/>
      <c r="AG37" s="48"/>
    </row>
    <row r="38" spans="4:33" ht="13">
      <c r="D38" s="178"/>
      <c r="E38" s="179"/>
      <c r="F38" s="180"/>
      <c r="G38" s="180"/>
      <c r="H38" s="180"/>
      <c r="I38" s="180"/>
      <c r="J38" s="180"/>
      <c r="K38" s="180"/>
      <c r="L38" s="180"/>
      <c r="M38" s="180"/>
      <c r="N38" s="180"/>
      <c r="O38" s="180"/>
      <c r="P38" s="180"/>
      <c r="R38" s="48"/>
      <c r="S38" s="306">
        <v>21</v>
      </c>
      <c r="T38" s="307">
        <v>0.18132476331222624</v>
      </c>
      <c r="U38" s="307">
        <v>1.1141047676404316</v>
      </c>
      <c r="V38" s="307">
        <v>2.1397142864408947</v>
      </c>
      <c r="W38" s="307">
        <v>3.6738571212405251</v>
      </c>
      <c r="X38" s="307">
        <v>4.1641904853639149</v>
      </c>
      <c r="Y38" s="307">
        <v>3.0310952663421631</v>
      </c>
      <c r="Z38" s="307">
        <v>2.0259285654340475</v>
      </c>
      <c r="AA38" s="307">
        <v>0.80733334166663029</v>
      </c>
      <c r="AB38" s="307">
        <v>0.21528095077900655</v>
      </c>
      <c r="AC38" s="307">
        <v>0.10448190534398669</v>
      </c>
      <c r="AD38" s="307">
        <v>6.8575237123739169E-2</v>
      </c>
      <c r="AE38" s="307">
        <v>5.6410000437781924E-2</v>
      </c>
      <c r="AF38" s="48"/>
      <c r="AG38" s="48"/>
    </row>
    <row r="39" spans="4:33" ht="13">
      <c r="D39" s="178"/>
      <c r="E39" s="179"/>
      <c r="F39" s="180"/>
      <c r="G39" s="180"/>
      <c r="H39" s="180"/>
      <c r="I39" s="180"/>
      <c r="J39" s="180"/>
      <c r="K39" s="180"/>
      <c r="L39" s="180"/>
      <c r="M39" s="180"/>
      <c r="N39" s="180"/>
      <c r="O39" s="180"/>
      <c r="P39" s="180"/>
      <c r="R39" s="48"/>
      <c r="S39" s="306">
        <v>22</v>
      </c>
      <c r="T39" s="307">
        <v>0.14747571501703488</v>
      </c>
      <c r="U39" s="307">
        <v>1.0715047546795438</v>
      </c>
      <c r="V39" s="307">
        <v>2.0849523884909495</v>
      </c>
      <c r="W39" s="307">
        <v>3.5933809393928167</v>
      </c>
      <c r="X39" s="307">
        <v>4.0859047344752728</v>
      </c>
      <c r="Y39" s="307">
        <v>2.9571904909043085</v>
      </c>
      <c r="Z39" s="307">
        <v>1.9792238104911077</v>
      </c>
      <c r="AA39" s="307">
        <v>0.75569048098155434</v>
      </c>
      <c r="AB39" s="307">
        <v>0.20764285680793582</v>
      </c>
      <c r="AC39" s="307">
        <v>0.10266714241533054</v>
      </c>
      <c r="AD39" s="307">
        <v>6.7785238226254776E-2</v>
      </c>
      <c r="AE39" s="307">
        <v>5.5496191162438625E-2</v>
      </c>
      <c r="AF39" s="48"/>
      <c r="AG39" s="48"/>
    </row>
    <row r="40" spans="4:33" ht="13">
      <c r="D40" s="147"/>
      <c r="E40" s="147"/>
      <c r="F40" s="180"/>
      <c r="G40" s="180"/>
      <c r="H40" s="180"/>
      <c r="I40" s="180"/>
      <c r="J40" s="180"/>
      <c r="K40" s="180"/>
      <c r="L40" s="180"/>
      <c r="M40" s="180"/>
      <c r="N40" s="180"/>
      <c r="O40" s="180"/>
      <c r="P40" s="180"/>
      <c r="R40" s="48"/>
      <c r="S40" s="306">
        <v>23</v>
      </c>
      <c r="T40" s="307">
        <v>0.13071285809079808</v>
      </c>
      <c r="U40" s="307">
        <v>0.95481428078242714</v>
      </c>
      <c r="V40" s="307">
        <v>1.9707714205696469</v>
      </c>
      <c r="W40" s="307">
        <v>3.508666674296061</v>
      </c>
      <c r="X40" s="307">
        <v>4.0247142598742522</v>
      </c>
      <c r="Y40" s="307">
        <v>2.858238118035453</v>
      </c>
      <c r="Z40" s="307">
        <v>1.9392143062182832</v>
      </c>
      <c r="AA40" s="307">
        <v>0.71651906058901838</v>
      </c>
      <c r="AB40" s="307">
        <v>0.20100476096073788</v>
      </c>
      <c r="AC40" s="307">
        <v>0.10078809552249454</v>
      </c>
      <c r="AD40" s="307">
        <v>6.6966190401996889E-2</v>
      </c>
      <c r="AE40" s="307">
        <v>5.444380942554701E-2</v>
      </c>
      <c r="AF40" s="48"/>
      <c r="AG40" s="48"/>
    </row>
    <row r="41" spans="4:33" ht="15.5">
      <c r="D41" s="797"/>
      <c r="E41" s="797"/>
      <c r="F41" s="797"/>
      <c r="G41" s="94"/>
      <c r="H41" s="94"/>
      <c r="I41" s="94"/>
      <c r="J41" s="94"/>
      <c r="K41" s="94"/>
      <c r="L41" s="94"/>
      <c r="M41" s="94"/>
      <c r="N41" s="94"/>
      <c r="O41" s="94"/>
      <c r="P41" s="94"/>
      <c r="R41" s="48"/>
      <c r="S41" s="306">
        <v>24</v>
      </c>
      <c r="T41" s="307">
        <v>0.11247999948405082</v>
      </c>
      <c r="U41" s="307">
        <v>0.90973333659626188</v>
      </c>
      <c r="V41" s="307">
        <v>1.867457140059698</v>
      </c>
      <c r="W41" s="307">
        <v>3.4480000109899609</v>
      </c>
      <c r="X41" s="307">
        <v>3.9016190710521883</v>
      </c>
      <c r="Y41" s="307">
        <v>2.7762857051122749</v>
      </c>
      <c r="Z41" s="307">
        <v>1.8630856985137578</v>
      </c>
      <c r="AA41" s="307">
        <v>0.68380000193913781</v>
      </c>
      <c r="AB41" s="307">
        <v>0.19368571326846171</v>
      </c>
      <c r="AC41" s="307">
        <v>9.9200000897759502E-2</v>
      </c>
      <c r="AD41" s="307">
        <v>6.5968095724071779E-2</v>
      </c>
      <c r="AE41" s="307">
        <v>5.3468571177550724E-2</v>
      </c>
      <c r="AF41" s="48"/>
      <c r="AG41" s="48"/>
    </row>
    <row r="42" spans="4:33" ht="13">
      <c r="E42" s="3" t="str">
        <f>CONCATENATE("MONTHLY RATED FLOW CURVES. ",UPPER(REPORTS!$AB$2))</f>
        <v>MONTHLY RATED FLOW CURVES. ALTERED FLOW</v>
      </c>
      <c r="R42" s="48"/>
      <c r="S42" s="306">
        <v>25</v>
      </c>
      <c r="T42" s="307">
        <v>9.3683332737003064E-2</v>
      </c>
      <c r="U42" s="307">
        <v>0.87874761791456313</v>
      </c>
      <c r="V42" s="307">
        <v>1.8039095373380754</v>
      </c>
      <c r="W42" s="307">
        <v>3.380523806526547</v>
      </c>
      <c r="X42" s="307">
        <v>3.7846190304983232</v>
      </c>
      <c r="Y42" s="307">
        <v>2.7185714358375188</v>
      </c>
      <c r="Z42" s="307">
        <v>1.7906904759861177</v>
      </c>
      <c r="AA42" s="307">
        <v>0.63929523740495942</v>
      </c>
      <c r="AB42" s="307">
        <v>0.18874761923438024</v>
      </c>
      <c r="AC42" s="307">
        <v>9.7572857602721177E-2</v>
      </c>
      <c r="AD42" s="307">
        <v>6.5065238092626834E-2</v>
      </c>
      <c r="AE42" s="307">
        <v>5.2416666987396422E-2</v>
      </c>
      <c r="AF42" s="48"/>
      <c r="AG42" s="48"/>
    </row>
    <row r="43" spans="4:33" ht="13">
      <c r="R43" s="48"/>
      <c r="S43" s="306">
        <v>26</v>
      </c>
      <c r="T43" s="307">
        <v>8.672380944093068E-2</v>
      </c>
      <c r="U43" s="307">
        <v>0.82914762553714561</v>
      </c>
      <c r="V43" s="307">
        <v>1.7122857116517565</v>
      </c>
      <c r="W43" s="307">
        <v>3.2747618981770108</v>
      </c>
      <c r="X43" s="307">
        <v>3.6406666835149131</v>
      </c>
      <c r="Y43" s="307">
        <v>2.6211523782639277</v>
      </c>
      <c r="Z43" s="307">
        <v>1.7351904653367545</v>
      </c>
      <c r="AA43" s="307">
        <v>0.60310952578272148</v>
      </c>
      <c r="AB43" s="307">
        <v>0.18360476266770132</v>
      </c>
      <c r="AC43" s="307">
        <v>9.5848094671964645E-2</v>
      </c>
      <c r="AD43" s="307">
        <v>6.4070000002781541E-2</v>
      </c>
      <c r="AE43" s="307">
        <v>5.140380916141328E-2</v>
      </c>
      <c r="AF43" s="48"/>
      <c r="AG43" s="48"/>
    </row>
    <row r="44" spans="4:33" ht="13">
      <c r="R44" s="48"/>
      <c r="S44" s="306">
        <v>27</v>
      </c>
      <c r="T44" s="307">
        <v>8.1097618277583799E-2</v>
      </c>
      <c r="U44" s="307">
        <v>0.77420000093323837</v>
      </c>
      <c r="V44" s="307">
        <v>1.6370285862968079</v>
      </c>
      <c r="W44" s="307">
        <v>3.18385716847011</v>
      </c>
      <c r="X44" s="307">
        <v>3.514238085065569</v>
      </c>
      <c r="Y44" s="307">
        <v>2.5126618884858631</v>
      </c>
      <c r="Z44" s="307">
        <v>1.6681666544505529</v>
      </c>
      <c r="AA44" s="307">
        <v>0.5809809551352545</v>
      </c>
      <c r="AB44" s="307">
        <v>0.17723666592722848</v>
      </c>
      <c r="AC44" s="307">
        <v>9.3835714317503441E-2</v>
      </c>
      <c r="AD44" s="307">
        <v>6.3269047864845829E-2</v>
      </c>
      <c r="AE44" s="307">
        <v>5.0193809327625093E-2</v>
      </c>
      <c r="AF44" s="48"/>
      <c r="AG44" s="48"/>
    </row>
    <row r="45" spans="4:33" ht="13">
      <c r="R45" s="48"/>
      <c r="S45" s="306">
        <v>28</v>
      </c>
      <c r="T45" s="307">
        <v>7.2242380430301026E-2</v>
      </c>
      <c r="U45" s="307">
        <v>0.71110475843860987</v>
      </c>
      <c r="V45" s="307">
        <v>1.5518095124335516</v>
      </c>
      <c r="W45" s="307">
        <v>3.0968095064163208</v>
      </c>
      <c r="X45" s="307">
        <v>3.3455238171986172</v>
      </c>
      <c r="Y45" s="307">
        <v>2.3889285524686179</v>
      </c>
      <c r="Z45" s="307">
        <v>1.6172952424912228</v>
      </c>
      <c r="AA45" s="307">
        <v>0.55766666574137547</v>
      </c>
      <c r="AB45" s="307">
        <v>0.171733809368951</v>
      </c>
      <c r="AC45" s="307">
        <v>9.2520000501757599E-2</v>
      </c>
      <c r="AD45" s="307">
        <v>6.2187618797733678E-2</v>
      </c>
      <c r="AE45" s="307">
        <v>4.9239523886215122E-2</v>
      </c>
      <c r="AF45" s="48"/>
      <c r="AG45" s="48"/>
    </row>
    <row r="46" spans="4:33" ht="13">
      <c r="R46" s="48"/>
      <c r="S46" s="306">
        <v>29</v>
      </c>
      <c r="T46" s="307">
        <v>6.5116666789565764E-2</v>
      </c>
      <c r="U46" s="307">
        <v>0.62603809187809634</v>
      </c>
      <c r="V46" s="307">
        <v>1.4447952338627408</v>
      </c>
      <c r="W46" s="307">
        <v>3.0176190194629493</v>
      </c>
      <c r="X46" s="307"/>
      <c r="Y46" s="307">
        <v>2.2627285662151517</v>
      </c>
      <c r="Z46" s="307">
        <v>1.5395999891417367</v>
      </c>
      <c r="AA46" s="307">
        <v>0.5310999971060526</v>
      </c>
      <c r="AB46" s="307">
        <v>0.16626952340205511</v>
      </c>
      <c r="AC46" s="307">
        <v>9.0640952721947721E-2</v>
      </c>
      <c r="AD46" s="307">
        <v>6.1358095811946053E-2</v>
      </c>
      <c r="AE46" s="307">
        <v>4.7886666442666731E-2</v>
      </c>
      <c r="AF46" s="48"/>
      <c r="AG46" s="48"/>
    </row>
    <row r="47" spans="4:33" ht="13">
      <c r="R47" s="48"/>
      <c r="S47" s="306">
        <v>30</v>
      </c>
      <c r="T47" s="307">
        <v>6.0250476002693183E-2</v>
      </c>
      <c r="U47" s="307">
        <v>0.53665142470882055</v>
      </c>
      <c r="V47" s="307">
        <v>1.3659809402057099</v>
      </c>
      <c r="W47" s="307">
        <v>2.896366672856467</v>
      </c>
      <c r="X47" s="307"/>
      <c r="Y47" s="307">
        <v>2.1184238308951975</v>
      </c>
      <c r="Z47" s="307">
        <v>1.4821000014032639</v>
      </c>
      <c r="AA47" s="307">
        <v>0.50528570938678019</v>
      </c>
      <c r="AB47" s="307">
        <v>0.16224428479160583</v>
      </c>
      <c r="AC47" s="307">
        <v>8.9177618956282026E-2</v>
      </c>
      <c r="AD47" s="307">
        <v>6.0097142699218939E-2</v>
      </c>
      <c r="AE47" s="307">
        <v>4.6324285811611576E-2</v>
      </c>
      <c r="AF47" s="48"/>
      <c r="AG47" s="48"/>
    </row>
    <row r="48" spans="4:33" ht="13">
      <c r="R48" s="48"/>
      <c r="S48" s="306">
        <v>31</v>
      </c>
      <c r="T48" s="307">
        <v>5.3262857099374131E-2</v>
      </c>
      <c r="U48" s="307"/>
      <c r="V48" s="307">
        <v>1.2488571405410764</v>
      </c>
      <c r="W48" s="307">
        <v>2.7902571473802835</v>
      </c>
      <c r="X48" s="307"/>
      <c r="Y48" s="307">
        <v>2.0003476171266463</v>
      </c>
      <c r="Z48" s="307"/>
      <c r="AA48" s="307">
        <v>0.48099999839351293</v>
      </c>
      <c r="AB48" s="307"/>
      <c r="AC48" s="307">
        <v>8.7876190741856902E-2</v>
      </c>
      <c r="AD48" s="307">
        <v>5.9273333953959603E-2</v>
      </c>
      <c r="AE48" s="307"/>
      <c r="AF48" s="48"/>
      <c r="AG48" s="48"/>
    </row>
    <row r="49" spans="18:33">
      <c r="R49" s="48"/>
      <c r="S49" s="48"/>
      <c r="T49" s="48"/>
      <c r="U49" s="48"/>
      <c r="V49" s="48"/>
      <c r="W49" s="48"/>
      <c r="X49" s="48"/>
      <c r="Y49" s="48"/>
      <c r="Z49" s="48"/>
      <c r="AA49" s="48"/>
      <c r="AB49" s="48"/>
      <c r="AC49" s="48"/>
      <c r="AD49" s="48"/>
      <c r="AE49" s="48"/>
      <c r="AF49" s="48"/>
      <c r="AG49" s="48"/>
    </row>
    <row r="50" spans="18:33" ht="14">
      <c r="R50" s="48"/>
      <c r="S50" s="312"/>
      <c r="T50" s="313"/>
      <c r="U50" s="313"/>
      <c r="V50" s="313"/>
      <c r="W50" s="313"/>
      <c r="X50" s="313"/>
      <c r="Y50" s="313"/>
      <c r="Z50" s="313"/>
      <c r="AA50" s="313"/>
      <c r="AB50" s="313"/>
      <c r="AC50" s="313"/>
      <c r="AD50" s="313"/>
      <c r="AE50" s="313"/>
      <c r="AF50" s="314"/>
      <c r="AG50" s="48"/>
    </row>
    <row r="51" spans="18:33" ht="14.5">
      <c r="R51" s="48"/>
      <c r="S51" s="312"/>
      <c r="T51" s="315"/>
      <c r="U51" s="315"/>
      <c r="V51" s="315"/>
      <c r="W51" s="315"/>
      <c r="X51" s="315"/>
      <c r="Y51" s="315"/>
      <c r="Z51" s="315"/>
      <c r="AA51" s="315"/>
      <c r="AB51" s="315"/>
      <c r="AC51" s="315"/>
      <c r="AD51" s="315"/>
      <c r="AE51" s="315"/>
      <c r="AF51" s="48"/>
      <c r="AG51" s="48"/>
    </row>
    <row r="52" spans="18:33" ht="13">
      <c r="S52" s="184"/>
      <c r="AF52" s="9"/>
    </row>
    <row r="53" spans="18:33" ht="13">
      <c r="S53" s="185"/>
      <c r="AF53" s="9"/>
    </row>
    <row r="54" spans="18:33" ht="13">
      <c r="S54" s="185"/>
      <c r="AF54" s="9"/>
    </row>
    <row r="55" spans="18:33" ht="13">
      <c r="S55" s="185"/>
      <c r="AF55" s="9"/>
    </row>
    <row r="56" spans="18:33" ht="13">
      <c r="S56" s="185"/>
      <c r="AF56" s="9"/>
    </row>
    <row r="57" spans="18:33" ht="13">
      <c r="S57" s="185"/>
      <c r="AF57" s="9"/>
    </row>
    <row r="58" spans="18:33" ht="13">
      <c r="S58" s="185"/>
      <c r="AF58" s="9"/>
    </row>
    <row r="59" spans="18:33" ht="13">
      <c r="S59" s="185"/>
      <c r="AF59" s="9"/>
    </row>
    <row r="60" spans="18:33" ht="13">
      <c r="S60" s="185"/>
      <c r="AF60" s="9"/>
    </row>
    <row r="61" spans="18:33" ht="13">
      <c r="S61" s="185"/>
      <c r="AF61" s="9"/>
    </row>
    <row r="62" spans="18:33" ht="13">
      <c r="S62" s="185"/>
      <c r="AF62" s="9"/>
    </row>
    <row r="63" spans="18:33" ht="13">
      <c r="S63" s="185"/>
      <c r="AF63" s="9"/>
    </row>
    <row r="64" spans="18:33" ht="13">
      <c r="S64" s="185"/>
      <c r="AF64" s="9"/>
    </row>
    <row r="65" spans="19:32" ht="13">
      <c r="S65" s="185"/>
      <c r="AF65" s="9"/>
    </row>
    <row r="66" spans="19:32" ht="13">
      <c r="S66" s="185"/>
      <c r="AF66" s="9"/>
    </row>
    <row r="67" spans="19:32" ht="13">
      <c r="S67" s="185"/>
      <c r="AF67" s="9"/>
    </row>
  </sheetData>
  <mergeCells count="23">
    <mergeCell ref="N16:N17"/>
    <mergeCell ref="O16:O17"/>
    <mergeCell ref="P16:P17"/>
    <mergeCell ref="D41:F41"/>
    <mergeCell ref="D15:P15"/>
    <mergeCell ref="E16:E17"/>
    <mergeCell ref="F16:F17"/>
    <mergeCell ref="G16:G17"/>
    <mergeCell ref="H16:H17"/>
    <mergeCell ref="I16:I17"/>
    <mergeCell ref="J16:J17"/>
    <mergeCell ref="K16:K17"/>
    <mergeCell ref="L16:L17"/>
    <mergeCell ref="M16:M17"/>
    <mergeCell ref="D14:P14"/>
    <mergeCell ref="D2:L2"/>
    <mergeCell ref="D3:L3"/>
    <mergeCell ref="B5:D5"/>
    <mergeCell ref="B6:D6"/>
    <mergeCell ref="B7:D7"/>
    <mergeCell ref="D12:P12"/>
    <mergeCell ref="B2:C2"/>
    <mergeCell ref="B3:C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29"/>
  <dimension ref="A1:AX41"/>
  <sheetViews>
    <sheetView showGridLines="0" zoomScale="75" zoomScaleNormal="75" workbookViewId="0">
      <selection activeCell="B3" sqref="B3:C3"/>
    </sheetView>
  </sheetViews>
  <sheetFormatPr baseColWidth="10" defaultColWidth="11.453125" defaultRowHeight="12.5"/>
  <cols>
    <col min="1" max="1" width="2.81640625" style="3" customWidth="1"/>
    <col min="2" max="2" width="20.1796875" style="3" customWidth="1"/>
    <col min="3" max="3" width="14" style="3" customWidth="1"/>
    <col min="4" max="65" width="15.81640625" style="3" customWidth="1"/>
    <col min="66" max="66" width="11.453125" style="3" customWidth="1"/>
    <col min="67" max="16384" width="11.453125" style="3"/>
  </cols>
  <sheetData>
    <row r="1" spans="1:50">
      <c r="A1" s="134"/>
      <c r="B1" s="135"/>
      <c r="C1" s="84"/>
      <c r="D1" s="83"/>
      <c r="E1" s="83"/>
      <c r="F1" s="83"/>
      <c r="G1" s="83"/>
      <c r="H1" s="83"/>
    </row>
    <row r="2" spans="1:50" ht="18">
      <c r="B2" s="687" t="s">
        <v>274</v>
      </c>
      <c r="C2" s="687"/>
      <c r="D2" s="688" t="str">
        <f>CONCATENATE(UPPER(REPORTS!$AB$1)," Y ",UPPER(REPORTS!$AB$2))</f>
        <v>NATURAL FLOW Y ALTERED FLOW</v>
      </c>
      <c r="E2" s="688"/>
      <c r="F2" s="688"/>
      <c r="G2" s="688"/>
      <c r="H2" s="688"/>
      <c r="I2" s="688"/>
      <c r="J2" s="688"/>
      <c r="K2" s="688"/>
      <c r="L2" s="688"/>
      <c r="M2" s="136"/>
      <c r="N2" s="136"/>
      <c r="O2" s="136"/>
      <c r="P2" s="136"/>
      <c r="Q2" s="136"/>
      <c r="R2" s="136"/>
    </row>
    <row r="3" spans="1:50" ht="18">
      <c r="B3" s="687" t="s">
        <v>399</v>
      </c>
      <c r="C3" s="687"/>
      <c r="D3" s="689" t="s">
        <v>368</v>
      </c>
      <c r="E3" s="688"/>
      <c r="F3" s="688"/>
      <c r="G3" s="688"/>
      <c r="H3" s="688"/>
      <c r="I3" s="688"/>
      <c r="J3" s="688"/>
      <c r="K3" s="688"/>
      <c r="L3" s="688"/>
      <c r="M3" s="136"/>
      <c r="N3" s="136"/>
      <c r="O3" s="136"/>
      <c r="P3" s="136"/>
      <c r="Q3" s="136"/>
      <c r="R3" s="136"/>
    </row>
    <row r="5" spans="1:50" ht="15.75" customHeight="1">
      <c r="B5" s="556" t="s">
        <v>1</v>
      </c>
      <c r="C5" s="556"/>
      <c r="D5" s="556"/>
      <c r="E5" s="484" t="str">
        <f>REPORTS!E7</f>
        <v>Natural Flow (Nat_F)</v>
      </c>
      <c r="F5" s="489"/>
      <c r="G5" s="489"/>
      <c r="H5" s="489"/>
      <c r="I5" s="489"/>
      <c r="J5" s="95"/>
      <c r="K5" s="95"/>
      <c r="L5" s="95"/>
      <c r="M5" s="95"/>
      <c r="N5" s="95"/>
      <c r="O5" s="95"/>
      <c r="P5" s="95"/>
      <c r="Q5" s="95"/>
      <c r="R5" s="95"/>
    </row>
    <row r="6" spans="1:50" ht="15.75" customHeight="1">
      <c r="B6" s="556" t="s">
        <v>2</v>
      </c>
      <c r="C6" s="556"/>
      <c r="D6" s="556"/>
      <c r="E6" s="484" t="str">
        <f>REPORTS!E8</f>
        <v>Altered Flow (Alt_F)</v>
      </c>
      <c r="F6" s="489"/>
      <c r="G6" s="489"/>
      <c r="H6" s="489"/>
      <c r="I6" s="489"/>
      <c r="J6" s="95"/>
      <c r="K6" s="95"/>
      <c r="L6" s="95"/>
      <c r="M6" s="95"/>
      <c r="N6" s="95"/>
      <c r="O6" s="95"/>
      <c r="P6" s="95"/>
      <c r="Q6" s="95"/>
      <c r="R6" s="95"/>
    </row>
    <row r="7" spans="1:50" ht="13">
      <c r="B7" s="556" t="s">
        <v>3</v>
      </c>
      <c r="C7" s="556"/>
      <c r="D7" s="556"/>
      <c r="E7" s="484" t="s">
        <v>4</v>
      </c>
      <c r="F7" s="489"/>
      <c r="G7" s="489"/>
      <c r="H7" s="489"/>
      <c r="I7" s="489"/>
      <c r="J7" s="95"/>
      <c r="K7" s="95"/>
      <c r="L7" s="95"/>
      <c r="M7" s="95"/>
      <c r="N7" s="95"/>
      <c r="O7" s="95"/>
      <c r="P7" s="95"/>
      <c r="Q7" s="95"/>
      <c r="R7" s="95"/>
    </row>
    <row r="8" spans="1:50" ht="13">
      <c r="B8" s="482"/>
      <c r="C8" s="482"/>
      <c r="D8" s="482"/>
      <c r="E8" s="477"/>
      <c r="F8" s="484"/>
      <c r="G8" s="484"/>
      <c r="H8" s="484"/>
      <c r="I8" s="484"/>
      <c r="J8" s="95"/>
      <c r="K8" s="95"/>
      <c r="L8" s="95"/>
      <c r="M8" s="95"/>
      <c r="N8" s="95"/>
      <c r="O8" s="95"/>
      <c r="P8" s="95"/>
      <c r="Q8" s="95"/>
      <c r="R8" s="95"/>
    </row>
    <row r="9" spans="1:50" ht="13">
      <c r="B9" s="482"/>
      <c r="C9" s="482"/>
      <c r="D9" s="482"/>
      <c r="E9" s="484"/>
      <c r="F9" s="484"/>
      <c r="G9" s="484"/>
      <c r="H9" s="484"/>
      <c r="I9" s="484"/>
      <c r="J9" s="95"/>
      <c r="K9" s="95"/>
      <c r="L9" s="95"/>
      <c r="M9" s="95"/>
      <c r="N9" s="95"/>
      <c r="O9" s="95"/>
      <c r="P9" s="95"/>
      <c r="Q9" s="95"/>
      <c r="R9" s="95"/>
    </row>
    <row r="12" spans="1:50" ht="18">
      <c r="B12" s="186"/>
      <c r="C12" s="186"/>
      <c r="D12" s="798" t="s">
        <v>156</v>
      </c>
      <c r="E12" s="798"/>
      <c r="F12" s="798"/>
      <c r="G12" s="798"/>
      <c r="H12" s="798"/>
      <c r="I12" s="798"/>
      <c r="J12" s="798"/>
      <c r="K12" s="798"/>
      <c r="L12" s="798"/>
      <c r="M12" s="798"/>
      <c r="N12" s="798"/>
      <c r="O12" s="798"/>
      <c r="P12" s="798"/>
      <c r="Q12" s="199"/>
      <c r="R12" s="199"/>
      <c r="S12" s="199"/>
      <c r="T12" s="199"/>
      <c r="U12" s="199"/>
      <c r="V12" s="199"/>
      <c r="W12" s="199"/>
      <c r="X12" s="199"/>
      <c r="Y12" s="199"/>
      <c r="Z12" s="199"/>
      <c r="AA12" s="199"/>
      <c r="AB12" s="199"/>
      <c r="AC12" s="199"/>
      <c r="AD12" s="199"/>
      <c r="AE12" s="199"/>
      <c r="AF12" s="199"/>
      <c r="AG12" s="199"/>
      <c r="AH12" s="199"/>
      <c r="AI12" s="199"/>
      <c r="AJ12" s="199"/>
      <c r="AK12" s="199"/>
      <c r="AL12" s="199"/>
      <c r="AM12" s="199"/>
      <c r="AN12" s="199"/>
      <c r="AO12" s="199"/>
      <c r="AP12" s="199"/>
      <c r="AQ12" s="199"/>
      <c r="AR12" s="199"/>
      <c r="AS12" s="199"/>
      <c r="AT12" s="199"/>
      <c r="AU12" s="199"/>
      <c r="AV12" s="199"/>
      <c r="AW12" s="199"/>
      <c r="AX12" s="199"/>
    </row>
    <row r="14" spans="1:50" ht="15.5">
      <c r="C14" s="17"/>
      <c r="D14" s="17"/>
      <c r="E14" s="17"/>
      <c r="F14" s="17"/>
    </row>
    <row r="15" spans="1:50" ht="15.5">
      <c r="E15" s="793" t="s">
        <v>370</v>
      </c>
      <c r="F15" s="793"/>
      <c r="I15" s="793" t="s">
        <v>371</v>
      </c>
      <c r="J15" s="793"/>
      <c r="M15" s="793" t="s">
        <v>372</v>
      </c>
      <c r="N15" s="793"/>
      <c r="Q15" s="793" t="s">
        <v>373</v>
      </c>
      <c r="R15" s="793"/>
      <c r="U15" s="793" t="s">
        <v>374</v>
      </c>
      <c r="V15" s="793"/>
      <c r="Y15" s="793" t="s">
        <v>375</v>
      </c>
      <c r="Z15" s="793"/>
      <c r="AC15" s="793" t="s">
        <v>376</v>
      </c>
      <c r="AD15" s="793"/>
      <c r="AG15" s="793" t="s">
        <v>377</v>
      </c>
      <c r="AH15" s="793"/>
      <c r="AK15" s="793" t="s">
        <v>378</v>
      </c>
      <c r="AL15" s="793"/>
      <c r="AO15" s="793" t="s">
        <v>379</v>
      </c>
      <c r="AP15" s="793"/>
      <c r="AS15" s="793" t="s">
        <v>380</v>
      </c>
      <c r="AT15" s="793"/>
      <c r="AW15" s="793" t="s">
        <v>381</v>
      </c>
      <c r="AX15" s="793"/>
    </row>
    <row r="16" spans="1:50" ht="14">
      <c r="C16" s="140"/>
      <c r="D16" s="137" t="s">
        <v>359</v>
      </c>
      <c r="E16" s="799" t="s">
        <v>400</v>
      </c>
      <c r="F16" s="800"/>
      <c r="H16" s="137" t="s">
        <v>359</v>
      </c>
      <c r="I16" s="799" t="s">
        <v>400</v>
      </c>
      <c r="J16" s="800"/>
      <c r="L16" s="137" t="s">
        <v>359</v>
      </c>
      <c r="M16" s="799" t="s">
        <v>400</v>
      </c>
      <c r="N16" s="800"/>
      <c r="P16" s="137" t="s">
        <v>359</v>
      </c>
      <c r="Q16" s="799" t="s">
        <v>400</v>
      </c>
      <c r="R16" s="800"/>
      <c r="T16" s="137" t="s">
        <v>359</v>
      </c>
      <c r="U16" s="799" t="s">
        <v>400</v>
      </c>
      <c r="V16" s="800"/>
      <c r="X16" s="137" t="s">
        <v>359</v>
      </c>
      <c r="Y16" s="799" t="s">
        <v>400</v>
      </c>
      <c r="Z16" s="800"/>
      <c r="AB16" s="137" t="s">
        <v>359</v>
      </c>
      <c r="AC16" s="799" t="s">
        <v>400</v>
      </c>
      <c r="AD16" s="800"/>
      <c r="AF16" s="137" t="s">
        <v>359</v>
      </c>
      <c r="AG16" s="799" t="s">
        <v>400</v>
      </c>
      <c r="AH16" s="800"/>
      <c r="AJ16" s="137" t="s">
        <v>359</v>
      </c>
      <c r="AK16" s="799" t="s">
        <v>400</v>
      </c>
      <c r="AL16" s="800"/>
      <c r="AN16" s="137" t="s">
        <v>359</v>
      </c>
      <c r="AO16" s="799" t="s">
        <v>400</v>
      </c>
      <c r="AP16" s="800"/>
      <c r="AR16" s="137" t="s">
        <v>359</v>
      </c>
      <c r="AS16" s="799" t="s">
        <v>400</v>
      </c>
      <c r="AT16" s="800"/>
      <c r="AV16" s="137" t="s">
        <v>359</v>
      </c>
      <c r="AW16" s="799" t="s">
        <v>400</v>
      </c>
      <c r="AX16" s="800"/>
    </row>
    <row r="17" spans="3:50">
      <c r="C17" s="140"/>
      <c r="D17" s="200" t="s">
        <v>401</v>
      </c>
      <c r="E17" s="201" t="str">
        <f>UPPER(REPORTS!$AA$1)</f>
        <v>NAT_F</v>
      </c>
      <c r="F17" s="202" t="str">
        <f>UPPER(REPORTS!$AA$2)</f>
        <v>ALT_F</v>
      </c>
      <c r="H17" s="200" t="s">
        <v>401</v>
      </c>
      <c r="I17" s="201" t="str">
        <f>UPPER(REPORTS!$AA$1)</f>
        <v>NAT_F</v>
      </c>
      <c r="J17" s="202" t="str">
        <f>UPPER(REPORTS!$AA$2)</f>
        <v>ALT_F</v>
      </c>
      <c r="L17" s="200" t="s">
        <v>401</v>
      </c>
      <c r="M17" s="201" t="str">
        <f>UPPER(REPORTS!$AA$1)</f>
        <v>NAT_F</v>
      </c>
      <c r="N17" s="202" t="str">
        <f>UPPER(REPORTS!$AA$2)</f>
        <v>ALT_F</v>
      </c>
      <c r="P17" s="200" t="s">
        <v>401</v>
      </c>
      <c r="Q17" s="201" t="str">
        <f>UPPER(REPORTS!$AA$1)</f>
        <v>NAT_F</v>
      </c>
      <c r="R17" s="202" t="str">
        <f>UPPER(REPORTS!$AA$2)</f>
        <v>ALT_F</v>
      </c>
      <c r="T17" s="200" t="s">
        <v>401</v>
      </c>
      <c r="U17" s="201" t="str">
        <f>UPPER(REPORTS!$AA$1)</f>
        <v>NAT_F</v>
      </c>
      <c r="V17" s="202" t="str">
        <f>UPPER(REPORTS!$AA$2)</f>
        <v>ALT_F</v>
      </c>
      <c r="X17" s="200" t="s">
        <v>401</v>
      </c>
      <c r="Y17" s="201" t="str">
        <f>UPPER(REPORTS!$AA$1)</f>
        <v>NAT_F</v>
      </c>
      <c r="Z17" s="202" t="str">
        <f>UPPER(REPORTS!$AA$2)</f>
        <v>ALT_F</v>
      </c>
      <c r="AB17" s="200" t="s">
        <v>401</v>
      </c>
      <c r="AC17" s="201" t="str">
        <f>UPPER(REPORTS!$AA$1)</f>
        <v>NAT_F</v>
      </c>
      <c r="AD17" s="202" t="str">
        <f>UPPER(REPORTS!$AA$2)</f>
        <v>ALT_F</v>
      </c>
      <c r="AF17" s="200" t="s">
        <v>401</v>
      </c>
      <c r="AG17" s="201" t="str">
        <f>UPPER(REPORTS!$AA$1)</f>
        <v>NAT_F</v>
      </c>
      <c r="AH17" s="202" t="str">
        <f>UPPER(REPORTS!$AA$2)</f>
        <v>ALT_F</v>
      </c>
      <c r="AJ17" s="200" t="s">
        <v>401</v>
      </c>
      <c r="AK17" s="201" t="str">
        <f>UPPER(REPORTS!$AA$1)</f>
        <v>NAT_F</v>
      </c>
      <c r="AL17" s="202" t="str">
        <f>UPPER(REPORTS!$AA$2)</f>
        <v>ALT_F</v>
      </c>
      <c r="AN17" s="200" t="s">
        <v>401</v>
      </c>
      <c r="AO17" s="201" t="str">
        <f>UPPER(REPORTS!$AA$1)</f>
        <v>NAT_F</v>
      </c>
      <c r="AP17" s="202" t="str">
        <f>UPPER(REPORTS!$AA$2)</f>
        <v>ALT_F</v>
      </c>
      <c r="AR17" s="200" t="s">
        <v>401</v>
      </c>
      <c r="AS17" s="201" t="str">
        <f>UPPER(REPORTS!$AA$1)</f>
        <v>NAT_F</v>
      </c>
      <c r="AT17" s="202" t="str">
        <f>UPPER(REPORTS!$AA$2)</f>
        <v>ALT_F</v>
      </c>
      <c r="AV17" s="200" t="s">
        <v>401</v>
      </c>
      <c r="AW17" s="201" t="str">
        <f>UPPER(REPORTS!$AA$1)</f>
        <v>NAT_F</v>
      </c>
      <c r="AX17" s="202" t="str">
        <f>UPPER(REPORTS!$AA$2)</f>
        <v>ALT_F</v>
      </c>
    </row>
    <row r="18" spans="3:50" ht="13">
      <c r="C18" s="178"/>
      <c r="D18" s="203">
        <v>5</v>
      </c>
      <c r="E18" s="165">
        <f>'Informe nº6c'!E18</f>
        <v>2.1101618937083653</v>
      </c>
      <c r="F18" s="161">
        <f>'Informe nº6d'!E18</f>
        <v>1.1599552361738112</v>
      </c>
      <c r="H18" s="203">
        <v>5</v>
      </c>
      <c r="I18" s="165">
        <f>'Informe nº6c'!F18</f>
        <v>4.6877475942884175</v>
      </c>
      <c r="J18" s="161">
        <f>'Informe nº6d'!F18</f>
        <v>2.4471904811404999</v>
      </c>
      <c r="L18" s="203">
        <v>5</v>
      </c>
      <c r="M18" s="165">
        <f>'Informe nº6c'!G18</f>
        <v>7.6451619216373992</v>
      </c>
      <c r="N18" s="161">
        <f>'Informe nº6d'!G18</f>
        <v>4.2454000018891831</v>
      </c>
      <c r="P18" s="203">
        <v>5</v>
      </c>
      <c r="Q18" s="165">
        <f>'Informe nº6c'!H18</f>
        <v>7.1677047457013812</v>
      </c>
      <c r="R18" s="161">
        <f>'Informe nº6d'!H18</f>
        <v>5.6672476450602218</v>
      </c>
      <c r="T18" s="203">
        <v>5</v>
      </c>
      <c r="U18" s="165">
        <f>'Informe nº6c'!I18</f>
        <v>6.0750904855274017</v>
      </c>
      <c r="V18" s="161">
        <f>'Informe nº6d'!I18</f>
        <v>6.1194166240237999</v>
      </c>
      <c r="X18" s="203">
        <v>5</v>
      </c>
      <c r="Y18" s="165">
        <f>'Informe nº6c'!J18</f>
        <v>5.5898761840093707</v>
      </c>
      <c r="Z18" s="161">
        <f>'Informe nº6d'!J18</f>
        <v>5.1412380967821383</v>
      </c>
      <c r="AB18" s="203">
        <v>5</v>
      </c>
      <c r="AC18" s="165">
        <f>'Informe nº6c'!K18</f>
        <v>6.4911809637433002</v>
      </c>
      <c r="AD18" s="161">
        <f>'Informe nº6d'!K18</f>
        <v>3.5384523732321607</v>
      </c>
      <c r="AF18" s="203">
        <v>5</v>
      </c>
      <c r="AG18" s="165">
        <f>'Informe nº6c'!L18</f>
        <v>6.7139238175891691</v>
      </c>
      <c r="AH18" s="161">
        <f>'Informe nº6d'!L18</f>
        <v>2.2453076317196796</v>
      </c>
      <c r="AJ18" s="203">
        <v>5</v>
      </c>
      <c r="AK18" s="165">
        <f>'Informe nº6c'!M18</f>
        <v>3.926611919062478</v>
      </c>
      <c r="AL18" s="161">
        <f>'Informe nº6d'!M18</f>
        <v>0.43915190466103105</v>
      </c>
      <c r="AN18" s="203">
        <v>5</v>
      </c>
      <c r="AO18" s="165">
        <f>'Informe nº6c'!N18</f>
        <v>0.73829238187699087</v>
      </c>
      <c r="AP18" s="161">
        <f>'Informe nº6d'!N18</f>
        <v>0.16234838004623139</v>
      </c>
      <c r="AR18" s="203">
        <v>5</v>
      </c>
      <c r="AS18" s="165">
        <f>'Informe nº6c'!O18</f>
        <v>0.24842571516831713</v>
      </c>
      <c r="AT18" s="161">
        <f>'Informe nº6d'!O18</f>
        <v>9.605895273742221E-2</v>
      </c>
      <c r="AV18" s="203">
        <v>5</v>
      </c>
      <c r="AW18" s="165">
        <f>'Informe nº6c'!P18</f>
        <v>0.5596795236425739</v>
      </c>
      <c r="AX18" s="161">
        <f>'Informe nº6d'!P18</f>
        <v>0.13448368970836908</v>
      </c>
    </row>
    <row r="19" spans="3:50" ht="13">
      <c r="C19" s="178"/>
      <c r="D19" s="203">
        <v>10</v>
      </c>
      <c r="E19" s="165">
        <f>'Informe nº6c'!E19</f>
        <v>1.94207238810403</v>
      </c>
      <c r="F19" s="161">
        <f>'Informe nº6d'!E19</f>
        <v>0.94163810213406884</v>
      </c>
      <c r="H19" s="203">
        <v>10</v>
      </c>
      <c r="I19" s="165">
        <f>'Informe nº6c'!F19</f>
        <v>4.3405380759920389</v>
      </c>
      <c r="J19" s="161">
        <f>'Informe nº6d'!F19</f>
        <v>2.1379285585312617</v>
      </c>
      <c r="L19" s="203">
        <v>10</v>
      </c>
      <c r="M19" s="165">
        <f>'Informe nº6c'!G19</f>
        <v>7.2930285726274775</v>
      </c>
      <c r="N19" s="161">
        <f>'Informe nº6d'!G19</f>
        <v>3.8914476326533727</v>
      </c>
      <c r="P19" s="203">
        <v>10</v>
      </c>
      <c r="Q19" s="165">
        <f>'Informe nº6c'!H19</f>
        <v>6.8261999811444971</v>
      </c>
      <c r="R19" s="161">
        <f>'Informe nº6d'!H19</f>
        <v>5.3387332961672831</v>
      </c>
      <c r="T19" s="203">
        <v>10</v>
      </c>
      <c r="U19" s="165">
        <f>'Informe nº6c'!I19</f>
        <v>5.8310999961126422</v>
      </c>
      <c r="V19" s="161">
        <f>'Informe nº6d'!I19</f>
        <v>5.8425095262981595</v>
      </c>
      <c r="X19" s="203">
        <v>10</v>
      </c>
      <c r="Y19" s="165">
        <f>'Informe nº6c'!J19</f>
        <v>5.3337143284933903</v>
      </c>
      <c r="Z19" s="161">
        <f>'Informe nº6d'!J19</f>
        <v>4.8692952383132209</v>
      </c>
      <c r="AB19" s="203">
        <v>10</v>
      </c>
      <c r="AC19" s="165">
        <f>'Informe nº6c'!K19</f>
        <v>6.2202428533917393</v>
      </c>
      <c r="AD19" s="161">
        <f>'Informe nº6d'!K19</f>
        <v>3.3341428699947544</v>
      </c>
      <c r="AF19" s="203">
        <v>10</v>
      </c>
      <c r="AG19" s="165">
        <f>'Informe nº6c'!L19</f>
        <v>6.483704744066511</v>
      </c>
      <c r="AH19" s="161">
        <f>'Informe nº6d'!L19</f>
        <v>2.024013343879155</v>
      </c>
      <c r="AJ19" s="203">
        <v>10</v>
      </c>
      <c r="AK19" s="165">
        <f>'Informe nº6c'!M19</f>
        <v>3.5849619002569297</v>
      </c>
      <c r="AL19" s="161">
        <f>'Informe nº6d'!M19</f>
        <v>0.40375809123118722</v>
      </c>
      <c r="AN19" s="203">
        <v>10</v>
      </c>
      <c r="AO19" s="165">
        <f>'Informe nº6c'!N19</f>
        <v>0.68369714731261855</v>
      </c>
      <c r="AP19" s="161">
        <f>'Informe nº6d'!N19</f>
        <v>0.1520352371391796</v>
      </c>
      <c r="AR19" s="203">
        <v>10</v>
      </c>
      <c r="AS19" s="165">
        <f>'Informe nº6c'!O19</f>
        <v>0.23702762027581536</v>
      </c>
      <c r="AT19" s="161">
        <f>'Informe nº6d'!O19</f>
        <v>8.7569238103571395E-2</v>
      </c>
      <c r="AV19" s="203">
        <v>10</v>
      </c>
      <c r="AW19" s="165">
        <f>'Informe nº6c'!P19</f>
        <v>0.48073476006587357</v>
      </c>
      <c r="AX19" s="161">
        <f>'Informe nº6d'!P19</f>
        <v>0.10938461916077706</v>
      </c>
    </row>
    <row r="20" spans="3:50" ht="13">
      <c r="C20" s="178"/>
      <c r="D20" s="203">
        <v>15</v>
      </c>
      <c r="E20" s="165">
        <f>'Informe nº6c'!E20</f>
        <v>1.8017028547468641</v>
      </c>
      <c r="F20" s="161">
        <f>'Informe nº6d'!E20</f>
        <v>0.86367237709817424</v>
      </c>
      <c r="H20" s="203">
        <v>15</v>
      </c>
      <c r="I20" s="165">
        <f>'Informe nº6c'!F20</f>
        <v>4.065549992095856</v>
      </c>
      <c r="J20" s="161">
        <f>'Informe nº6d'!F20</f>
        <v>2.018549998885109</v>
      </c>
      <c r="L20" s="203">
        <v>15</v>
      </c>
      <c r="M20" s="165">
        <f>'Informe nº6c'!G20</f>
        <v>6.9550856953575497</v>
      </c>
      <c r="N20" s="161">
        <f>'Informe nº6d'!G20</f>
        <v>3.6596761907849999</v>
      </c>
      <c r="P20" s="203">
        <v>15</v>
      </c>
      <c r="Q20" s="165">
        <f>'Informe nº6c'!H20</f>
        <v>6.6003714107331772</v>
      </c>
      <c r="R20" s="161">
        <f>'Informe nº6d'!H20</f>
        <v>5.1177428608848921</v>
      </c>
      <c r="T20" s="203">
        <v>15</v>
      </c>
      <c r="U20" s="165">
        <f>'Informe nº6c'!I20</f>
        <v>5.619569043886095</v>
      </c>
      <c r="V20" s="161">
        <f>'Informe nº6d'!I20</f>
        <v>5.687166663010915</v>
      </c>
      <c r="X20" s="203">
        <v>15</v>
      </c>
      <c r="Y20" s="165">
        <f>'Informe nº6c'!J20</f>
        <v>5.1118095284416549</v>
      </c>
      <c r="Z20" s="161">
        <f>'Informe nº6d'!J20</f>
        <v>4.5633142743791844</v>
      </c>
      <c r="AB20" s="203">
        <v>15</v>
      </c>
      <c r="AC20" s="165">
        <f>'Informe nº6c'!K20</f>
        <v>6.0155690670013424</v>
      </c>
      <c r="AD20" s="161">
        <f>'Informe nº6d'!K20</f>
        <v>3.1637190353302724</v>
      </c>
      <c r="AF20" s="203">
        <v>15</v>
      </c>
      <c r="AG20" s="165">
        <f>'Informe nº6c'!L20</f>
        <v>6.2480476424807589</v>
      </c>
      <c r="AH20" s="161">
        <f>'Informe nº6d'!L20</f>
        <v>1.8746990447952636</v>
      </c>
      <c r="AJ20" s="203">
        <v>15</v>
      </c>
      <c r="AK20" s="165">
        <f>'Informe nº6c'!M20</f>
        <v>3.3211690562111986</v>
      </c>
      <c r="AL20" s="161">
        <f>'Informe nº6d'!M20</f>
        <v>0.37773666637284409</v>
      </c>
      <c r="AN20" s="203">
        <v>15</v>
      </c>
      <c r="AO20" s="165">
        <f>'Informe nº6c'!N20</f>
        <v>0.6402419042019617</v>
      </c>
      <c r="AP20" s="161">
        <f>'Informe nº6d'!N20</f>
        <v>0.1461415247548194</v>
      </c>
      <c r="AR20" s="203">
        <v>15</v>
      </c>
      <c r="AS20" s="165">
        <f>'Informe nº6c'!O20</f>
        <v>0.22813238203525543</v>
      </c>
      <c r="AT20" s="161">
        <f>'Informe nº6d'!O20</f>
        <v>8.4245047328018005E-2</v>
      </c>
      <c r="AV20" s="203">
        <v>15</v>
      </c>
      <c r="AW20" s="165">
        <f>'Informe nº6c'!P20</f>
        <v>0.39870095160745422</v>
      </c>
      <c r="AX20" s="161">
        <f>'Informe nº6d'!P20</f>
        <v>9.7495714495224609E-2</v>
      </c>
    </row>
    <row r="21" spans="3:50" ht="13">
      <c r="C21" s="178"/>
      <c r="D21" s="203">
        <v>20</v>
      </c>
      <c r="E21" s="165">
        <f>'Informe nº6c'!E21</f>
        <v>1.6730876099495664</v>
      </c>
      <c r="F21" s="161">
        <f>'Informe nº6d'!E21</f>
        <v>0.76233142458257219</v>
      </c>
      <c r="H21" s="203">
        <v>20</v>
      </c>
      <c r="I21" s="165">
        <f>'Informe nº6c'!F21</f>
        <v>3.8862380765733269</v>
      </c>
      <c r="J21" s="161">
        <f>'Informe nº6d'!F21</f>
        <v>1.8880171350070412</v>
      </c>
      <c r="L21" s="203">
        <v>20</v>
      </c>
      <c r="M21" s="165">
        <f>'Informe nº6c'!G21</f>
        <v>6.7596666381472623</v>
      </c>
      <c r="N21" s="161">
        <f>'Informe nº6d'!G21</f>
        <v>3.43522857938494</v>
      </c>
      <c r="P21" s="203">
        <v>20</v>
      </c>
      <c r="Q21" s="165">
        <f>'Informe nº6c'!H21</f>
        <v>6.427495247977121</v>
      </c>
      <c r="R21" s="161">
        <f>'Informe nº6d'!H21</f>
        <v>4.9155237561180485</v>
      </c>
      <c r="T21" s="203">
        <v>20</v>
      </c>
      <c r="U21" s="165">
        <f>'Informe nº6c'!I21</f>
        <v>5.5137523878188368</v>
      </c>
      <c r="V21" s="161">
        <f>'Informe nº6d'!I21</f>
        <v>5.5222571509225027</v>
      </c>
      <c r="X21" s="203">
        <v>20</v>
      </c>
      <c r="Y21" s="165">
        <f>'Informe nº6c'!J21</f>
        <v>4.9668761821020215</v>
      </c>
      <c r="Z21" s="161">
        <f>'Informe nº6d'!J21</f>
        <v>4.3361618814014262</v>
      </c>
      <c r="AB21" s="203">
        <v>20</v>
      </c>
      <c r="AC21" s="165">
        <f>'Informe nº6c'!K21</f>
        <v>5.8469809305100213</v>
      </c>
      <c r="AD21" s="161">
        <f>'Informe nº6d'!K21</f>
        <v>3.0530190570013862</v>
      </c>
      <c r="AF21" s="203">
        <v>20</v>
      </c>
      <c r="AG21" s="165">
        <f>'Informe nº6c'!L21</f>
        <v>6.0276666891007196</v>
      </c>
      <c r="AH21" s="161">
        <f>'Informe nº6d'!L21</f>
        <v>1.7423504732903983</v>
      </c>
      <c r="AJ21" s="203">
        <v>20</v>
      </c>
      <c r="AK21" s="165">
        <f>'Informe nº6c'!M21</f>
        <v>3.0773523762112571</v>
      </c>
      <c r="AL21" s="161">
        <f>'Informe nº6d'!M21</f>
        <v>0.35295714012214113</v>
      </c>
      <c r="AN21" s="203">
        <v>20</v>
      </c>
      <c r="AO21" s="165">
        <f>'Informe nº6c'!N21</f>
        <v>0.60010285774866734</v>
      </c>
      <c r="AP21" s="161">
        <f>'Informe nº6d'!N21</f>
        <v>0.14052200118700664</v>
      </c>
      <c r="AR21" s="203">
        <v>20</v>
      </c>
      <c r="AS21" s="165">
        <f>'Informe nº6c'!O21</f>
        <v>0.22050571470033556</v>
      </c>
      <c r="AT21" s="161">
        <f>'Informe nº6d'!O21</f>
        <v>8.2477428764104854E-2</v>
      </c>
      <c r="AV21" s="203">
        <v>20</v>
      </c>
      <c r="AW21" s="165">
        <f>'Informe nº6c'!P21</f>
        <v>0.34162380894025168</v>
      </c>
      <c r="AX21" s="161">
        <f>'Informe nº6d'!P21</f>
        <v>8.7617333588146051E-2</v>
      </c>
    </row>
    <row r="22" spans="3:50" ht="13">
      <c r="C22" s="178"/>
      <c r="D22" s="203">
        <v>25</v>
      </c>
      <c r="E22" s="165">
        <f>'Informe nº6c'!E22</f>
        <v>1.5583380943252927</v>
      </c>
      <c r="F22" s="161">
        <f>'Informe nº6d'!E22</f>
        <v>0.62584285509018667</v>
      </c>
      <c r="H22" s="203">
        <v>25</v>
      </c>
      <c r="I22" s="165">
        <f>'Informe nº6c'!F22</f>
        <v>3.722404783680326</v>
      </c>
      <c r="J22" s="161">
        <f>'Informe nº6d'!F22</f>
        <v>1.7931916656948268</v>
      </c>
      <c r="L22" s="203">
        <v>25</v>
      </c>
      <c r="M22" s="165">
        <f>'Informe nº6c'!G22</f>
        <v>6.4722857929411388</v>
      </c>
      <c r="N22" s="161">
        <f>'Informe nº6d'!G22</f>
        <v>3.1844285783313566</v>
      </c>
      <c r="P22" s="203">
        <v>25</v>
      </c>
      <c r="Q22" s="165">
        <f>'Informe nº6c'!H22</f>
        <v>6.2127619470868787</v>
      </c>
      <c r="R22" s="161">
        <f>'Informe nº6d'!H22</f>
        <v>4.7604761691320512</v>
      </c>
      <c r="T22" s="203">
        <v>25</v>
      </c>
      <c r="U22" s="165">
        <f>'Informe nº6c'!I22</f>
        <v>5.3353095537140254</v>
      </c>
      <c r="V22" s="161">
        <f>'Informe nº6d'!I22</f>
        <v>5.3940357140132367</v>
      </c>
      <c r="X22" s="203">
        <v>25</v>
      </c>
      <c r="Y22" s="165">
        <f>'Informe nº6c'!J22</f>
        <v>4.8526666391463511</v>
      </c>
      <c r="Z22" s="161">
        <f>'Informe nº6d'!J22</f>
        <v>4.1630475804919289</v>
      </c>
      <c r="AB22" s="203">
        <v>25</v>
      </c>
      <c r="AC22" s="165">
        <f>'Informe nº6c'!K22</f>
        <v>5.6572738147917239</v>
      </c>
      <c r="AD22" s="161">
        <f>'Informe nº6d'!K22</f>
        <v>2.9187738171645572</v>
      </c>
      <c r="AF22" s="203">
        <v>25</v>
      </c>
      <c r="AG22" s="165">
        <f>'Informe nº6c'!L22</f>
        <v>5.8173333803812666</v>
      </c>
      <c r="AH22" s="161">
        <f>'Informe nº6d'!L22</f>
        <v>1.6280190490541004</v>
      </c>
      <c r="AJ22" s="203">
        <v>25</v>
      </c>
      <c r="AK22" s="165">
        <f>'Informe nº6c'!M22</f>
        <v>2.8342499747162773</v>
      </c>
      <c r="AL22" s="161">
        <f>'Informe nº6d'!M22</f>
        <v>0.32884643173643524</v>
      </c>
      <c r="AN22" s="203">
        <v>25</v>
      </c>
      <c r="AO22" s="165">
        <f>'Informe nº6c'!N22</f>
        <v>0.55804761818477089</v>
      </c>
      <c r="AP22" s="161">
        <f>'Informe nº6d'!N22</f>
        <v>0.13571190514734813</v>
      </c>
      <c r="AR22" s="203">
        <v>25</v>
      </c>
      <c r="AS22" s="165">
        <f>'Informe nº6c'!O22</f>
        <v>0.21312857241857622</v>
      </c>
      <c r="AT22" s="161">
        <f>'Informe nº6d'!O22</f>
        <v>8.0813334101722353E-2</v>
      </c>
      <c r="AV22" s="203">
        <v>25</v>
      </c>
      <c r="AW22" s="165">
        <f>'Informe nº6c'!P22</f>
        <v>0.30160118994258711</v>
      </c>
      <c r="AX22" s="161">
        <f>'Informe nº6d'!P22</f>
        <v>7.9427381046116352E-2</v>
      </c>
    </row>
    <row r="23" spans="3:50" ht="13">
      <c r="C23" s="178"/>
      <c r="D23" s="203">
        <v>30</v>
      </c>
      <c r="E23" s="165">
        <f>'Informe nº6c'!E23</f>
        <v>1.4657380995296294</v>
      </c>
      <c r="F23" s="161">
        <f>'Informe nº6d'!E23</f>
        <v>0.52857523553428187</v>
      </c>
      <c r="H23" s="203">
        <v>30</v>
      </c>
      <c r="I23" s="165">
        <f>'Informe nº6c'!F23</f>
        <v>3.56450473126911</v>
      </c>
      <c r="J23" s="161">
        <f>'Informe nº6d'!F23</f>
        <v>1.7134923841272083</v>
      </c>
      <c r="L23" s="203">
        <v>30</v>
      </c>
      <c r="M23" s="165">
        <f>'Informe nº6c'!G23</f>
        <v>6.3162476108187713</v>
      </c>
      <c r="N23" s="161">
        <f>'Informe nº6d'!G23</f>
        <v>3.0086095287686305</v>
      </c>
      <c r="P23" s="203">
        <v>30</v>
      </c>
      <c r="Q23" s="165">
        <f>'Informe nº6c'!H23</f>
        <v>6.0270190238952637</v>
      </c>
      <c r="R23" s="161">
        <f>'Informe nº6d'!H23</f>
        <v>4.6524285884130574</v>
      </c>
      <c r="T23" s="203">
        <v>30</v>
      </c>
      <c r="U23" s="165">
        <f>'Informe nº6c'!I23</f>
        <v>5.1963857423691513</v>
      </c>
      <c r="V23" s="161">
        <f>'Informe nº6d'!I23</f>
        <v>5.2637952498027252</v>
      </c>
      <c r="X23" s="203">
        <v>30</v>
      </c>
      <c r="Y23" s="165">
        <f>'Informe nº6c'!J23</f>
        <v>4.7447713965461364</v>
      </c>
      <c r="Z23" s="161">
        <f>'Informe nº6d'!J23</f>
        <v>3.9713904834928955</v>
      </c>
      <c r="AB23" s="203">
        <v>30</v>
      </c>
      <c r="AC23" s="165">
        <f>'Informe nº6c'!K23</f>
        <v>5.4911476464498614</v>
      </c>
      <c r="AD23" s="161">
        <f>'Informe nº6d'!K23</f>
        <v>2.7757000128428144</v>
      </c>
      <c r="AF23" s="203">
        <v>30</v>
      </c>
      <c r="AG23" s="165">
        <f>'Informe nº6c'!L23</f>
        <v>5.6670857293265211</v>
      </c>
      <c r="AH23" s="161">
        <f>'Informe nº6d'!L23</f>
        <v>1.514067627134777</v>
      </c>
      <c r="AJ23" s="203">
        <v>30</v>
      </c>
      <c r="AK23" s="165">
        <f>'Informe nº6c'!M23</f>
        <v>2.5767523822330287</v>
      </c>
      <c r="AL23" s="161">
        <f>'Informe nº6d'!M23</f>
        <v>0.31275571279582531</v>
      </c>
      <c r="AN23" s="203">
        <v>30</v>
      </c>
      <c r="AO23" s="165">
        <f>'Informe nº6c'!N23</f>
        <v>0.52515523660750607</v>
      </c>
      <c r="AP23" s="161">
        <f>'Informe nº6d'!N23</f>
        <v>0.13086914299499419</v>
      </c>
      <c r="AR23" s="203">
        <v>30</v>
      </c>
      <c r="AS23" s="165">
        <f>'Informe nº6c'!O23</f>
        <v>0.20574095277559187</v>
      </c>
      <c r="AT23" s="161">
        <f>'Informe nº6d'!O23</f>
        <v>7.9586381323280789E-2</v>
      </c>
      <c r="AV23" s="203">
        <v>30</v>
      </c>
      <c r="AW23" s="165">
        <f>'Informe nº6c'!P23</f>
        <v>0.26321809412468045</v>
      </c>
      <c r="AX23" s="161">
        <f>'Informe nº6d'!P23</f>
        <v>7.5523999794608082E-2</v>
      </c>
    </row>
    <row r="24" spans="3:50" ht="13">
      <c r="C24" s="178"/>
      <c r="D24" s="203">
        <v>35</v>
      </c>
      <c r="E24" s="165">
        <f>'Informe nº6c'!E24</f>
        <v>1.3785999973615013</v>
      </c>
      <c r="F24" s="161">
        <f>'Informe nº6d'!E24</f>
        <v>0.4377849512156986</v>
      </c>
      <c r="H24" s="203">
        <v>35</v>
      </c>
      <c r="I24" s="165">
        <f>'Informe nº6c'!F24</f>
        <v>3.4608928680419924</v>
      </c>
      <c r="J24" s="161">
        <f>'Informe nº6d'!F24</f>
        <v>1.6341395122664319</v>
      </c>
      <c r="L24" s="203">
        <v>35</v>
      </c>
      <c r="M24" s="165">
        <f>'Informe nº6c'!G24</f>
        <v>6.1113808881668827</v>
      </c>
      <c r="N24" s="161">
        <f>'Informe nº6d'!G24</f>
        <v>2.8269333396639147</v>
      </c>
      <c r="P24" s="203">
        <v>35</v>
      </c>
      <c r="Q24" s="165">
        <f>'Informe nº6c'!H24</f>
        <v>5.816171409970238</v>
      </c>
      <c r="R24" s="161">
        <f>'Informe nº6d'!H24</f>
        <v>4.503380932126726</v>
      </c>
      <c r="T24" s="203">
        <v>35</v>
      </c>
      <c r="U24" s="165">
        <f>'Informe nº6c'!I24</f>
        <v>5.1008666787828725</v>
      </c>
      <c r="V24" s="161">
        <f>'Informe nº6d'!I24</f>
        <v>5.1515619544755848</v>
      </c>
      <c r="X24" s="203">
        <v>35</v>
      </c>
      <c r="Y24" s="165">
        <f>'Informe nº6c'!J24</f>
        <v>4.6624476228441516</v>
      </c>
      <c r="Z24" s="161">
        <f>'Informe nº6d'!J24</f>
        <v>3.8142190195265271</v>
      </c>
      <c r="AB24" s="203">
        <v>35</v>
      </c>
      <c r="AC24" s="165">
        <f>'Informe nº6c'!K24</f>
        <v>5.3686833404359362</v>
      </c>
      <c r="AD24" s="161">
        <f>'Informe nº6d'!K24</f>
        <v>2.6841976412705013</v>
      </c>
      <c r="AF24" s="203">
        <v>35</v>
      </c>
      <c r="AG24" s="165">
        <f>'Informe nº6c'!L24</f>
        <v>5.4960000219799223</v>
      </c>
      <c r="AH24" s="161">
        <f>'Informe nº6d'!L24</f>
        <v>1.4036942728928159</v>
      </c>
      <c r="AJ24" s="203">
        <v>35</v>
      </c>
      <c r="AK24" s="165">
        <f>'Informe nº6c'!M24</f>
        <v>2.3532071448507765</v>
      </c>
      <c r="AL24" s="161">
        <f>'Informe nº6d'!M24</f>
        <v>0.29603452338349262</v>
      </c>
      <c r="AN24" s="203">
        <v>35</v>
      </c>
      <c r="AO24" s="165">
        <f>'Informe nº6c'!N24</f>
        <v>0.49522381055922732</v>
      </c>
      <c r="AP24" s="161">
        <f>'Informe nº6d'!N24</f>
        <v>0.1256453330318133</v>
      </c>
      <c r="AR24" s="203">
        <v>35</v>
      </c>
      <c r="AS24" s="165">
        <f>'Informe nº6c'!O24</f>
        <v>0.20015809535980225</v>
      </c>
      <c r="AT24" s="161">
        <f>'Informe nº6d'!O24</f>
        <v>7.8066380605811156E-2</v>
      </c>
      <c r="AV24" s="203">
        <v>35</v>
      </c>
      <c r="AW24" s="165">
        <f>'Informe nº6c'!P24</f>
        <v>0.23916023692914423</v>
      </c>
      <c r="AX24" s="161">
        <f>'Informe nº6d'!P24</f>
        <v>7.1049833404166374E-2</v>
      </c>
    </row>
    <row r="25" spans="3:50" ht="13">
      <c r="C25" s="178"/>
      <c r="D25" s="203">
        <v>40</v>
      </c>
      <c r="E25" s="165">
        <f>'Informe nº6c'!E25</f>
        <v>1.2889200000535872</v>
      </c>
      <c r="F25" s="161">
        <f>'Informe nº6d'!E25</f>
        <v>0.39510685957613445</v>
      </c>
      <c r="H25" s="203">
        <v>40</v>
      </c>
      <c r="I25" s="165">
        <f>'Informe nº6c'!F25</f>
        <v>3.3260571332204907</v>
      </c>
      <c r="J25" s="161">
        <f>'Informe nº6d'!F25</f>
        <v>1.5459009613309589</v>
      </c>
      <c r="L25" s="203">
        <v>40</v>
      </c>
      <c r="M25" s="165">
        <f>'Informe nº6c'!G25</f>
        <v>5.8796095098767971</v>
      </c>
      <c r="N25" s="161">
        <f>'Informe nº6d'!G25</f>
        <v>2.7233142954962597</v>
      </c>
      <c r="P25" s="203">
        <v>40</v>
      </c>
      <c r="Q25" s="165">
        <f>'Informe nº6c'!H25</f>
        <v>5.6284761882963634</v>
      </c>
      <c r="R25" s="161">
        <f>'Informe nº6d'!H25</f>
        <v>4.3471904777345198</v>
      </c>
      <c r="T25" s="203">
        <v>40</v>
      </c>
      <c r="U25" s="165">
        <f>'Informe nº6c'!I25</f>
        <v>4.9981809252784366</v>
      </c>
      <c r="V25" s="161">
        <f>'Informe nº6d'!I25</f>
        <v>5.0127523762839177</v>
      </c>
      <c r="X25" s="203">
        <v>40</v>
      </c>
      <c r="Y25" s="165">
        <f>'Informe nº6c'!J25</f>
        <v>4.5805809679485501</v>
      </c>
      <c r="Z25" s="161">
        <f>'Informe nº6d'!J25</f>
        <v>3.6770380780810399</v>
      </c>
      <c r="AB25" s="203">
        <v>40</v>
      </c>
      <c r="AC25" s="165">
        <f>'Informe nº6c'!K25</f>
        <v>5.2478666759672619</v>
      </c>
      <c r="AD25" s="161">
        <f>'Informe nº6d'!K25</f>
        <v>2.5927809488205682</v>
      </c>
      <c r="AF25" s="203">
        <v>40</v>
      </c>
      <c r="AG25" s="165">
        <f>'Informe nº6c'!L25</f>
        <v>5.377066644032797</v>
      </c>
      <c r="AH25" s="161">
        <f>'Informe nº6d'!L25</f>
        <v>1.2871609605493999</v>
      </c>
      <c r="AJ25" s="203">
        <v>40</v>
      </c>
      <c r="AK25" s="165">
        <f>'Informe nº6c'!M25</f>
        <v>2.1581238031387326</v>
      </c>
      <c r="AL25" s="161">
        <f>'Informe nº6d'!M25</f>
        <v>0.28324190576871233</v>
      </c>
      <c r="AN25" s="203">
        <v>40</v>
      </c>
      <c r="AO25" s="165">
        <f>'Informe nº6c'!N25</f>
        <v>0.46536476157960438</v>
      </c>
      <c r="AP25" s="161">
        <f>'Informe nº6d'!N25</f>
        <v>0.12164457106874103</v>
      </c>
      <c r="AR25" s="203">
        <v>40</v>
      </c>
      <c r="AS25" s="165">
        <f>'Informe nº6c'!O25</f>
        <v>0.19543428591319492</v>
      </c>
      <c r="AT25" s="161">
        <f>'Informe nº6d'!O25</f>
        <v>7.690561960140864E-2</v>
      </c>
      <c r="AV25" s="203">
        <v>40</v>
      </c>
      <c r="AW25" s="165">
        <f>'Informe nº6c'!P25</f>
        <v>0.21570285750286919</v>
      </c>
      <c r="AX25" s="161">
        <f>'Informe nº6d'!P25</f>
        <v>6.8575619232086896E-2</v>
      </c>
    </row>
    <row r="26" spans="3:50" ht="13">
      <c r="C26" s="178"/>
      <c r="D26" s="203">
        <v>45</v>
      </c>
      <c r="E26" s="165">
        <f>'Informe nº6c'!E26</f>
        <v>1.20425618773415</v>
      </c>
      <c r="F26" s="161">
        <f>'Informe nº6d'!E26</f>
        <v>0.32874323832137253</v>
      </c>
      <c r="H26" s="203">
        <v>45</v>
      </c>
      <c r="I26" s="165">
        <f>'Informe nº6c'!F26</f>
        <v>3.1669761887618475</v>
      </c>
      <c r="J26" s="161">
        <f>'Informe nº6d'!F26</f>
        <v>1.4835454769077754</v>
      </c>
      <c r="L26" s="203">
        <v>45</v>
      </c>
      <c r="M26" s="165">
        <f>'Informe nº6c'!G26</f>
        <v>5.6603047302791056</v>
      </c>
      <c r="N26" s="161">
        <f>'Informe nº6d'!G26</f>
        <v>2.5995143016179405</v>
      </c>
      <c r="P26" s="203">
        <v>45</v>
      </c>
      <c r="Q26" s="165">
        <f>'Informe nº6c'!H26</f>
        <v>5.4215429033551903</v>
      </c>
      <c r="R26" s="161">
        <f>'Informe nº6d'!H26</f>
        <v>4.2022380919683551</v>
      </c>
      <c r="T26" s="203">
        <v>45</v>
      </c>
      <c r="U26" s="165">
        <f>'Informe nº6c'!I26</f>
        <v>4.8864237898872016</v>
      </c>
      <c r="V26" s="161">
        <f>'Informe nº6d'!I26</f>
        <v>4.8895690265155984</v>
      </c>
      <c r="X26" s="203">
        <v>45</v>
      </c>
      <c r="Y26" s="165">
        <f>'Informe nº6c'!J26</f>
        <v>4.4899333340781071</v>
      </c>
      <c r="Z26" s="161">
        <f>'Informe nº6d'!J26</f>
        <v>3.5420381023770284</v>
      </c>
      <c r="AB26" s="203">
        <v>45</v>
      </c>
      <c r="AC26" s="165">
        <f>'Informe nº6c'!K26</f>
        <v>5.1220595405215308</v>
      </c>
      <c r="AD26" s="161">
        <f>'Informe nº6d'!K26</f>
        <v>2.4858237922191626</v>
      </c>
      <c r="AF26" s="203">
        <v>45</v>
      </c>
      <c r="AG26" s="165">
        <f>'Informe nº6c'!L26</f>
        <v>5.225409507751464</v>
      </c>
      <c r="AH26" s="161">
        <f>'Informe nº6d'!L26</f>
        <v>1.1619104833829972</v>
      </c>
      <c r="AJ26" s="203">
        <v>45</v>
      </c>
      <c r="AK26" s="165">
        <f>'Informe nº6c'!M26</f>
        <v>1.9609118952637627</v>
      </c>
      <c r="AL26" s="161">
        <f>'Informe nº6d'!M26</f>
        <v>0.26842142982142314</v>
      </c>
      <c r="AN26" s="203">
        <v>45</v>
      </c>
      <c r="AO26" s="165">
        <f>'Informe nº6c'!N26</f>
        <v>0.43874285930678963</v>
      </c>
      <c r="AP26" s="161">
        <f>'Informe nº6d'!N26</f>
        <v>0.11786762036028363</v>
      </c>
      <c r="AR26" s="203">
        <v>45</v>
      </c>
      <c r="AS26" s="165">
        <f>'Informe nº6c'!O26</f>
        <v>0.19066476311002459</v>
      </c>
      <c r="AT26" s="161">
        <f>'Informe nº6d'!O26</f>
        <v>7.5272857149442027E-2</v>
      </c>
      <c r="AV26" s="203">
        <v>45</v>
      </c>
      <c r="AW26" s="165">
        <f>'Informe nº6c'!P26</f>
        <v>0.20111833314100905</v>
      </c>
      <c r="AX26" s="161">
        <f>'Informe nº6d'!P26</f>
        <v>6.5127428390440487E-2</v>
      </c>
    </row>
    <row r="27" spans="3:50" ht="13">
      <c r="C27" s="178"/>
      <c r="D27" s="203">
        <v>50</v>
      </c>
      <c r="E27" s="165">
        <f>'Informe nº6c'!E27</f>
        <v>1.1168142897742137</v>
      </c>
      <c r="F27" s="161">
        <f>'Informe nº6d'!E27</f>
        <v>0.27224380913234897</v>
      </c>
      <c r="H27" s="203">
        <v>50</v>
      </c>
      <c r="I27" s="165">
        <f>'Informe nº6c'!F27</f>
        <v>2.9638095072337558</v>
      </c>
      <c r="J27" s="161">
        <f>'Informe nº6d'!F27</f>
        <v>1.4138404684407369</v>
      </c>
      <c r="L27" s="203">
        <v>50</v>
      </c>
      <c r="M27" s="165">
        <f>'Informe nº6c'!G27</f>
        <v>5.4275238059815907</v>
      </c>
      <c r="N27" s="161">
        <f>'Informe nº6d'!G27</f>
        <v>2.4997618993123374</v>
      </c>
      <c r="P27" s="203">
        <v>50</v>
      </c>
      <c r="Q27" s="165">
        <f>'Informe nº6c'!H27</f>
        <v>5.2772381078629271</v>
      </c>
      <c r="R27" s="161">
        <f>'Informe nº6d'!H27</f>
        <v>4.064857130958921</v>
      </c>
      <c r="T27" s="203">
        <v>50</v>
      </c>
      <c r="U27" s="165">
        <f>'Informe nº6c'!I27</f>
        <v>4.7661666245687568</v>
      </c>
      <c r="V27" s="161">
        <f>'Informe nº6d'!I27</f>
        <v>4.7536428599130547</v>
      </c>
      <c r="X27" s="203">
        <v>50</v>
      </c>
      <c r="Y27" s="165">
        <f>'Informe nº6c'!J27</f>
        <v>4.3769523870377309</v>
      </c>
      <c r="Z27" s="161">
        <f>'Informe nº6d'!J27</f>
        <v>3.4189523855845132</v>
      </c>
      <c r="AB27" s="203">
        <v>50</v>
      </c>
      <c r="AC27" s="165">
        <f>'Informe nº6c'!K27</f>
        <v>4.963523819333032</v>
      </c>
      <c r="AD27" s="161">
        <f>'Informe nº6d'!K27</f>
        <v>2.3864047669229054</v>
      </c>
      <c r="AF27" s="203">
        <v>50</v>
      </c>
      <c r="AG27" s="165">
        <f>'Informe nº6c'!L27</f>
        <v>5.0698570978073842</v>
      </c>
      <c r="AH27" s="161">
        <f>'Informe nº6d'!L27</f>
        <v>1.0564476251602173</v>
      </c>
      <c r="AJ27" s="203">
        <v>50</v>
      </c>
      <c r="AK27" s="165">
        <f>'Informe nº6c'!M27</f>
        <v>1.7881904868852523</v>
      </c>
      <c r="AL27" s="161">
        <f>'Informe nº6d'!M27</f>
        <v>0.25680476107767658</v>
      </c>
      <c r="AN27" s="203">
        <v>50</v>
      </c>
      <c r="AO27" s="165">
        <f>'Informe nº6c'!N27</f>
        <v>0.4176190481299446</v>
      </c>
      <c r="AP27" s="161">
        <f>'Informe nº6d'!N27</f>
        <v>0.11470952452648255</v>
      </c>
      <c r="AR27" s="203">
        <v>50</v>
      </c>
      <c r="AS27" s="165">
        <f>'Informe nº6c'!O27</f>
        <v>0.18663809554917474</v>
      </c>
      <c r="AT27" s="161">
        <f>'Informe nº6d'!O27</f>
        <v>7.3476667382887439E-2</v>
      </c>
      <c r="AV27" s="203">
        <v>50</v>
      </c>
      <c r="AW27" s="165">
        <f>'Informe nº6c'!P27</f>
        <v>0.18675000096360844</v>
      </c>
      <c r="AX27" s="161">
        <f>'Informe nº6d'!P27</f>
        <v>6.2824523785994166E-2</v>
      </c>
    </row>
    <row r="28" spans="3:50" ht="13">
      <c r="C28" s="178"/>
      <c r="D28" s="203">
        <v>55</v>
      </c>
      <c r="E28" s="165">
        <f>'Informe nº6c'!E28</f>
        <v>1.0292428624062309</v>
      </c>
      <c r="F28" s="161">
        <f>'Informe nº6d'!E28</f>
        <v>0.24162066883984062</v>
      </c>
      <c r="H28" s="203">
        <v>55</v>
      </c>
      <c r="I28" s="165">
        <f>'Informe nº6c'!F28</f>
        <v>2.7749238269669672</v>
      </c>
      <c r="J28" s="161">
        <f>'Informe nº6d'!F28</f>
        <v>1.338223322516396</v>
      </c>
      <c r="L28" s="203">
        <v>55</v>
      </c>
      <c r="M28" s="165">
        <f>'Informe nº6c'!G28</f>
        <v>5.2173523823420203</v>
      </c>
      <c r="N28" s="161">
        <f>'Informe nº6d'!G28</f>
        <v>2.3618095227650238</v>
      </c>
      <c r="P28" s="203">
        <v>55</v>
      </c>
      <c r="Q28" s="165">
        <f>'Informe nº6c'!H28</f>
        <v>5.1458475953056704</v>
      </c>
      <c r="R28" s="161">
        <f>'Informe nº6d'!H28</f>
        <v>3.912866671880086</v>
      </c>
      <c r="T28" s="203">
        <v>55</v>
      </c>
      <c r="U28" s="165">
        <f>'Informe nº6c'!I28</f>
        <v>4.6374500416574032</v>
      </c>
      <c r="V28" s="161">
        <f>'Informe nº6d'!I28</f>
        <v>4.5996214077586233</v>
      </c>
      <c r="X28" s="203">
        <v>55</v>
      </c>
      <c r="Y28" s="165">
        <f>'Informe nº6c'!J28</f>
        <v>4.2751904805501306</v>
      </c>
      <c r="Z28" s="161">
        <f>'Informe nº6d'!J28</f>
        <v>3.3071428719021023</v>
      </c>
      <c r="AB28" s="203">
        <v>55</v>
      </c>
      <c r="AC28" s="165">
        <f>'Informe nº6c'!K28</f>
        <v>4.8296166539192198</v>
      </c>
      <c r="AD28" s="161">
        <f>'Informe nº6d'!K28</f>
        <v>2.3056904577073598</v>
      </c>
      <c r="AF28" s="203">
        <v>55</v>
      </c>
      <c r="AG28" s="165">
        <f>'Informe nº6c'!L28</f>
        <v>4.9521809532528831</v>
      </c>
      <c r="AH28" s="161">
        <f>'Informe nº6d'!L28</f>
        <v>0.96513047757602888</v>
      </c>
      <c r="AJ28" s="203">
        <v>55</v>
      </c>
      <c r="AK28" s="165">
        <f>'Informe nº6c'!M28</f>
        <v>1.6276021411021548</v>
      </c>
      <c r="AL28" s="161">
        <f>'Informe nº6d'!M28</f>
        <v>0.2443666630912395</v>
      </c>
      <c r="AN28" s="203">
        <v>55</v>
      </c>
      <c r="AO28" s="165">
        <f>'Informe nº6c'!N28</f>
        <v>0.39219333075341717</v>
      </c>
      <c r="AP28" s="161">
        <f>'Informe nº6d'!N28</f>
        <v>0.11150704742897125</v>
      </c>
      <c r="AR28" s="203">
        <v>55</v>
      </c>
      <c r="AS28" s="165">
        <f>'Informe nº6c'!O28</f>
        <v>0.18093237976233162</v>
      </c>
      <c r="AT28" s="161">
        <f>'Informe nº6d'!O28</f>
        <v>7.2206189944630572E-2</v>
      </c>
      <c r="AV28" s="203">
        <v>55</v>
      </c>
      <c r="AW28" s="165">
        <f>'Informe nº6c'!P28</f>
        <v>0.17247785782175404</v>
      </c>
      <c r="AX28" s="161">
        <f>'Informe nº6d'!P28</f>
        <v>6.0586976437341594E-2</v>
      </c>
    </row>
    <row r="29" spans="3:50" ht="13">
      <c r="C29" s="178"/>
      <c r="D29" s="203">
        <v>60</v>
      </c>
      <c r="E29" s="165">
        <f>'Informe nº6c'!E29</f>
        <v>0.93533809525626066</v>
      </c>
      <c r="F29" s="161">
        <f>'Informe nº6d'!E29</f>
        <v>0.21920885773641724</v>
      </c>
      <c r="H29" s="203">
        <v>60</v>
      </c>
      <c r="I29" s="165">
        <f>'Informe nº6c'!F29</f>
        <v>2.5650361935297648</v>
      </c>
      <c r="J29" s="161">
        <f>'Informe nº6d'!F29</f>
        <v>1.2471314259937831</v>
      </c>
      <c r="L29" s="203">
        <v>60</v>
      </c>
      <c r="M29" s="165">
        <f>'Informe nº6c'!G29</f>
        <v>5.0741428068705963</v>
      </c>
      <c r="N29" s="161">
        <f>'Informe nº6d'!G29</f>
        <v>2.2687809592201598</v>
      </c>
      <c r="P29" s="203">
        <v>60</v>
      </c>
      <c r="Q29" s="165">
        <f>'Informe nº6c'!H29</f>
        <v>4.9962095419565822</v>
      </c>
      <c r="R29" s="161">
        <f>'Informe nº6d'!H29</f>
        <v>3.7918761889139811</v>
      </c>
      <c r="T29" s="203">
        <v>60</v>
      </c>
      <c r="U29" s="165">
        <f>'Informe nº6c'!I29</f>
        <v>4.5162666298094249</v>
      </c>
      <c r="V29" s="161">
        <f>'Informe nº6d'!I29</f>
        <v>4.4694666953313913</v>
      </c>
      <c r="X29" s="203">
        <v>60</v>
      </c>
      <c r="Y29" s="165">
        <f>'Informe nº6c'!J29</f>
        <v>4.1977428640638079</v>
      </c>
      <c r="Z29" s="161">
        <f>'Informe nº6d'!J29</f>
        <v>3.1997809546334408</v>
      </c>
      <c r="AB29" s="203">
        <v>60</v>
      </c>
      <c r="AC29" s="165">
        <f>'Informe nº6c'!K29</f>
        <v>4.7423618884313674</v>
      </c>
      <c r="AD29" s="161">
        <f>'Informe nº6d'!K29</f>
        <v>2.1777438004811609</v>
      </c>
      <c r="AF29" s="203">
        <v>60</v>
      </c>
      <c r="AG29" s="165">
        <f>'Informe nº6c'!L29</f>
        <v>4.7574857053302582</v>
      </c>
      <c r="AH29" s="161">
        <f>'Informe nº6d'!L29</f>
        <v>0.89055619154657639</v>
      </c>
      <c r="AJ29" s="203">
        <v>60</v>
      </c>
      <c r="AK29" s="165">
        <f>'Informe nº6c'!M29</f>
        <v>1.4793533404668171</v>
      </c>
      <c r="AL29" s="161">
        <f>'Informe nº6d'!M29</f>
        <v>0.23368000075930642</v>
      </c>
      <c r="AN29" s="203">
        <v>60</v>
      </c>
      <c r="AO29" s="165">
        <f>'Informe nº6c'!N29</f>
        <v>0.37119618881316413</v>
      </c>
      <c r="AP29" s="161">
        <f>'Informe nº6d'!N29</f>
        <v>0.10825495201916921</v>
      </c>
      <c r="AR29" s="203">
        <v>60</v>
      </c>
      <c r="AS29" s="165">
        <f>'Informe nº6c'!O29</f>
        <v>0.17412000000476835</v>
      </c>
      <c r="AT29" s="161">
        <f>'Informe nº6d'!O29</f>
        <v>7.0648380759216478E-2</v>
      </c>
      <c r="AV29" s="203">
        <v>60</v>
      </c>
      <c r="AW29" s="165">
        <f>'Informe nº6c'!P29</f>
        <v>0.16091428732588176</v>
      </c>
      <c r="AX29" s="161">
        <f>'Informe nº6d'!P29</f>
        <v>5.9028857414211558E-2</v>
      </c>
    </row>
    <row r="30" spans="3:50" ht="13">
      <c r="C30" s="178"/>
      <c r="D30" s="203">
        <v>65</v>
      </c>
      <c r="E30" s="165">
        <f>'Informe nº6c'!E30</f>
        <v>0.86789808954511372</v>
      </c>
      <c r="F30" s="161">
        <f>'Informe nº6d'!E30</f>
        <v>0.18653800051127159</v>
      </c>
      <c r="H30" s="203">
        <v>65</v>
      </c>
      <c r="I30" s="165">
        <f>'Informe nº6c'!F30</f>
        <v>2.3901916620277222</v>
      </c>
      <c r="J30" s="161">
        <f>'Informe nº6d'!F30</f>
        <v>1.1797369038774852</v>
      </c>
      <c r="L30" s="203">
        <v>65</v>
      </c>
      <c r="M30" s="165">
        <f>'Informe nº6c'!G30</f>
        <v>4.8875142926261539</v>
      </c>
      <c r="N30" s="161">
        <f>'Informe nº6d'!G30</f>
        <v>2.1526285727818806</v>
      </c>
      <c r="P30" s="203">
        <v>65</v>
      </c>
      <c r="Q30" s="165">
        <f>'Informe nº6c'!H30</f>
        <v>4.8948761871882835</v>
      </c>
      <c r="R30" s="161">
        <f>'Informe nº6d'!H30</f>
        <v>3.6874952180044991</v>
      </c>
      <c r="T30" s="203">
        <v>65</v>
      </c>
      <c r="U30" s="165">
        <f>'Informe nº6c'!I30</f>
        <v>4.4303809722264615</v>
      </c>
      <c r="V30" s="161">
        <f>'Informe nº6d'!I30</f>
        <v>4.3531595383371622</v>
      </c>
      <c r="X30" s="203">
        <v>65</v>
      </c>
      <c r="Y30" s="165">
        <f>'Informe nº6c'!J30</f>
        <v>4.0904285726093113</v>
      </c>
      <c r="Z30" s="161">
        <f>'Informe nº6d'!J30</f>
        <v>3.0504857381184896</v>
      </c>
      <c r="AB30" s="203">
        <v>65</v>
      </c>
      <c r="AC30" s="165">
        <f>'Informe nº6c'!K30</f>
        <v>4.6448428256171095</v>
      </c>
      <c r="AD30" s="161">
        <f>'Informe nº6d'!K30</f>
        <v>2.0689588051466719</v>
      </c>
      <c r="AF30" s="203">
        <v>65</v>
      </c>
      <c r="AG30" s="165">
        <f>'Informe nº6c'!L30</f>
        <v>4.5804190295083185</v>
      </c>
      <c r="AH30" s="161">
        <f>'Informe nº6d'!L30</f>
        <v>0.81691429416338601</v>
      </c>
      <c r="AJ30" s="203">
        <v>65</v>
      </c>
      <c r="AK30" s="165">
        <f>'Informe nº6c'!M30</f>
        <v>1.3396771377041223</v>
      </c>
      <c r="AL30" s="161">
        <f>'Informe nº6d'!M30</f>
        <v>0.22050642827082248</v>
      </c>
      <c r="AN30" s="203">
        <v>65</v>
      </c>
      <c r="AO30" s="165">
        <f>'Informe nº6c'!N30</f>
        <v>0.35335618938718522</v>
      </c>
      <c r="AP30" s="161">
        <f>'Informe nº6d'!N30</f>
        <v>0.10489495275985626</v>
      </c>
      <c r="AR30" s="203">
        <v>65</v>
      </c>
      <c r="AS30" s="165">
        <f>'Informe nº6c'!O30</f>
        <v>0.16936571385179247</v>
      </c>
      <c r="AT30" s="161">
        <f>'Informe nº6d'!O30</f>
        <v>6.8758475567613345E-2</v>
      </c>
      <c r="AV30" s="203">
        <v>65</v>
      </c>
      <c r="AW30" s="165">
        <f>'Informe nº6c'!P30</f>
        <v>0.1541414295456239</v>
      </c>
      <c r="AX30" s="161">
        <f>'Informe nº6d'!P30</f>
        <v>5.7387500247430237E-2</v>
      </c>
    </row>
    <row r="31" spans="3:50" ht="13">
      <c r="C31" s="178"/>
      <c r="D31" s="203">
        <v>70</v>
      </c>
      <c r="E31" s="165">
        <f>'Informe nº6c'!E31</f>
        <v>0.80035904731069296</v>
      </c>
      <c r="F31" s="161">
        <f>'Informe nº6d'!E31</f>
        <v>0.14077057224654019</v>
      </c>
      <c r="H31" s="203">
        <v>70</v>
      </c>
      <c r="I31" s="165">
        <f>'Informe nº6c'!F31</f>
        <v>2.1241180973393576</v>
      </c>
      <c r="J31" s="161">
        <f>'Informe nº6d'!F31</f>
        <v>1.0842847585678101</v>
      </c>
      <c r="L31" s="203">
        <v>70</v>
      </c>
      <c r="M31" s="165">
        <f>'Informe nº6c'!G31</f>
        <v>4.7143714019230432</v>
      </c>
      <c r="N31" s="161">
        <f>'Informe nº6d'!G31</f>
        <v>2.0392800013224286</v>
      </c>
      <c r="P31" s="203">
        <v>70</v>
      </c>
      <c r="Q31" s="165">
        <f>'Informe nº6c'!H31</f>
        <v>4.7878571215130048</v>
      </c>
      <c r="R31" s="161">
        <f>'Informe nº6d'!H31</f>
        <v>3.5594952333541143</v>
      </c>
      <c r="T31" s="203">
        <v>70</v>
      </c>
      <c r="U31" s="165">
        <f>'Informe nº6c'!I31</f>
        <v>4.3264667045502438</v>
      </c>
      <c r="V31" s="161">
        <f>'Informe nº6d'!I31</f>
        <v>4.2321571531749909</v>
      </c>
      <c r="X31" s="203">
        <v>70</v>
      </c>
      <c r="Y31" s="165">
        <f>'Informe nº6c'!J31</f>
        <v>4.0147999945141022</v>
      </c>
      <c r="Z31" s="161">
        <f>'Informe nº6d'!J31</f>
        <v>2.9176095417567667</v>
      </c>
      <c r="AB31" s="203">
        <v>70</v>
      </c>
      <c r="AC31" s="165">
        <f>'Informe nº6c'!K31</f>
        <v>4.5083333367393132</v>
      </c>
      <c r="AD31" s="161">
        <f>'Informe nº6d'!K31</f>
        <v>1.9932352369739896</v>
      </c>
      <c r="AF31" s="203">
        <v>70</v>
      </c>
      <c r="AG31" s="165">
        <f>'Informe nº6c'!L31</f>
        <v>4.4367333730061844</v>
      </c>
      <c r="AH31" s="161">
        <f>'Informe nº6d'!L31</f>
        <v>0.74002191282454</v>
      </c>
      <c r="AJ31" s="203">
        <v>70</v>
      </c>
      <c r="AK31" s="165">
        <f>'Informe nº6c'!M31</f>
        <v>1.2259000054427558</v>
      </c>
      <c r="AL31" s="161">
        <f>'Informe nº6d'!M31</f>
        <v>0.20993428499925704</v>
      </c>
      <c r="AN31" s="203">
        <v>70</v>
      </c>
      <c r="AO31" s="165">
        <f>'Informe nº6c'!N31</f>
        <v>0.33440666681244258</v>
      </c>
      <c r="AP31" s="161">
        <f>'Informe nº6d'!N31</f>
        <v>0.10191552365819614</v>
      </c>
      <c r="AR31" s="203">
        <v>70</v>
      </c>
      <c r="AS31" s="165">
        <f>'Informe nº6c'!O31</f>
        <v>0.16576380985123773</v>
      </c>
      <c r="AT31" s="161">
        <f>'Informe nº6d'!O31</f>
        <v>6.7457619096551624E-2</v>
      </c>
      <c r="AV31" s="203">
        <v>70</v>
      </c>
      <c r="AW31" s="165">
        <f>'Informe nº6c'!P31</f>
        <v>0.14431809545272872</v>
      </c>
      <c r="AX31" s="161">
        <f>'Informe nº6d'!P31</f>
        <v>5.5770333945041613E-2</v>
      </c>
    </row>
    <row r="32" spans="3:50" ht="13">
      <c r="C32" s="178"/>
      <c r="D32" s="203">
        <v>75</v>
      </c>
      <c r="E32" s="165">
        <f>'Informe nº6c'!E32</f>
        <v>0.73893332907131737</v>
      </c>
      <c r="F32" s="161">
        <f>'Informe nº6d'!E32</f>
        <v>0.11247999948405082</v>
      </c>
      <c r="H32" s="203">
        <v>75</v>
      </c>
      <c r="I32" s="165">
        <f>'Informe nº6c'!F32</f>
        <v>1.9271047441732316</v>
      </c>
      <c r="J32" s="161">
        <f>'Informe nº6d'!F32</f>
        <v>0.94354404473588582</v>
      </c>
      <c r="L32" s="203">
        <v>75</v>
      </c>
      <c r="M32" s="165">
        <f>'Informe nº6c'!G32</f>
        <v>4.4666666643960138</v>
      </c>
      <c r="N32" s="161">
        <f>'Informe nº6d'!G32</f>
        <v>1.867457140059698</v>
      </c>
      <c r="P32" s="203">
        <v>75</v>
      </c>
      <c r="Q32" s="165">
        <f>'Informe nº6c'!H32</f>
        <v>4.6648095221746537</v>
      </c>
      <c r="R32" s="161">
        <f>'Informe nº6d'!H32</f>
        <v>3.4480000109899609</v>
      </c>
      <c r="T32" s="203">
        <v>75</v>
      </c>
      <c r="U32" s="165">
        <f>'Informe nº6c'!I32</f>
        <v>4.2506547541845423</v>
      </c>
      <c r="V32" s="161">
        <f>'Informe nº6d'!I32</f>
        <v>4.1054761721974335</v>
      </c>
      <c r="X32" s="203">
        <v>75</v>
      </c>
      <c r="Y32" s="165">
        <f>'Informe nº6c'!J32</f>
        <v>3.9283333392370312</v>
      </c>
      <c r="Z32" s="161">
        <f>'Informe nº6d'!J32</f>
        <v>2.7762857051122749</v>
      </c>
      <c r="AB32" s="203">
        <v>75</v>
      </c>
      <c r="AC32" s="165">
        <f>'Informe nº6c'!K32</f>
        <v>4.3602737614086697</v>
      </c>
      <c r="AD32" s="161">
        <f>'Informe nº6d'!K32</f>
        <v>1.9201821542921518</v>
      </c>
      <c r="AF32" s="203">
        <v>75</v>
      </c>
      <c r="AG32" s="165">
        <f>'Informe nº6c'!L32</f>
        <v>4.2961904889061344</v>
      </c>
      <c r="AH32" s="161">
        <f>'Informe nº6d'!L32</f>
        <v>0.68380000193913781</v>
      </c>
      <c r="AJ32" s="203">
        <v>75</v>
      </c>
      <c r="AK32" s="165">
        <f>'Informe nº6c'!M32</f>
        <v>1.1291642863126028</v>
      </c>
      <c r="AL32" s="161">
        <f>'Informe nº6d'!M32</f>
        <v>0.19917499903766883</v>
      </c>
      <c r="AN32" s="203">
        <v>75</v>
      </c>
      <c r="AO32" s="165">
        <f>'Informe nº6c'!N32</f>
        <v>0.31669047616776957</v>
      </c>
      <c r="AP32" s="161">
        <f>'Informe nº6d'!N32</f>
        <v>9.9200000897759502E-2</v>
      </c>
      <c r="AR32" s="203">
        <v>75</v>
      </c>
      <c r="AS32" s="165">
        <f>'Informe nº6c'!O32</f>
        <v>0.16203809387627099</v>
      </c>
      <c r="AT32" s="161">
        <f>'Informe nº6d'!O32</f>
        <v>6.5968095724071779E-2</v>
      </c>
      <c r="AV32" s="203">
        <v>75</v>
      </c>
      <c r="AW32" s="165">
        <f>'Informe nº6c'!P32</f>
        <v>0.13901309571450665</v>
      </c>
      <c r="AX32" s="161">
        <f>'Informe nº6d'!P32</f>
        <v>5.419999986354794E-2</v>
      </c>
    </row>
    <row r="33" spans="3:50" ht="13">
      <c r="C33" s="178"/>
      <c r="D33" s="203">
        <v>80</v>
      </c>
      <c r="E33" s="165">
        <f>'Informe nº6c'!E33</f>
        <v>0.64107713656766074</v>
      </c>
      <c r="F33" s="161">
        <f>'Informe nº6d'!E33</f>
        <v>8.9507618759359628E-2</v>
      </c>
      <c r="H33" s="203">
        <v>80</v>
      </c>
      <c r="I33" s="165">
        <f>'Informe nº6c'!F33</f>
        <v>1.8168971532867069</v>
      </c>
      <c r="J33" s="161">
        <f>'Informe nº6d'!F33</f>
        <v>0.88494476165090286</v>
      </c>
      <c r="L33" s="203">
        <v>80</v>
      </c>
      <c r="M33" s="165">
        <f>'Informe nº6c'!G33</f>
        <v>4.2986857016881315</v>
      </c>
      <c r="N33" s="161">
        <f>'Informe nº6d'!G33</f>
        <v>1.7489352419262838</v>
      </c>
      <c r="P33" s="203">
        <v>80</v>
      </c>
      <c r="Q33" s="165">
        <f>'Informe nº6c'!H33</f>
        <v>4.5566094716389971</v>
      </c>
      <c r="R33" s="161">
        <f>'Informe nº6d'!H33</f>
        <v>3.3170666615168249</v>
      </c>
      <c r="T33" s="203">
        <v>80</v>
      </c>
      <c r="U33" s="165">
        <f>'Informe nº6c'!I33</f>
        <v>4.1490667002541679</v>
      </c>
      <c r="V33" s="161">
        <f>'Informe nº6d'!I33</f>
        <v>4.0000952221098389</v>
      </c>
      <c r="X33" s="203">
        <v>80</v>
      </c>
      <c r="Y33" s="165">
        <f>'Informe nº6c'!J33</f>
        <v>3.8065618832906081</v>
      </c>
      <c r="Z33" s="161">
        <f>'Informe nº6d'!J33</f>
        <v>2.6601200012933641</v>
      </c>
      <c r="AB33" s="203">
        <v>80</v>
      </c>
      <c r="AC33" s="165">
        <f>'Informe nº6c'!K33</f>
        <v>4.2015047618321013</v>
      </c>
      <c r="AD33" s="161">
        <f>'Informe nº6d'!K33</f>
        <v>1.8051695204916456</v>
      </c>
      <c r="AF33" s="203">
        <v>80</v>
      </c>
      <c r="AG33" s="165">
        <f>'Informe nº6c'!L33</f>
        <v>4.1699904850551048</v>
      </c>
      <c r="AH33" s="161">
        <f>'Informe nº6d'!L33</f>
        <v>0.61758381043161659</v>
      </c>
      <c r="AJ33" s="203">
        <v>80</v>
      </c>
      <c r="AK33" s="165">
        <f>'Informe nº6c'!M33</f>
        <v>1.0354599952697754</v>
      </c>
      <c r="AL33" s="161">
        <f>'Informe nº6d'!M33</f>
        <v>0.18973523804119652</v>
      </c>
      <c r="AN33" s="203">
        <v>80</v>
      </c>
      <c r="AO33" s="165">
        <f>'Informe nº6c'!N33</f>
        <v>0.29995333396253132</v>
      </c>
      <c r="AP33" s="161">
        <f>'Informe nº6d'!N33</f>
        <v>9.6537999844267253E-2</v>
      </c>
      <c r="AR33" s="203">
        <v>80</v>
      </c>
      <c r="AS33" s="165">
        <f>'Informe nº6c'!O33</f>
        <v>0.15886190512350629</v>
      </c>
      <c r="AT33" s="161">
        <f>'Informe nº6d'!O33</f>
        <v>6.4468095238719658E-2</v>
      </c>
      <c r="AV33" s="203">
        <v>80</v>
      </c>
      <c r="AW33" s="165">
        <f>'Informe nº6c'!P33</f>
        <v>0.13320380946000412</v>
      </c>
      <c r="AX33" s="161">
        <f>'Informe nº6d'!P33</f>
        <v>5.2627047825427278E-2</v>
      </c>
    </row>
    <row r="34" spans="3:50" ht="13">
      <c r="C34" s="178"/>
      <c r="D34" s="203">
        <v>85</v>
      </c>
      <c r="E34" s="165">
        <f>'Informe nº6c'!E34</f>
        <v>0.57822094886075881</v>
      </c>
      <c r="F34" s="161">
        <f>'Informe nº6d'!E34</f>
        <v>7.932657070812725E-2</v>
      </c>
      <c r="H34" s="203">
        <v>85</v>
      </c>
      <c r="I34" s="165">
        <f>'Informe nº6c'!F34</f>
        <v>1.639973809747469</v>
      </c>
      <c r="J34" s="161">
        <f>'Informe nº6d'!F34</f>
        <v>0.80991595692577811</v>
      </c>
      <c r="L34" s="203">
        <v>85</v>
      </c>
      <c r="M34" s="165">
        <f>'Informe nº6c'!G34</f>
        <v>4.0498952354703635</v>
      </c>
      <c r="N34" s="161">
        <f>'Informe nº6d'!G34</f>
        <v>1.6199847715241567</v>
      </c>
      <c r="P34" s="203">
        <v>85</v>
      </c>
      <c r="Q34" s="165">
        <f>'Informe nº6c'!H34</f>
        <v>4.4372856957571845</v>
      </c>
      <c r="R34" s="161">
        <f>'Informe nº6d'!H34</f>
        <v>3.1664476360593521</v>
      </c>
      <c r="T34" s="203">
        <v>85</v>
      </c>
      <c r="U34" s="165">
        <f>'Informe nº6c'!I34</f>
        <v>4.0539499947002957</v>
      </c>
      <c r="V34" s="161">
        <f>'Informe nº6d'!I34</f>
        <v>3.825569044692176</v>
      </c>
      <c r="X34" s="203">
        <v>85</v>
      </c>
      <c r="Y34" s="165">
        <f>'Informe nº6c'!J34</f>
        <v>3.6885618981860939</v>
      </c>
      <c r="Z34" s="161">
        <f>'Informe nº6d'!J34</f>
        <v>2.4879152212824143</v>
      </c>
      <c r="AB34" s="203">
        <v>85</v>
      </c>
      <c r="AC34" s="165">
        <f>'Informe nº6c'!K34</f>
        <v>4.069280961013976</v>
      </c>
      <c r="AD34" s="161">
        <f>'Informe nº6d'!K34</f>
        <v>1.7117321315265839</v>
      </c>
      <c r="AF34" s="203">
        <v>85</v>
      </c>
      <c r="AG34" s="165">
        <f>'Informe nº6c'!L34</f>
        <v>3.9769047918773834</v>
      </c>
      <c r="AH34" s="161">
        <f>'Informe nº6d'!L34</f>
        <v>0.57631809725647876</v>
      </c>
      <c r="AJ34" s="203">
        <v>85</v>
      </c>
      <c r="AK34" s="165">
        <f>'Informe nº6c'!M34</f>
        <v>0.9557402375198546</v>
      </c>
      <c r="AL34" s="161">
        <f>'Informe nº6d'!M34</f>
        <v>0.18137592880853581</v>
      </c>
      <c r="AN34" s="203">
        <v>85</v>
      </c>
      <c r="AO34" s="165">
        <f>'Informe nº6c'!N34</f>
        <v>0.28529809713363646</v>
      </c>
      <c r="AP34" s="161">
        <f>'Informe nº6d'!N34</f>
        <v>9.3572571554354278E-2</v>
      </c>
      <c r="AR34" s="203">
        <v>85</v>
      </c>
      <c r="AS34" s="165">
        <f>'Informe nº6c'!O34</f>
        <v>0.1535104751586914</v>
      </c>
      <c r="AT34" s="161">
        <f>'Informe nº6d'!O34</f>
        <v>6.3052762051423406E-2</v>
      </c>
      <c r="AV34" s="203">
        <v>85</v>
      </c>
      <c r="AW34" s="165">
        <f>'Informe nº6c'!P34</f>
        <v>0.12879866622388361</v>
      </c>
      <c r="AX34" s="161">
        <f>'Informe nº6d'!P34</f>
        <v>5.0980309219587412E-2</v>
      </c>
    </row>
    <row r="35" spans="3:50" ht="13">
      <c r="C35" s="178"/>
      <c r="D35" s="203">
        <v>90</v>
      </c>
      <c r="E35" s="165">
        <f>'Informe nº6c'!E35</f>
        <v>0.50716190465859001</v>
      </c>
      <c r="F35" s="161">
        <f>'Informe nº6d'!E35</f>
        <v>6.654180951771281E-2</v>
      </c>
      <c r="H35" s="203">
        <v>90</v>
      </c>
      <c r="I35" s="165">
        <f>'Informe nº6c'!F35</f>
        <v>1.4703699832870849</v>
      </c>
      <c r="J35" s="161">
        <f>'Informe nº6d'!F35</f>
        <v>0.71741428268807272</v>
      </c>
      <c r="L35" s="203">
        <v>90</v>
      </c>
      <c r="M35" s="165">
        <f>'Informe nº6c'!G35</f>
        <v>3.8364857071921938</v>
      </c>
      <c r="N35" s="161">
        <f>'Informe nº6d'!G35</f>
        <v>1.4661980895769029</v>
      </c>
      <c r="P35" s="203">
        <v>90</v>
      </c>
      <c r="Q35" s="165">
        <f>'Informe nº6c'!H35</f>
        <v>4.2995333353678387</v>
      </c>
      <c r="R35" s="161">
        <f>'Informe nº6d'!H35</f>
        <v>3.0334571168536235</v>
      </c>
      <c r="T35" s="203">
        <v>90</v>
      </c>
      <c r="U35" s="165">
        <f>'Informe nº6c'!I35</f>
        <v>3.9554047629946751</v>
      </c>
      <c r="V35" s="161">
        <f>'Informe nº6d'!I35</f>
        <v>3.6280238236699787</v>
      </c>
      <c r="X35" s="203">
        <v>90</v>
      </c>
      <c r="Y35" s="165">
        <f>'Informe nº6c'!J35</f>
        <v>3.5703524044581822</v>
      </c>
      <c r="Z35" s="161">
        <f>'Informe nº6d'!J35</f>
        <v>2.2879685634658449</v>
      </c>
      <c r="AB35" s="203">
        <v>90</v>
      </c>
      <c r="AC35" s="165">
        <f>'Informe nº6c'!K35</f>
        <v>3.8230285780770439</v>
      </c>
      <c r="AD35" s="161">
        <f>'Informe nº6d'!K35</f>
        <v>1.6223823836871558</v>
      </c>
      <c r="AF35" s="203">
        <v>90</v>
      </c>
      <c r="AG35" s="165">
        <f>'Informe nº6c'!L35</f>
        <v>3.7860856964474627</v>
      </c>
      <c r="AH35" s="161">
        <f>'Informe nº6d'!L35</f>
        <v>0.53641333083311715</v>
      </c>
      <c r="AJ35" s="203">
        <v>90</v>
      </c>
      <c r="AK35" s="165">
        <f>'Informe nº6c'!M35</f>
        <v>0.88229238334156201</v>
      </c>
      <c r="AL35" s="161">
        <f>'Informe nº6d'!M35</f>
        <v>0.17228409502477873</v>
      </c>
      <c r="AN35" s="203">
        <v>90</v>
      </c>
      <c r="AO35" s="165">
        <f>'Informe nº6c'!N35</f>
        <v>0.26996857268469671</v>
      </c>
      <c r="AP35" s="161">
        <f>'Informe nº6d'!N35</f>
        <v>9.1016762277909696E-2</v>
      </c>
      <c r="AR35" s="203">
        <v>90</v>
      </c>
      <c r="AS35" s="165">
        <f>'Informe nº6c'!O35</f>
        <v>0.14876380846613926</v>
      </c>
      <c r="AT35" s="161">
        <f>'Informe nº6d'!O35</f>
        <v>6.152400040910358E-2</v>
      </c>
      <c r="AV35" s="203">
        <v>90</v>
      </c>
      <c r="AW35" s="165">
        <f>'Informe nº6c'!P35</f>
        <v>0.12425866794018518</v>
      </c>
      <c r="AX35" s="161">
        <f>'Informe nº6d'!P35</f>
        <v>4.933495243035612E-2</v>
      </c>
    </row>
    <row r="36" spans="3:50" ht="13">
      <c r="C36" s="178"/>
      <c r="D36" s="204">
        <v>95</v>
      </c>
      <c r="E36" s="165">
        <f>'Informe nº6c'!E36</f>
        <v>0.4260638079472952</v>
      </c>
      <c r="F36" s="161">
        <f>'Informe nº6d'!E36</f>
        <v>5.7455428441365572E-2</v>
      </c>
      <c r="H36" s="204">
        <v>95</v>
      </c>
      <c r="I36" s="165">
        <f>'Informe nº6c'!F36</f>
        <v>1.2889073865754268</v>
      </c>
      <c r="J36" s="161">
        <f>'Informe nº6d'!F36</f>
        <v>0.58581409165192233</v>
      </c>
      <c r="L36" s="204">
        <v>95</v>
      </c>
      <c r="M36" s="165">
        <f>'Informe nº6c'!G36</f>
        <v>3.5973904995691215</v>
      </c>
      <c r="N36" s="161">
        <f>'Informe nº6d'!G36</f>
        <v>1.3191314203398568</v>
      </c>
      <c r="P36" s="204">
        <v>95</v>
      </c>
      <c r="Q36" s="165">
        <f>'Informe nº6c'!H36</f>
        <v>4.122704769316174</v>
      </c>
      <c r="R36" s="161">
        <f>'Informe nº6d'!H36</f>
        <v>2.8539228626659936</v>
      </c>
      <c r="T36" s="204">
        <v>95</v>
      </c>
      <c r="U36" s="165">
        <f>'Informe nº6c'!I36</f>
        <v>3.8019118973187038</v>
      </c>
      <c r="V36" s="161">
        <f>'Informe nº6d'!I36</f>
        <v>3.4214452377387459</v>
      </c>
      <c r="X36" s="204">
        <v>95</v>
      </c>
      <c r="Y36" s="165">
        <f>'Informe nº6c'!J36</f>
        <v>3.4347904886518208</v>
      </c>
      <c r="Z36" s="161">
        <f>'Informe nº6d'!J36</f>
        <v>2.0711933453877771</v>
      </c>
      <c r="AB36" s="204">
        <v>95</v>
      </c>
      <c r="AC36" s="165">
        <f>'Informe nº6c'!K36</f>
        <v>3.6281523721558715</v>
      </c>
      <c r="AD36" s="161">
        <f>'Informe nº6d'!K36</f>
        <v>1.513724994659424</v>
      </c>
      <c r="AF36" s="204">
        <v>95</v>
      </c>
      <c r="AG36" s="165">
        <f>'Informe nº6c'!L36</f>
        <v>3.6286857287089029</v>
      </c>
      <c r="AH36" s="161">
        <f>'Informe nº6d'!L36</f>
        <v>0.49557142498947332</v>
      </c>
      <c r="AJ36" s="204">
        <v>95</v>
      </c>
      <c r="AK36" s="165">
        <f>'Informe nº6c'!M36</f>
        <v>0.81687809555303492</v>
      </c>
      <c r="AL36" s="161">
        <f>'Informe nº6d'!M36</f>
        <v>0.16445816602735294</v>
      </c>
      <c r="AN36" s="204">
        <v>95</v>
      </c>
      <c r="AO36" s="165">
        <f>'Informe nº6c'!N36</f>
        <v>0.25613714413983485</v>
      </c>
      <c r="AP36" s="161">
        <f>'Informe nº6d'!N36</f>
        <v>8.8657047670511982E-2</v>
      </c>
      <c r="AR36" s="204">
        <v>95</v>
      </c>
      <c r="AS36" s="165">
        <f>'Informe nº6c'!O36</f>
        <v>0.14354857170865651</v>
      </c>
      <c r="AT36" s="161">
        <f>'Informe nº6d'!O36</f>
        <v>5.9767619201115209E-2</v>
      </c>
      <c r="AV36" s="204">
        <v>95</v>
      </c>
      <c r="AW36" s="165">
        <f>'Informe nº6c'!P36</f>
        <v>0.11807862011094888</v>
      </c>
      <c r="AX36" s="161">
        <f>'Informe nº6d'!P36</f>
        <v>4.7183595158691916E-2</v>
      </c>
    </row>
    <row r="37" spans="3:50" ht="13">
      <c r="C37" s="147"/>
      <c r="D37" s="178"/>
      <c r="E37" s="180"/>
      <c r="F37" s="180"/>
    </row>
    <row r="38" spans="3:50" ht="13">
      <c r="C38" s="147"/>
      <c r="D38" s="178"/>
      <c r="E38" s="180"/>
      <c r="F38" s="180"/>
    </row>
    <row r="39" spans="3:50" ht="13">
      <c r="C39" s="147"/>
      <c r="D39" s="178"/>
      <c r="E39" s="180"/>
      <c r="F39" s="180"/>
    </row>
    <row r="40" spans="3:50" ht="13">
      <c r="C40" s="147"/>
      <c r="D40" s="147"/>
      <c r="E40" s="180"/>
      <c r="F40" s="180"/>
    </row>
    <row r="41" spans="3:50" ht="15.5">
      <c r="C41" s="797"/>
      <c r="D41" s="797"/>
      <c r="E41" s="797"/>
      <c r="F41" s="797"/>
    </row>
  </sheetData>
  <mergeCells count="33">
    <mergeCell ref="AG16:AH16"/>
    <mergeCell ref="AK16:AL16"/>
    <mergeCell ref="AO16:AP16"/>
    <mergeCell ref="AS16:AT16"/>
    <mergeCell ref="AW16:AX16"/>
    <mergeCell ref="C41:F41"/>
    <mergeCell ref="AO15:AP15"/>
    <mergeCell ref="AS15:AT15"/>
    <mergeCell ref="AW15:AX15"/>
    <mergeCell ref="E16:F16"/>
    <mergeCell ref="I16:J16"/>
    <mergeCell ref="M16:N16"/>
    <mergeCell ref="Q16:R16"/>
    <mergeCell ref="U16:V16"/>
    <mergeCell ref="Y16:Z16"/>
    <mergeCell ref="AC16:AD16"/>
    <mergeCell ref="Q15:R15"/>
    <mergeCell ref="U15:V15"/>
    <mergeCell ref="Y15:Z15"/>
    <mergeCell ref="AC15:AD15"/>
    <mergeCell ref="AG15:AH15"/>
    <mergeCell ref="D2:L2"/>
    <mergeCell ref="D3:L3"/>
    <mergeCell ref="B5:D5"/>
    <mergeCell ref="AK15:AL15"/>
    <mergeCell ref="B6:D6"/>
    <mergeCell ref="B7:D7"/>
    <mergeCell ref="D12:P12"/>
    <mergeCell ref="E15:F15"/>
    <mergeCell ref="I15:J15"/>
    <mergeCell ref="M15:N15"/>
    <mergeCell ref="B2:C2"/>
    <mergeCell ref="B3:C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32"/>
  <dimension ref="B1:S46"/>
  <sheetViews>
    <sheetView showGridLines="0" zoomScale="75" zoomScaleNormal="75" workbookViewId="0">
      <selection activeCell="B3" sqref="B3:C3"/>
    </sheetView>
  </sheetViews>
  <sheetFormatPr baseColWidth="10" defaultRowHeight="12.5"/>
  <cols>
    <col min="1" max="1" width="2.81640625" customWidth="1"/>
    <col min="2" max="2" width="20.1796875" customWidth="1"/>
    <col min="3" max="3" width="13.54296875" customWidth="1"/>
    <col min="4" max="4" width="7.1796875" customWidth="1"/>
    <col min="5" max="5" width="2.453125" customWidth="1"/>
    <col min="6" max="6" width="11.1796875" customWidth="1"/>
    <col min="7" max="7" width="16.81640625" customWidth="1"/>
    <col min="8" max="8" width="17.1796875" customWidth="1"/>
    <col min="9" max="13" width="9.81640625" customWidth="1"/>
    <col min="16" max="16" width="7.81640625" customWidth="1"/>
    <col min="17" max="17" width="5.81640625" customWidth="1"/>
    <col min="18" max="18" width="3.81640625" customWidth="1"/>
  </cols>
  <sheetData>
    <row r="1" spans="2:19">
      <c r="C1" s="1"/>
      <c r="D1" s="2"/>
      <c r="E1" s="2"/>
      <c r="F1" s="2"/>
      <c r="G1" s="2"/>
      <c r="H1" s="2"/>
      <c r="I1" s="2"/>
      <c r="J1" s="2"/>
      <c r="K1" s="2"/>
      <c r="L1" s="2"/>
      <c r="M1" s="2"/>
      <c r="N1" s="3"/>
    </row>
    <row r="2" spans="2:19" ht="18">
      <c r="B2" s="830" t="s">
        <v>274</v>
      </c>
      <c r="C2" s="830"/>
      <c r="D2" s="838" t="str">
        <f>UPPER(REPORTS!$AB$2)</f>
        <v>ALTERED FLOW</v>
      </c>
      <c r="E2" s="838"/>
      <c r="F2" s="838"/>
      <c r="G2" s="838"/>
      <c r="H2" s="838"/>
      <c r="I2" s="838"/>
      <c r="J2" s="838"/>
      <c r="K2" s="838"/>
      <c r="L2" s="838"/>
      <c r="M2" s="838"/>
      <c r="N2" s="838"/>
      <c r="O2" s="838"/>
      <c r="P2" s="838"/>
      <c r="Q2" s="838"/>
      <c r="R2" s="838"/>
      <c r="S2" s="838"/>
    </row>
    <row r="3" spans="2:19" ht="18">
      <c r="B3" s="830" t="s">
        <v>402</v>
      </c>
      <c r="C3" s="830"/>
      <c r="D3" s="839" t="s">
        <v>403</v>
      </c>
      <c r="E3" s="839"/>
      <c r="F3" s="839"/>
      <c r="G3" s="839"/>
      <c r="H3" s="839"/>
      <c r="I3" s="839"/>
      <c r="J3" s="839"/>
      <c r="K3" s="839"/>
      <c r="L3" s="839"/>
      <c r="M3" s="839"/>
      <c r="N3" s="839"/>
      <c r="O3" s="839"/>
      <c r="P3" s="839"/>
      <c r="Q3" s="839"/>
      <c r="R3" s="839"/>
      <c r="S3" s="839"/>
    </row>
    <row r="4" spans="2:19">
      <c r="C4" s="1"/>
      <c r="D4" s="2"/>
      <c r="E4" s="2"/>
      <c r="F4" s="2"/>
      <c r="G4" s="2"/>
      <c r="H4" s="2"/>
      <c r="I4" s="2"/>
      <c r="J4" s="2"/>
      <c r="K4" s="2"/>
      <c r="L4" s="2"/>
      <c r="M4" s="2"/>
      <c r="N4" s="3"/>
    </row>
    <row r="5" spans="2:19" ht="15.75" customHeight="1">
      <c r="B5" s="556" t="s">
        <v>1</v>
      </c>
      <c r="C5" s="556"/>
      <c r="D5" s="556"/>
      <c r="E5" s="498" t="str">
        <f>REPORTS!E7</f>
        <v>Natural Flow (Nat_F)</v>
      </c>
      <c r="F5" s="490"/>
      <c r="G5" s="490"/>
      <c r="H5" s="490"/>
      <c r="I5" s="490"/>
      <c r="J5" s="33"/>
      <c r="K5" s="33"/>
      <c r="L5" s="33"/>
      <c r="M5" s="33"/>
      <c r="N5" s="33"/>
      <c r="O5" s="33"/>
      <c r="P5" s="33"/>
      <c r="Q5" s="33"/>
      <c r="R5" s="33"/>
      <c r="S5" s="33"/>
    </row>
    <row r="6" spans="2:19" ht="15.75" customHeight="1">
      <c r="B6" s="556" t="s">
        <v>2</v>
      </c>
      <c r="C6" s="556"/>
      <c r="D6" s="556"/>
      <c r="E6" s="498" t="str">
        <f>REPORTS!E8</f>
        <v>Altered Flow (Alt_F)</v>
      </c>
      <c r="F6" s="490"/>
      <c r="G6" s="490"/>
      <c r="H6" s="490"/>
      <c r="I6" s="490"/>
      <c r="J6" s="33"/>
      <c r="K6" s="33"/>
      <c r="L6" s="33"/>
      <c r="M6" s="33"/>
      <c r="N6" s="33"/>
      <c r="O6" s="33"/>
      <c r="P6" s="33"/>
      <c r="Q6" s="33"/>
      <c r="R6" s="33"/>
      <c r="S6" s="33"/>
    </row>
    <row r="7" spans="2:19" ht="13">
      <c r="B7" s="556" t="s">
        <v>3</v>
      </c>
      <c r="C7" s="556"/>
      <c r="D7" s="556"/>
      <c r="E7" s="485" t="s">
        <v>4</v>
      </c>
      <c r="F7" s="491"/>
      <c r="G7" s="491"/>
      <c r="H7" s="491"/>
      <c r="I7" s="491"/>
      <c r="J7" s="33"/>
      <c r="K7" s="33"/>
      <c r="L7" s="33"/>
      <c r="M7" s="33"/>
      <c r="N7" s="33"/>
      <c r="O7" s="33"/>
      <c r="P7" s="33"/>
      <c r="Q7" s="33"/>
      <c r="R7" s="33"/>
      <c r="S7" s="33"/>
    </row>
    <row r="8" spans="2:19" ht="14">
      <c r="B8" s="478"/>
      <c r="C8" s="478"/>
      <c r="D8" s="478"/>
      <c r="E8" s="477"/>
      <c r="F8" s="485"/>
      <c r="G8" s="485"/>
      <c r="H8" s="485"/>
      <c r="I8" s="485"/>
      <c r="J8" s="33"/>
      <c r="K8" s="33"/>
      <c r="L8" s="33"/>
      <c r="M8" s="33"/>
      <c r="N8" s="33"/>
      <c r="O8" s="33"/>
      <c r="P8" s="33"/>
      <c r="Q8" s="33"/>
      <c r="R8" s="33"/>
      <c r="S8" s="33"/>
    </row>
    <row r="9" spans="2:19" ht="14">
      <c r="B9" s="478"/>
      <c r="C9" s="478"/>
      <c r="D9" s="478"/>
      <c r="E9" s="485"/>
      <c r="F9" s="485"/>
      <c r="G9" s="485"/>
      <c r="H9" s="485"/>
      <c r="I9" s="485"/>
      <c r="J9" s="33"/>
      <c r="K9" s="33"/>
      <c r="L9" s="33"/>
      <c r="M9" s="33"/>
      <c r="N9" s="33"/>
      <c r="O9" s="33"/>
      <c r="P9" s="33"/>
      <c r="Q9" s="33"/>
      <c r="R9" s="33"/>
      <c r="S9" s="33"/>
    </row>
    <row r="10" spans="2:19">
      <c r="C10" s="1"/>
      <c r="D10" s="2"/>
      <c r="E10" s="2"/>
      <c r="F10" s="2"/>
      <c r="G10" s="2"/>
      <c r="H10" s="2"/>
      <c r="I10" s="2"/>
      <c r="J10" s="2"/>
      <c r="K10" s="2"/>
      <c r="L10" s="2"/>
      <c r="M10" s="2"/>
      <c r="N10" s="3"/>
    </row>
    <row r="11" spans="2:19">
      <c r="C11" s="1"/>
      <c r="D11" s="2"/>
      <c r="E11" s="2"/>
      <c r="F11" s="2"/>
      <c r="G11" s="2"/>
      <c r="H11" s="2"/>
      <c r="I11" s="2"/>
      <c r="J11" s="2"/>
      <c r="K11" s="2"/>
      <c r="L11" s="2"/>
      <c r="M11" s="2"/>
      <c r="N11" s="3"/>
    </row>
    <row r="12" spans="2:19" ht="18">
      <c r="B12" s="809" t="s">
        <v>156</v>
      </c>
      <c r="C12" s="809"/>
      <c r="D12" s="809"/>
      <c r="E12" s="809"/>
      <c r="F12" s="809"/>
      <c r="G12" s="809"/>
      <c r="H12" s="809"/>
      <c r="I12" s="809"/>
      <c r="J12" s="809"/>
      <c r="K12" s="809"/>
      <c r="L12" s="809"/>
      <c r="M12" s="809"/>
      <c r="N12" s="809"/>
      <c r="O12" s="809"/>
      <c r="P12" s="809"/>
      <c r="Q12" s="809"/>
      <c r="R12" s="809"/>
      <c r="S12" s="809"/>
    </row>
    <row r="13" spans="2:19">
      <c r="B13" s="4"/>
      <c r="C13" s="5"/>
      <c r="D13" s="5"/>
      <c r="E13" s="5"/>
      <c r="F13" s="5"/>
      <c r="G13" s="2"/>
      <c r="H13" s="2"/>
      <c r="I13" s="2"/>
      <c r="J13" s="2"/>
      <c r="K13" s="2"/>
      <c r="L13" s="2"/>
      <c r="M13" s="2"/>
      <c r="N13" s="3"/>
    </row>
    <row r="14" spans="2:19">
      <c r="B14" s="6"/>
      <c r="C14" s="6"/>
      <c r="D14" s="6"/>
      <c r="E14" s="6"/>
      <c r="F14" s="6"/>
      <c r="G14" s="6"/>
      <c r="H14" s="6"/>
      <c r="I14" s="6"/>
      <c r="J14" s="6"/>
      <c r="K14" s="6"/>
      <c r="L14" s="6"/>
      <c r="M14" s="6"/>
      <c r="N14" s="6"/>
      <c r="O14" s="6"/>
      <c r="P14" s="6"/>
    </row>
    <row r="15" spans="2:19" ht="18" customHeight="1">
      <c r="B15" s="810" t="s">
        <v>291</v>
      </c>
      <c r="C15" s="810"/>
      <c r="D15" s="810" t="s">
        <v>404</v>
      </c>
      <c r="E15" s="810"/>
      <c r="F15" s="810"/>
      <c r="G15" s="810"/>
      <c r="H15" s="810"/>
      <c r="I15" s="209" t="s">
        <v>405</v>
      </c>
      <c r="J15" s="209" t="s">
        <v>406</v>
      </c>
      <c r="K15" s="209" t="s">
        <v>407</v>
      </c>
      <c r="L15" s="209" t="s">
        <v>408</v>
      </c>
      <c r="M15" s="209" t="s">
        <v>409</v>
      </c>
    </row>
    <row r="16" spans="2:19" ht="18" customHeight="1">
      <c r="B16" s="811"/>
      <c r="C16" s="811"/>
      <c r="D16" s="811" t="s">
        <v>410</v>
      </c>
      <c r="E16" s="811"/>
      <c r="F16" s="295" t="s">
        <v>411</v>
      </c>
      <c r="G16" s="811" t="s">
        <v>293</v>
      </c>
      <c r="H16" s="811"/>
      <c r="I16" s="219" t="s">
        <v>412</v>
      </c>
      <c r="J16" s="220" t="s">
        <v>413</v>
      </c>
      <c r="K16" s="221" t="s">
        <v>414</v>
      </c>
      <c r="L16" s="222" t="s">
        <v>415</v>
      </c>
      <c r="M16" s="223" t="s">
        <v>416</v>
      </c>
      <c r="N16" t="str">
        <f>UPPER(REPORTS!$AA$1)</f>
        <v>NAT_F</v>
      </c>
      <c r="O16" t="str">
        <f>UPPER(REPORTS!$AA$2)</f>
        <v>ALT_F</v>
      </c>
    </row>
    <row r="17" spans="2:14" ht="18" customHeight="1">
      <c r="B17" s="812" t="s">
        <v>295</v>
      </c>
      <c r="C17" s="837" t="s">
        <v>417</v>
      </c>
      <c r="D17" s="261">
        <v>0.55761575698852539</v>
      </c>
      <c r="E17" s="330" t="s">
        <v>418</v>
      </c>
      <c r="F17" s="251" t="s">
        <v>419</v>
      </c>
      <c r="G17" s="833" t="s">
        <v>420</v>
      </c>
      <c r="H17" s="833"/>
      <c r="I17" s="218"/>
      <c r="J17" s="218"/>
      <c r="K17" s="221"/>
      <c r="L17" s="218"/>
      <c r="M17" s="218"/>
      <c r="N17">
        <v>1</v>
      </c>
    </row>
    <row r="18" spans="2:14" ht="18" customHeight="1">
      <c r="B18" s="812"/>
      <c r="C18" s="816"/>
      <c r="D18" s="261">
        <v>0.47033208608627319</v>
      </c>
      <c r="E18" s="331" t="s">
        <v>418</v>
      </c>
      <c r="F18" s="250" t="s">
        <v>421</v>
      </c>
      <c r="G18" s="831" t="s">
        <v>422</v>
      </c>
      <c r="H18" s="831"/>
      <c r="I18" s="210"/>
      <c r="J18" s="210"/>
      <c r="K18" s="221"/>
      <c r="L18" s="210"/>
      <c r="M18" s="210"/>
      <c r="N18">
        <v>1</v>
      </c>
    </row>
    <row r="19" spans="2:14" ht="18" customHeight="1">
      <c r="B19" s="812"/>
      <c r="C19" s="835" t="s">
        <v>423</v>
      </c>
      <c r="D19" s="261">
        <v>0.74218344688415527</v>
      </c>
      <c r="E19" s="330" t="s">
        <v>418</v>
      </c>
      <c r="F19" s="257" t="s">
        <v>424</v>
      </c>
      <c r="G19" s="834" t="s">
        <v>425</v>
      </c>
      <c r="H19" s="834"/>
      <c r="I19" s="224"/>
      <c r="J19" s="220"/>
      <c r="K19" s="224"/>
      <c r="L19" s="224"/>
      <c r="M19" s="224"/>
      <c r="N19">
        <v>1</v>
      </c>
    </row>
    <row r="20" spans="2:14" ht="18" customHeight="1">
      <c r="B20" s="812"/>
      <c r="C20" s="836"/>
      <c r="D20" s="261">
        <v>0.55169570446014404</v>
      </c>
      <c r="E20" s="330" t="s">
        <v>426</v>
      </c>
      <c r="F20" s="250" t="s">
        <v>427</v>
      </c>
      <c r="G20" s="831" t="s">
        <v>428</v>
      </c>
      <c r="H20" s="831"/>
      <c r="I20" s="210"/>
      <c r="J20" s="210"/>
      <c r="K20" s="221"/>
      <c r="L20" s="210"/>
      <c r="M20" s="210"/>
      <c r="N20">
        <v>1</v>
      </c>
    </row>
    <row r="21" spans="2:14" ht="18" customHeight="1">
      <c r="B21" s="812"/>
      <c r="C21" s="837"/>
      <c r="D21" s="261">
        <v>0.78627479076385498</v>
      </c>
      <c r="E21" s="330" t="s">
        <v>418</v>
      </c>
      <c r="F21" s="250" t="s">
        <v>429</v>
      </c>
      <c r="G21" s="831" t="s">
        <v>192</v>
      </c>
      <c r="H21" s="831"/>
      <c r="I21" s="210"/>
      <c r="J21" s="220"/>
      <c r="K21" s="210"/>
      <c r="L21" s="210"/>
      <c r="M21" s="210"/>
      <c r="N21">
        <v>1</v>
      </c>
    </row>
    <row r="22" spans="2:14" ht="18" customHeight="1">
      <c r="B22" s="812"/>
      <c r="C22" s="816" t="s">
        <v>430</v>
      </c>
      <c r="D22" s="412">
        <v>0.83333331346511841</v>
      </c>
      <c r="E22" s="342" t="s">
        <v>418</v>
      </c>
      <c r="F22" s="250" t="s">
        <v>431</v>
      </c>
      <c r="G22" s="831" t="s">
        <v>432</v>
      </c>
      <c r="H22" s="831"/>
      <c r="I22" s="219"/>
      <c r="J22" s="210"/>
      <c r="K22" s="210"/>
      <c r="L22" s="210"/>
      <c r="M22" s="210"/>
      <c r="N22">
        <v>1</v>
      </c>
    </row>
    <row r="23" spans="2:14" ht="18" customHeight="1">
      <c r="B23" s="832"/>
      <c r="C23" s="817"/>
      <c r="D23" s="413">
        <v>0.83333331346511841</v>
      </c>
      <c r="E23" s="340" t="s">
        <v>418</v>
      </c>
      <c r="F23" s="253" t="s">
        <v>433</v>
      </c>
      <c r="G23" s="826" t="s">
        <v>434</v>
      </c>
      <c r="H23" s="826"/>
      <c r="I23" s="219"/>
      <c r="J23" s="217"/>
      <c r="K23" s="217"/>
      <c r="L23" s="217"/>
      <c r="M23" s="217"/>
      <c r="N23">
        <v>1</v>
      </c>
    </row>
    <row r="24" spans="2:14">
      <c r="B24" s="821" t="s">
        <v>435</v>
      </c>
      <c r="C24" s="821"/>
      <c r="D24" s="821"/>
      <c r="E24" s="821"/>
      <c r="F24" s="821"/>
      <c r="G24" s="821"/>
      <c r="H24" s="821"/>
      <c r="I24" s="821"/>
      <c r="J24" s="821"/>
      <c r="K24" s="821"/>
      <c r="L24" s="821"/>
      <c r="M24" s="821"/>
    </row>
    <row r="25" spans="2:14">
      <c r="B25" s="10"/>
      <c r="C25" s="10"/>
      <c r="F25" s="10"/>
      <c r="G25" s="10"/>
      <c r="H25" s="10"/>
      <c r="I25" s="10"/>
      <c r="J25" s="10"/>
      <c r="K25" s="10"/>
      <c r="L25" s="10"/>
      <c r="M25" s="10"/>
    </row>
    <row r="26" spans="2:14" ht="13.5" customHeight="1">
      <c r="B26" s="818" t="s">
        <v>291</v>
      </c>
      <c r="C26" s="818"/>
      <c r="D26" s="818" t="s">
        <v>436</v>
      </c>
      <c r="E26" s="818"/>
      <c r="F26" s="827" t="s">
        <v>437</v>
      </c>
      <c r="G26" s="827"/>
      <c r="H26" s="827" t="s">
        <v>438</v>
      </c>
      <c r="I26" s="827"/>
      <c r="J26" s="10"/>
      <c r="K26" s="10"/>
      <c r="L26" s="10"/>
      <c r="M26" s="10"/>
    </row>
    <row r="27" spans="2:14">
      <c r="B27" s="819"/>
      <c r="C27" s="819"/>
      <c r="D27" s="819"/>
      <c r="E27" s="819"/>
      <c r="F27" s="828"/>
      <c r="G27" s="828"/>
      <c r="H27" s="828"/>
      <c r="I27" s="828"/>
      <c r="J27" s="10"/>
      <c r="K27" s="10"/>
      <c r="L27" s="10"/>
      <c r="M27" s="10"/>
    </row>
    <row r="28" spans="2:14">
      <c r="B28" s="820"/>
      <c r="C28" s="820"/>
      <c r="D28" s="819"/>
      <c r="E28" s="820"/>
      <c r="F28" s="829"/>
      <c r="G28" s="829"/>
      <c r="H28" s="829"/>
      <c r="I28" s="829"/>
      <c r="J28" s="10"/>
      <c r="K28" s="10"/>
      <c r="L28" s="10"/>
      <c r="M28" s="10"/>
    </row>
    <row r="29" spans="2:14">
      <c r="B29" s="812" t="s">
        <v>439</v>
      </c>
      <c r="C29" s="813"/>
      <c r="D29" s="345" t="s">
        <v>193</v>
      </c>
      <c r="E29" s="345"/>
      <c r="F29" s="254">
        <v>0.7583305835723877</v>
      </c>
      <c r="G29" s="254"/>
      <c r="H29" s="254">
        <v>0.78272330760955811</v>
      </c>
      <c r="I29" s="254" t="s">
        <v>426</v>
      </c>
      <c r="J29" s="423">
        <v>1</v>
      </c>
      <c r="K29" s="10"/>
      <c r="L29" s="10"/>
      <c r="M29" s="10"/>
    </row>
    <row r="30" spans="2:14">
      <c r="B30" s="813"/>
      <c r="C30" s="813"/>
      <c r="D30" s="421" t="s">
        <v>194</v>
      </c>
      <c r="E30" s="341"/>
      <c r="F30" s="255">
        <v>0.98561954498291016</v>
      </c>
      <c r="G30" s="255"/>
      <c r="H30" s="255">
        <v>0.50089550018310547</v>
      </c>
      <c r="I30" s="255" t="s">
        <v>426</v>
      </c>
      <c r="J30" s="423">
        <v>1</v>
      </c>
      <c r="K30" s="10"/>
      <c r="L30" s="10"/>
      <c r="M30" s="10"/>
    </row>
    <row r="31" spans="2:14">
      <c r="B31" s="813"/>
      <c r="C31" s="813"/>
      <c r="D31" s="421" t="s">
        <v>195</v>
      </c>
      <c r="E31" s="341"/>
      <c r="F31" s="255">
        <v>0.79169726371765137</v>
      </c>
      <c r="G31" s="255"/>
      <c r="H31" s="255">
        <v>0.93323439359664917</v>
      </c>
      <c r="I31" s="255" t="s">
        <v>426</v>
      </c>
      <c r="J31" s="423">
        <v>1</v>
      </c>
      <c r="K31" s="10"/>
      <c r="L31" s="10"/>
      <c r="M31" s="10"/>
    </row>
    <row r="32" spans="2:14">
      <c r="B32" s="813"/>
      <c r="C32" s="813"/>
      <c r="D32" s="421" t="s">
        <v>196</v>
      </c>
      <c r="E32" s="341"/>
      <c r="F32" s="255">
        <v>0.48390671610832214</v>
      </c>
      <c r="G32" s="255"/>
      <c r="H32" s="255">
        <v>0.96674984693527222</v>
      </c>
      <c r="I32" s="255" t="s">
        <v>426</v>
      </c>
      <c r="J32" s="423">
        <v>1</v>
      </c>
      <c r="K32" s="10"/>
      <c r="L32" s="10"/>
      <c r="M32" s="10"/>
    </row>
    <row r="33" spans="2:13">
      <c r="B33" s="813"/>
      <c r="C33" s="813"/>
      <c r="D33" s="421" t="s">
        <v>197</v>
      </c>
      <c r="E33" s="341"/>
      <c r="F33" s="255">
        <v>0.23092541098594666</v>
      </c>
      <c r="G33" s="255"/>
      <c r="H33" s="255">
        <v>0.5668109655380249</v>
      </c>
      <c r="I33" s="255"/>
      <c r="J33" s="423">
        <v>1</v>
      </c>
      <c r="K33" s="10"/>
      <c r="L33" s="10"/>
      <c r="M33" s="10"/>
    </row>
    <row r="34" spans="2:13">
      <c r="B34" s="813"/>
      <c r="C34" s="813"/>
      <c r="D34" s="421" t="s">
        <v>198</v>
      </c>
      <c r="E34" s="341"/>
      <c r="F34" s="255">
        <v>0.13467922806739807</v>
      </c>
      <c r="G34" s="255"/>
      <c r="H34" s="255">
        <v>0.2622215747833252</v>
      </c>
      <c r="I34" s="255"/>
      <c r="J34" s="423">
        <v>1</v>
      </c>
      <c r="K34" s="10"/>
      <c r="L34" s="10"/>
      <c r="M34" s="10"/>
    </row>
    <row r="35" spans="2:13">
      <c r="B35" s="813"/>
      <c r="C35" s="813"/>
      <c r="D35" s="421" t="s">
        <v>199</v>
      </c>
      <c r="E35" s="341"/>
      <c r="F35" s="255">
        <v>0.26545462012290955</v>
      </c>
      <c r="G35" s="255"/>
      <c r="H35" s="255">
        <v>0.39453798532485962</v>
      </c>
      <c r="I35" s="255"/>
      <c r="J35" s="423">
        <v>1</v>
      </c>
      <c r="K35" s="10"/>
      <c r="L35" s="10"/>
      <c r="M35" s="10"/>
    </row>
    <row r="36" spans="2:13">
      <c r="B36" s="813"/>
      <c r="C36" s="813"/>
      <c r="D36" s="421" t="s">
        <v>200</v>
      </c>
      <c r="E36" s="341"/>
      <c r="F36" s="255">
        <v>0.39351627230644226</v>
      </c>
      <c r="G36" s="255"/>
      <c r="H36" s="255">
        <v>0.61413180828094482</v>
      </c>
      <c r="I36" s="255"/>
      <c r="J36" s="423">
        <v>1</v>
      </c>
      <c r="K36" s="10"/>
      <c r="L36" s="10"/>
      <c r="M36" s="10"/>
    </row>
    <row r="37" spans="2:13">
      <c r="B37" s="813"/>
      <c r="C37" s="813"/>
      <c r="D37" s="421" t="s">
        <v>201</v>
      </c>
      <c r="E37" s="341"/>
      <c r="F37" s="255">
        <v>0.29920622706413269</v>
      </c>
      <c r="G37" s="255"/>
      <c r="H37" s="255">
        <v>0.26230978965759277</v>
      </c>
      <c r="I37" s="255"/>
      <c r="J37" s="423">
        <v>1</v>
      </c>
      <c r="K37" s="10"/>
      <c r="L37" s="10"/>
      <c r="M37" s="10"/>
    </row>
    <row r="38" spans="2:13">
      <c r="B38" s="813"/>
      <c r="C38" s="813"/>
      <c r="D38" s="421" t="s">
        <v>202</v>
      </c>
      <c r="E38" s="341"/>
      <c r="F38" s="255">
        <v>0.34487864375114441</v>
      </c>
      <c r="G38" s="255"/>
      <c r="H38" s="255">
        <v>0.55343002080917358</v>
      </c>
      <c r="I38" s="255"/>
      <c r="J38" s="423">
        <v>1</v>
      </c>
      <c r="K38" s="10"/>
      <c r="L38" s="10"/>
      <c r="M38" s="10"/>
    </row>
    <row r="39" spans="2:13">
      <c r="B39" s="813"/>
      <c r="C39" s="813"/>
      <c r="D39" s="421" t="s">
        <v>203</v>
      </c>
      <c r="E39" s="341"/>
      <c r="F39" s="255">
        <v>0.48768830299377441</v>
      </c>
      <c r="G39" s="255"/>
      <c r="H39" s="255">
        <v>0.30696839094161987</v>
      </c>
      <c r="I39" s="255"/>
      <c r="J39" s="423">
        <v>1</v>
      </c>
      <c r="K39" s="10"/>
      <c r="L39" s="10"/>
      <c r="M39" s="10"/>
    </row>
    <row r="40" spans="2:13">
      <c r="B40" s="814"/>
      <c r="C40" s="814"/>
      <c r="D40" s="422" t="s">
        <v>204</v>
      </c>
      <c r="E40" s="344"/>
      <c r="F40" s="256">
        <v>0.46808207035064697</v>
      </c>
      <c r="G40" s="256"/>
      <c r="H40" s="256">
        <v>0.47633460164070129</v>
      </c>
      <c r="I40" s="256"/>
      <c r="J40" s="423">
        <v>1</v>
      </c>
      <c r="K40" s="10"/>
      <c r="L40" s="10"/>
      <c r="M40" s="10"/>
    </row>
    <row r="41" spans="2:13">
      <c r="B41" s="821" t="s">
        <v>435</v>
      </c>
      <c r="C41" s="821"/>
      <c r="D41" s="821"/>
      <c r="E41" s="821"/>
      <c r="F41" s="821"/>
      <c r="G41" s="821"/>
      <c r="H41" s="821"/>
      <c r="I41" s="821"/>
      <c r="J41" s="821"/>
      <c r="K41" s="821"/>
      <c r="L41" s="821"/>
      <c r="M41" s="821"/>
    </row>
    <row r="42" spans="2:13">
      <c r="B42" s="10"/>
      <c r="C42" s="10"/>
      <c r="D42" s="10"/>
      <c r="E42" s="10"/>
      <c r="F42" s="10"/>
      <c r="G42" s="10"/>
      <c r="H42" s="10"/>
      <c r="I42" s="10"/>
      <c r="J42" s="10"/>
      <c r="K42" s="10"/>
      <c r="L42" s="10"/>
      <c r="M42" s="10"/>
    </row>
    <row r="43" spans="2:13">
      <c r="B43" s="7">
        <v>1</v>
      </c>
      <c r="C43" s="1"/>
      <c r="D43" s="2"/>
      <c r="E43" s="2"/>
      <c r="F43" s="2"/>
      <c r="G43" s="8"/>
      <c r="H43" s="9"/>
      <c r="I43" s="825"/>
      <c r="J43" s="825"/>
      <c r="K43" s="825"/>
      <c r="L43" s="825"/>
      <c r="M43" s="825"/>
    </row>
    <row r="44" spans="2:13">
      <c r="B44" s="822" t="s">
        <v>440</v>
      </c>
      <c r="C44" s="822"/>
      <c r="D44" s="822"/>
      <c r="E44" s="822"/>
      <c r="F44" s="822"/>
      <c r="G44" s="822"/>
      <c r="H44" s="822"/>
      <c r="I44" s="209" t="s">
        <v>405</v>
      </c>
      <c r="J44" s="209" t="s">
        <v>406</v>
      </c>
      <c r="K44" s="209" t="s">
        <v>407</v>
      </c>
      <c r="L44" s="209" t="s">
        <v>408</v>
      </c>
      <c r="M44" s="209" t="s">
        <v>409</v>
      </c>
    </row>
    <row r="45" spans="2:13">
      <c r="B45" s="823" t="s">
        <v>291</v>
      </c>
      <c r="C45" s="824"/>
      <c r="D45" s="824"/>
      <c r="E45" s="824"/>
      <c r="F45" s="824"/>
      <c r="G45" s="296" t="s">
        <v>410</v>
      </c>
      <c r="H45" s="296" t="s">
        <v>411</v>
      </c>
      <c r="I45" s="211" t="s">
        <v>441</v>
      </c>
      <c r="J45" s="212" t="s">
        <v>442</v>
      </c>
      <c r="K45" s="213" t="s">
        <v>443</v>
      </c>
      <c r="L45" s="214" t="s">
        <v>444</v>
      </c>
      <c r="M45" s="216" t="s">
        <v>445</v>
      </c>
    </row>
    <row r="46" spans="2:13" ht="15">
      <c r="B46" s="815" t="s">
        <v>446</v>
      </c>
      <c r="C46" s="815"/>
      <c r="D46" s="815"/>
      <c r="E46" s="343"/>
      <c r="F46" s="343"/>
      <c r="G46" s="259">
        <v>0.46199867129325867</v>
      </c>
      <c r="H46" s="258" t="s">
        <v>447</v>
      </c>
      <c r="I46" s="226"/>
      <c r="J46" s="220"/>
      <c r="K46" s="226"/>
      <c r="L46" s="226"/>
      <c r="M46" s="226"/>
    </row>
  </sheetData>
  <mergeCells count="34">
    <mergeCell ref="B2:C2"/>
    <mergeCell ref="B3:C3"/>
    <mergeCell ref="G16:H16"/>
    <mergeCell ref="G18:H18"/>
    <mergeCell ref="B17:B23"/>
    <mergeCell ref="G17:H17"/>
    <mergeCell ref="G19:H19"/>
    <mergeCell ref="G22:H22"/>
    <mergeCell ref="C19:C21"/>
    <mergeCell ref="D2:S2"/>
    <mergeCell ref="D3:S3"/>
    <mergeCell ref="G20:H20"/>
    <mergeCell ref="G21:H21"/>
    <mergeCell ref="B5:D5"/>
    <mergeCell ref="C17:C18"/>
    <mergeCell ref="B6:D6"/>
    <mergeCell ref="B29:C40"/>
    <mergeCell ref="B46:D46"/>
    <mergeCell ref="C22:C23"/>
    <mergeCell ref="B26:C28"/>
    <mergeCell ref="D26:E28"/>
    <mergeCell ref="B24:M24"/>
    <mergeCell ref="B41:M41"/>
    <mergeCell ref="B44:H44"/>
    <mergeCell ref="B45:F45"/>
    <mergeCell ref="I43:M43"/>
    <mergeCell ref="G23:H23"/>
    <mergeCell ref="F26:G28"/>
    <mergeCell ref="H26:I28"/>
    <mergeCell ref="B7:D7"/>
    <mergeCell ref="B12:S12"/>
    <mergeCell ref="B15:C16"/>
    <mergeCell ref="D15:H15"/>
    <mergeCell ref="D16:E16"/>
  </mergeCells>
  <phoneticPr fontId="24" type="noConversion"/>
  <pageMargins left="0.24" right="0.17" top="0.64" bottom="0.68" header="0.17" footer="0"/>
  <pageSetup paperSize="9" scale="75" orientation="landscape"/>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33"/>
  <dimension ref="B1:AF52"/>
  <sheetViews>
    <sheetView showGridLines="0" zoomScale="75" zoomScaleNormal="75" workbookViewId="0">
      <selection activeCell="B3" sqref="B3:C3"/>
    </sheetView>
  </sheetViews>
  <sheetFormatPr baseColWidth="10" defaultRowHeight="12.5"/>
  <cols>
    <col min="1" max="1" width="2.81640625" customWidth="1"/>
    <col min="2" max="2" width="20.1796875" customWidth="1"/>
    <col min="3" max="3" width="13.54296875" customWidth="1"/>
    <col min="4" max="4" width="7.1796875" customWidth="1"/>
    <col min="5" max="5" width="2.453125" customWidth="1"/>
    <col min="8" max="8" width="23.1796875" customWidth="1"/>
    <col min="9" max="13" width="9.81640625" customWidth="1"/>
    <col min="16" max="16" width="9.1796875" customWidth="1"/>
    <col min="17" max="17" width="3.1796875" customWidth="1"/>
    <col min="18" max="18" width="11.81640625" customWidth="1"/>
    <col min="19" max="19" width="2.81640625" customWidth="1"/>
    <col min="20" max="20" width="11.453125" customWidth="1"/>
    <col min="21" max="21" width="2.81640625" customWidth="1"/>
  </cols>
  <sheetData>
    <row r="1" spans="2:22">
      <c r="C1" s="1"/>
      <c r="D1" s="2"/>
      <c r="E1" s="2"/>
      <c r="F1" s="2"/>
      <c r="G1" s="2"/>
      <c r="H1" s="2"/>
      <c r="I1" s="2"/>
      <c r="J1" s="2"/>
      <c r="K1" s="2"/>
      <c r="L1" s="2"/>
      <c r="M1" s="2"/>
      <c r="N1" s="3"/>
    </row>
    <row r="2" spans="2:22" ht="18">
      <c r="B2" s="830" t="s">
        <v>274</v>
      </c>
      <c r="C2" s="830"/>
      <c r="D2" s="838" t="str">
        <f>UPPER(REPORTS!$AB$2)</f>
        <v>ALTERED FLOW</v>
      </c>
      <c r="E2" s="838"/>
      <c r="F2" s="838"/>
      <c r="G2" s="838"/>
      <c r="H2" s="838"/>
      <c r="I2" s="838"/>
      <c r="J2" s="838"/>
      <c r="K2" s="838"/>
      <c r="L2" s="838"/>
      <c r="M2" s="838"/>
      <c r="N2" s="838"/>
      <c r="O2" s="838"/>
      <c r="P2" s="838"/>
      <c r="Q2" s="838"/>
      <c r="R2" s="838"/>
      <c r="S2" s="838"/>
      <c r="T2" s="838"/>
      <c r="U2" s="838"/>
      <c r="V2" s="838"/>
    </row>
    <row r="3" spans="2:22" ht="18">
      <c r="B3" s="830" t="s">
        <v>448</v>
      </c>
      <c r="C3" s="830"/>
      <c r="D3" s="839" t="s">
        <v>449</v>
      </c>
      <c r="E3" s="839"/>
      <c r="F3" s="839"/>
      <c r="G3" s="839"/>
      <c r="H3" s="839"/>
      <c r="I3" s="839"/>
      <c r="J3" s="839"/>
      <c r="K3" s="839"/>
      <c r="L3" s="839"/>
      <c r="M3" s="839"/>
      <c r="N3" s="839"/>
      <c r="O3" s="839"/>
      <c r="P3" s="839"/>
      <c r="Q3" s="839"/>
      <c r="R3" s="839"/>
      <c r="S3" s="839"/>
      <c r="T3" s="839"/>
      <c r="U3" s="839"/>
      <c r="V3" s="839"/>
    </row>
    <row r="4" spans="2:22">
      <c r="C4" s="1"/>
      <c r="D4" s="2"/>
      <c r="E4" s="2"/>
      <c r="F4" s="2"/>
      <c r="G4" s="2"/>
      <c r="H4" s="2"/>
      <c r="I4" s="2"/>
      <c r="J4" s="2"/>
      <c r="K4" s="2"/>
      <c r="L4" s="2"/>
      <c r="M4" s="2"/>
      <c r="N4" s="3"/>
    </row>
    <row r="5" spans="2:22" ht="15.75" customHeight="1">
      <c r="B5" s="556" t="s">
        <v>1</v>
      </c>
      <c r="C5" s="556"/>
      <c r="D5" s="556"/>
      <c r="E5" s="495" t="str">
        <f>REPORTS!E7</f>
        <v>Natural Flow (Nat_F)</v>
      </c>
      <c r="F5" s="293"/>
      <c r="G5" s="293"/>
      <c r="H5" s="293"/>
      <c r="I5" s="293"/>
      <c r="J5" s="33"/>
      <c r="K5" s="33"/>
      <c r="L5" s="33"/>
      <c r="M5" s="33"/>
      <c r="N5" s="33"/>
      <c r="O5" s="33"/>
      <c r="P5" s="33"/>
      <c r="Q5" s="33"/>
      <c r="R5" s="33"/>
      <c r="S5" s="33"/>
      <c r="T5" s="33"/>
      <c r="U5" s="33"/>
      <c r="V5" s="33"/>
    </row>
    <row r="6" spans="2:22" ht="15.75" customHeight="1">
      <c r="B6" s="556" t="s">
        <v>2</v>
      </c>
      <c r="C6" s="556"/>
      <c r="D6" s="556"/>
      <c r="E6" s="495" t="str">
        <f>REPORTS!E8</f>
        <v>Altered Flow (Alt_F)</v>
      </c>
      <c r="F6" s="293"/>
      <c r="G6" s="293"/>
      <c r="H6" s="293"/>
      <c r="I6" s="293"/>
      <c r="J6" s="33"/>
      <c r="K6" s="33"/>
      <c r="L6" s="33"/>
      <c r="M6" s="33"/>
      <c r="N6" s="33"/>
      <c r="O6" s="33"/>
      <c r="P6" s="33"/>
      <c r="Q6" s="33"/>
      <c r="R6" s="33"/>
      <c r="S6" s="33"/>
      <c r="T6" s="33"/>
      <c r="U6" s="33"/>
      <c r="V6" s="33"/>
    </row>
    <row r="7" spans="2:22" ht="13">
      <c r="B7" s="556" t="s">
        <v>3</v>
      </c>
      <c r="C7" s="556"/>
      <c r="D7" s="556"/>
      <c r="E7" s="479" t="s">
        <v>4</v>
      </c>
      <c r="F7" s="480"/>
      <c r="G7" s="480"/>
      <c r="H7" s="480"/>
      <c r="I7" s="480"/>
      <c r="J7" s="33"/>
      <c r="K7" s="33"/>
      <c r="L7" s="33"/>
      <c r="M7" s="33"/>
      <c r="N7" s="33"/>
      <c r="O7" s="33"/>
      <c r="P7" s="33"/>
      <c r="Q7" s="33"/>
      <c r="R7" s="33"/>
      <c r="S7" s="33"/>
      <c r="T7" s="33"/>
      <c r="U7" s="33"/>
      <c r="V7" s="33"/>
    </row>
    <row r="8" spans="2:22" ht="14">
      <c r="B8" s="478"/>
      <c r="C8" s="478"/>
      <c r="D8" s="478"/>
      <c r="E8" s="477"/>
      <c r="F8" s="479"/>
      <c r="G8" s="479"/>
      <c r="H8" s="479"/>
      <c r="I8" s="479"/>
      <c r="J8" s="33"/>
      <c r="K8" s="33"/>
      <c r="L8" s="33"/>
      <c r="M8" s="33"/>
      <c r="N8" s="33"/>
      <c r="O8" s="33"/>
      <c r="P8" s="33"/>
      <c r="Q8" s="33"/>
      <c r="R8" s="33"/>
      <c r="S8" s="33"/>
      <c r="T8" s="33"/>
      <c r="U8" s="33"/>
      <c r="V8" s="33"/>
    </row>
    <row r="9" spans="2:22" ht="14">
      <c r="B9" s="478"/>
      <c r="C9" s="478"/>
      <c r="D9" s="478"/>
      <c r="E9" s="479"/>
      <c r="F9" s="479"/>
      <c r="G9" s="479"/>
      <c r="H9" s="479"/>
      <c r="I9" s="479"/>
      <c r="J9" s="33"/>
      <c r="K9" s="33"/>
      <c r="L9" s="33"/>
      <c r="M9" s="33"/>
      <c r="N9" s="33"/>
      <c r="O9" s="33"/>
      <c r="P9" s="33"/>
      <c r="Q9" s="33"/>
      <c r="R9" s="33"/>
      <c r="S9" s="33"/>
      <c r="T9" s="33"/>
      <c r="U9" s="33"/>
      <c r="V9" s="33"/>
    </row>
    <row r="10" spans="2:22">
      <c r="C10" s="1"/>
      <c r="D10" s="2"/>
      <c r="E10" s="2"/>
      <c r="F10" s="2"/>
      <c r="G10" s="2"/>
      <c r="H10" s="2"/>
      <c r="I10" s="2"/>
      <c r="J10" s="2"/>
      <c r="K10" s="2"/>
      <c r="L10" s="2"/>
      <c r="M10" s="2"/>
      <c r="N10" s="3"/>
    </row>
    <row r="11" spans="2:22">
      <c r="C11" s="1"/>
      <c r="D11" s="2"/>
      <c r="E11" s="2"/>
      <c r="F11" s="2"/>
      <c r="G11" s="2"/>
      <c r="H11" s="2"/>
      <c r="I11" s="2"/>
      <c r="J11" s="2"/>
      <c r="K11" s="2"/>
      <c r="L11" s="2"/>
      <c r="M11" s="2"/>
      <c r="N11" s="3"/>
    </row>
    <row r="12" spans="2:22" ht="18">
      <c r="B12" s="863" t="s">
        <v>156</v>
      </c>
      <c r="C12" s="863"/>
      <c r="D12" s="863"/>
      <c r="E12" s="863"/>
      <c r="F12" s="863"/>
      <c r="G12" s="863"/>
      <c r="H12" s="863"/>
      <c r="I12" s="863"/>
      <c r="J12" s="863"/>
      <c r="K12" s="863"/>
      <c r="L12" s="863"/>
      <c r="M12" s="863"/>
      <c r="N12" s="863"/>
      <c r="O12" s="863"/>
      <c r="P12" s="863"/>
      <c r="Q12" s="863"/>
      <c r="R12" s="863"/>
      <c r="S12" s="863"/>
      <c r="T12" s="863"/>
      <c r="U12" s="863"/>
      <c r="V12" s="863"/>
    </row>
    <row r="15" spans="2:22">
      <c r="B15" s="810" t="s">
        <v>291</v>
      </c>
      <c r="C15" s="810"/>
      <c r="D15" s="810" t="s">
        <v>404</v>
      </c>
      <c r="E15" s="810"/>
      <c r="F15" s="810"/>
      <c r="G15" s="810"/>
      <c r="H15" s="810"/>
      <c r="I15" s="209" t="s">
        <v>405</v>
      </c>
      <c r="J15" s="209" t="s">
        <v>406</v>
      </c>
      <c r="K15" s="209" t="s">
        <v>407</v>
      </c>
      <c r="L15" s="209" t="s">
        <v>408</v>
      </c>
      <c r="M15" s="209" t="s">
        <v>409</v>
      </c>
    </row>
    <row r="16" spans="2:22">
      <c r="B16" s="811"/>
      <c r="C16" s="811"/>
      <c r="D16" s="811" t="s">
        <v>410</v>
      </c>
      <c r="E16" s="811"/>
      <c r="F16" s="295" t="s">
        <v>411</v>
      </c>
      <c r="G16" s="811" t="s">
        <v>293</v>
      </c>
      <c r="H16" s="811"/>
      <c r="I16" s="228" t="s">
        <v>412</v>
      </c>
      <c r="J16" s="229" t="s">
        <v>413</v>
      </c>
      <c r="K16" s="230" t="s">
        <v>414</v>
      </c>
      <c r="L16" s="231" t="s">
        <v>415</v>
      </c>
      <c r="M16" s="232" t="s">
        <v>416</v>
      </c>
    </row>
    <row r="17" spans="2:32">
      <c r="B17" s="847" t="s">
        <v>450</v>
      </c>
      <c r="C17" s="862" t="s">
        <v>417</v>
      </c>
      <c r="D17" s="260">
        <v>0.801380455493927</v>
      </c>
      <c r="E17" s="332" t="s">
        <v>418</v>
      </c>
      <c r="F17" s="252" t="s">
        <v>451</v>
      </c>
      <c r="G17" s="833" t="s">
        <v>452</v>
      </c>
      <c r="H17" s="833"/>
      <c r="I17" s="228"/>
      <c r="J17" s="233"/>
      <c r="K17" s="233"/>
      <c r="L17" s="233"/>
      <c r="M17" s="233"/>
    </row>
    <row r="18" spans="2:32">
      <c r="B18" s="848"/>
      <c r="C18" s="816"/>
      <c r="D18" s="261">
        <v>0.91661876440048218</v>
      </c>
      <c r="E18" s="333" t="s">
        <v>418</v>
      </c>
      <c r="F18" s="250" t="s">
        <v>453</v>
      </c>
      <c r="G18" s="831" t="s">
        <v>454</v>
      </c>
      <c r="H18" s="831"/>
      <c r="I18" s="228"/>
      <c r="J18" s="227"/>
      <c r="K18" s="227"/>
      <c r="L18" s="227"/>
      <c r="M18" s="227"/>
    </row>
    <row r="19" spans="2:32">
      <c r="B19" s="848"/>
      <c r="C19" s="816"/>
      <c r="D19" s="261">
        <v>0.2575838565826416</v>
      </c>
      <c r="E19" s="333" t="s">
        <v>426</v>
      </c>
      <c r="F19" s="250" t="s">
        <v>455</v>
      </c>
      <c r="G19" s="831" t="s">
        <v>456</v>
      </c>
      <c r="H19" s="831"/>
      <c r="I19" s="227"/>
      <c r="J19" s="227"/>
      <c r="K19" s="227"/>
      <c r="L19" s="231"/>
      <c r="M19" s="227"/>
    </row>
    <row r="20" spans="2:32">
      <c r="B20" s="848"/>
      <c r="C20" s="816"/>
      <c r="D20" s="261">
        <v>0.76355481147766113</v>
      </c>
      <c r="E20" s="333" t="s">
        <v>418</v>
      </c>
      <c r="F20" s="250" t="s">
        <v>457</v>
      </c>
      <c r="G20" s="831" t="s">
        <v>458</v>
      </c>
      <c r="H20" s="831"/>
      <c r="I20" s="227"/>
      <c r="J20" s="229"/>
      <c r="K20" s="227"/>
      <c r="L20" s="227"/>
      <c r="M20" s="227"/>
    </row>
    <row r="21" spans="2:32">
      <c r="B21" s="848"/>
      <c r="C21" s="816" t="s">
        <v>423</v>
      </c>
      <c r="D21" s="261">
        <v>0.68557900190353394</v>
      </c>
      <c r="E21" s="333" t="s">
        <v>426</v>
      </c>
      <c r="F21" s="250" t="s">
        <v>459</v>
      </c>
      <c r="G21" s="831" t="s">
        <v>460</v>
      </c>
      <c r="H21" s="831"/>
      <c r="I21" s="227"/>
      <c r="J21" s="229"/>
      <c r="K21" s="227"/>
      <c r="L21" s="227"/>
      <c r="M21" s="227"/>
    </row>
    <row r="22" spans="2:32">
      <c r="B22" s="848"/>
      <c r="C22" s="816"/>
      <c r="D22" s="261">
        <v>0.67962998151779175</v>
      </c>
      <c r="E22" s="333" t="s">
        <v>426</v>
      </c>
      <c r="F22" s="250" t="s">
        <v>461</v>
      </c>
      <c r="G22" s="831" t="s">
        <v>462</v>
      </c>
      <c r="H22" s="831"/>
      <c r="I22" s="227"/>
      <c r="J22" s="229"/>
      <c r="K22" s="227"/>
      <c r="L22" s="227"/>
      <c r="M22" s="227"/>
    </row>
    <row r="23" spans="2:32">
      <c r="B23" s="848"/>
      <c r="C23" s="215" t="s">
        <v>463</v>
      </c>
      <c r="D23" s="261">
        <v>0.28372091054916382</v>
      </c>
      <c r="E23" s="333" t="s">
        <v>418</v>
      </c>
      <c r="F23" s="250" t="s">
        <v>464</v>
      </c>
      <c r="G23" s="831" t="s">
        <v>465</v>
      </c>
      <c r="H23" s="831"/>
      <c r="I23" s="227"/>
      <c r="J23" s="227"/>
      <c r="K23" s="227"/>
      <c r="L23" s="231"/>
      <c r="M23" s="227"/>
    </row>
    <row r="24" spans="2:32">
      <c r="B24" s="849"/>
      <c r="C24" s="235" t="s">
        <v>430</v>
      </c>
      <c r="D24" s="262">
        <v>0.71984130144119263</v>
      </c>
      <c r="E24" s="334" t="s">
        <v>418</v>
      </c>
      <c r="F24" s="253" t="s">
        <v>466</v>
      </c>
      <c r="G24" s="846" t="s">
        <v>467</v>
      </c>
      <c r="H24" s="846"/>
      <c r="I24" s="234"/>
      <c r="J24" s="229"/>
      <c r="K24" s="234"/>
      <c r="L24" s="234"/>
      <c r="M24" s="234"/>
      <c r="AF24" s="294"/>
    </row>
    <row r="25" spans="2:32">
      <c r="B25" s="847" t="s">
        <v>468</v>
      </c>
      <c r="C25" s="862" t="s">
        <v>417</v>
      </c>
      <c r="D25" s="260">
        <v>0.38417032361030579</v>
      </c>
      <c r="E25" s="332" t="s">
        <v>418</v>
      </c>
      <c r="F25" s="252" t="s">
        <v>469</v>
      </c>
      <c r="G25" s="852" t="s">
        <v>470</v>
      </c>
      <c r="H25" s="853"/>
      <c r="I25" s="233"/>
      <c r="J25" s="233"/>
      <c r="K25" s="233"/>
      <c r="L25" s="231"/>
      <c r="M25" s="233"/>
    </row>
    <row r="26" spans="2:32">
      <c r="B26" s="850"/>
      <c r="C26" s="816"/>
      <c r="D26" s="261">
        <v>0.38288885354995728</v>
      </c>
      <c r="E26" s="333" t="s">
        <v>418</v>
      </c>
      <c r="F26" s="250" t="s">
        <v>471</v>
      </c>
      <c r="G26" s="844" t="s">
        <v>472</v>
      </c>
      <c r="H26" s="845"/>
      <c r="I26" s="227"/>
      <c r="J26" s="227"/>
      <c r="K26" s="227"/>
      <c r="L26" s="231"/>
      <c r="M26" s="227"/>
    </row>
    <row r="27" spans="2:32">
      <c r="B27" s="850"/>
      <c r="C27" s="816" t="s">
        <v>423</v>
      </c>
      <c r="D27" s="261">
        <v>0.63478875160217285</v>
      </c>
      <c r="E27" s="333" t="s">
        <v>426</v>
      </c>
      <c r="F27" s="250" t="s">
        <v>473</v>
      </c>
      <c r="G27" s="844" t="s">
        <v>474</v>
      </c>
      <c r="H27" s="845"/>
      <c r="I27" s="227"/>
      <c r="J27" s="229"/>
      <c r="K27" s="227"/>
      <c r="L27" s="227"/>
      <c r="M27" s="227"/>
    </row>
    <row r="28" spans="2:32">
      <c r="B28" s="850"/>
      <c r="C28" s="816"/>
      <c r="D28" s="261">
        <v>0.65613138675689697</v>
      </c>
      <c r="E28" s="333" t="s">
        <v>426</v>
      </c>
      <c r="F28" s="250" t="s">
        <v>475</v>
      </c>
      <c r="G28" s="844" t="s">
        <v>476</v>
      </c>
      <c r="H28" s="845"/>
      <c r="I28" s="227"/>
      <c r="J28" s="229"/>
      <c r="K28" s="227"/>
      <c r="L28" s="227"/>
      <c r="M28" s="227"/>
    </row>
    <row r="29" spans="2:32">
      <c r="B29" s="850"/>
      <c r="C29" s="816" t="s">
        <v>463</v>
      </c>
      <c r="D29" s="261">
        <v>0.11493073403835297</v>
      </c>
      <c r="E29" s="333" t="s">
        <v>426</v>
      </c>
      <c r="F29" s="250" t="s">
        <v>477</v>
      </c>
      <c r="G29" s="844" t="s">
        <v>478</v>
      </c>
      <c r="H29" s="845"/>
      <c r="I29" s="227"/>
      <c r="J29" s="227"/>
      <c r="K29" s="227"/>
      <c r="L29" s="227"/>
      <c r="M29" s="232"/>
    </row>
    <row r="30" spans="2:32">
      <c r="B30" s="850"/>
      <c r="C30" s="816"/>
      <c r="D30" s="261">
        <v>1</v>
      </c>
      <c r="E30" s="333" t="s">
        <v>418</v>
      </c>
      <c r="F30" s="250" t="s">
        <v>479</v>
      </c>
      <c r="G30" s="844" t="s">
        <v>480</v>
      </c>
      <c r="H30" s="845"/>
      <c r="I30" s="228"/>
      <c r="J30" s="227"/>
      <c r="K30" s="227"/>
      <c r="L30" s="227"/>
      <c r="M30" s="227"/>
    </row>
    <row r="31" spans="2:32">
      <c r="B31" s="851"/>
      <c r="C31" s="235" t="s">
        <v>430</v>
      </c>
      <c r="D31" s="262">
        <v>0.58492058515548706</v>
      </c>
      <c r="E31" s="334" t="s">
        <v>418</v>
      </c>
      <c r="F31" s="253" t="s">
        <v>481</v>
      </c>
      <c r="G31" s="854" t="s">
        <v>482</v>
      </c>
      <c r="H31" s="855"/>
      <c r="I31" s="234"/>
      <c r="J31" s="234"/>
      <c r="K31" s="230"/>
      <c r="L31" s="234"/>
      <c r="M31" s="234"/>
    </row>
    <row r="32" spans="2:32">
      <c r="B32" s="821" t="s">
        <v>435</v>
      </c>
      <c r="C32" s="821"/>
      <c r="D32" s="821"/>
      <c r="E32" s="821"/>
      <c r="F32" s="821"/>
      <c r="G32" s="821"/>
      <c r="H32" s="821"/>
      <c r="I32" s="821"/>
      <c r="J32" s="821"/>
      <c r="K32" s="821"/>
      <c r="L32" s="821"/>
      <c r="M32" s="821"/>
    </row>
    <row r="34" spans="2:24">
      <c r="B34" s="840" t="s">
        <v>291</v>
      </c>
      <c r="C34" s="840"/>
      <c r="D34" s="840"/>
      <c r="E34" s="840"/>
      <c r="F34" s="840"/>
      <c r="G34" s="840"/>
      <c r="H34" s="840"/>
      <c r="I34" s="840"/>
      <c r="J34" s="840"/>
      <c r="K34" s="840"/>
      <c r="L34" s="840"/>
      <c r="M34" s="840"/>
      <c r="N34" s="840" t="s">
        <v>483</v>
      </c>
      <c r="O34" s="840"/>
      <c r="P34" s="840"/>
      <c r="Q34" s="840"/>
      <c r="R34" s="840"/>
      <c r="S34" s="840"/>
      <c r="T34" s="840"/>
      <c r="U34" s="840"/>
    </row>
    <row r="35" spans="2:24">
      <c r="B35" s="858" t="s">
        <v>484</v>
      </c>
      <c r="C35" s="858"/>
      <c r="D35" s="858"/>
      <c r="E35" s="858"/>
      <c r="F35" s="858"/>
      <c r="G35" s="858"/>
      <c r="H35" s="858"/>
      <c r="I35" s="858"/>
      <c r="J35" s="858"/>
      <c r="K35" s="858"/>
      <c r="L35" s="858"/>
      <c r="M35" s="858"/>
      <c r="N35" s="856" t="s">
        <v>436</v>
      </c>
      <c r="O35" s="856"/>
      <c r="P35" s="468" t="s">
        <v>466</v>
      </c>
      <c r="Q35" s="464"/>
      <c r="R35" s="468" t="s">
        <v>479</v>
      </c>
      <c r="S35" s="464"/>
      <c r="T35" s="468" t="s">
        <v>481</v>
      </c>
      <c r="U35" s="462"/>
      <c r="V35" s="472" t="str">
        <f>UPPER(REPORTS!$AA$1)</f>
        <v>NAT_F</v>
      </c>
      <c r="W35" s="472" t="str">
        <f>UPPER(REPORTS!$AA$2)</f>
        <v>ALT_F</v>
      </c>
      <c r="X35" s="48"/>
    </row>
    <row r="36" spans="2:24">
      <c r="B36" s="859"/>
      <c r="C36" s="859"/>
      <c r="D36" s="859"/>
      <c r="E36" s="859"/>
      <c r="F36" s="859"/>
      <c r="G36" s="859"/>
      <c r="H36" s="859"/>
      <c r="I36" s="859"/>
      <c r="J36" s="859"/>
      <c r="K36" s="859"/>
      <c r="L36" s="859"/>
      <c r="M36" s="859"/>
      <c r="N36" s="841" t="s">
        <v>193</v>
      </c>
      <c r="O36" s="841"/>
      <c r="P36" s="469">
        <v>0.40952378511428833</v>
      </c>
      <c r="Q36" s="465"/>
      <c r="R36" s="469">
        <v>1</v>
      </c>
      <c r="S36" s="465"/>
      <c r="T36" s="469">
        <v>1</v>
      </c>
      <c r="U36" s="263"/>
      <c r="V36" s="473">
        <v>1</v>
      </c>
      <c r="W36" s="474"/>
      <c r="X36" s="48"/>
    </row>
    <row r="37" spans="2:24">
      <c r="B37" s="859"/>
      <c r="C37" s="859"/>
      <c r="D37" s="859"/>
      <c r="E37" s="859"/>
      <c r="F37" s="859"/>
      <c r="G37" s="859"/>
      <c r="H37" s="859"/>
      <c r="I37" s="859"/>
      <c r="J37" s="859"/>
      <c r="K37" s="859"/>
      <c r="L37" s="859"/>
      <c r="M37" s="859"/>
      <c r="N37" s="841" t="s">
        <v>194</v>
      </c>
      <c r="O37" s="841"/>
      <c r="P37" s="470">
        <v>0.53333336114883423</v>
      </c>
      <c r="Q37" s="551" t="s">
        <v>485</v>
      </c>
      <c r="R37" s="470">
        <v>1</v>
      </c>
      <c r="S37" s="466"/>
      <c r="T37" s="470">
        <v>1</v>
      </c>
      <c r="U37" s="264"/>
      <c r="V37" s="473">
        <v>1</v>
      </c>
      <c r="W37" s="474"/>
      <c r="X37" s="48"/>
    </row>
    <row r="38" spans="2:24">
      <c r="B38" s="859"/>
      <c r="C38" s="859"/>
      <c r="D38" s="859"/>
      <c r="E38" s="859"/>
      <c r="F38" s="859"/>
      <c r="G38" s="859"/>
      <c r="H38" s="859"/>
      <c r="I38" s="859"/>
      <c r="J38" s="859"/>
      <c r="K38" s="859"/>
      <c r="L38" s="859"/>
      <c r="M38" s="859"/>
      <c r="N38" s="841" t="s">
        <v>195</v>
      </c>
      <c r="O38" s="841"/>
      <c r="P38" s="470">
        <v>0.9523809552192688</v>
      </c>
      <c r="Q38" s="466"/>
      <c r="R38" s="470">
        <v>1</v>
      </c>
      <c r="S38" s="466"/>
      <c r="T38" s="470">
        <v>1</v>
      </c>
      <c r="U38" s="264"/>
      <c r="V38" s="473">
        <v>1</v>
      </c>
      <c r="W38" s="474"/>
      <c r="X38" s="48"/>
    </row>
    <row r="39" spans="2:24">
      <c r="B39" s="859"/>
      <c r="C39" s="859"/>
      <c r="D39" s="859"/>
      <c r="E39" s="859"/>
      <c r="F39" s="859"/>
      <c r="G39" s="859"/>
      <c r="H39" s="859"/>
      <c r="I39" s="859"/>
      <c r="J39" s="859"/>
      <c r="K39" s="859"/>
      <c r="L39" s="859"/>
      <c r="M39" s="859"/>
      <c r="N39" s="841" t="s">
        <v>196</v>
      </c>
      <c r="O39" s="841"/>
      <c r="P39" s="470">
        <v>0.64761906862258911</v>
      </c>
      <c r="Q39" s="466"/>
      <c r="R39" s="470">
        <v>1</v>
      </c>
      <c r="S39" s="466"/>
      <c r="T39" s="470">
        <v>1</v>
      </c>
      <c r="U39" s="264"/>
      <c r="V39" s="473">
        <v>1</v>
      </c>
      <c r="W39" s="474"/>
      <c r="X39" s="48"/>
    </row>
    <row r="40" spans="2:24">
      <c r="B40" s="859"/>
      <c r="C40" s="859"/>
      <c r="D40" s="859"/>
      <c r="E40" s="859"/>
      <c r="F40" s="859"/>
      <c r="G40" s="859"/>
      <c r="H40" s="859"/>
      <c r="I40" s="859"/>
      <c r="J40" s="859"/>
      <c r="K40" s="859"/>
      <c r="L40" s="859"/>
      <c r="M40" s="859"/>
      <c r="N40" s="841" t="s">
        <v>197</v>
      </c>
      <c r="O40" s="841"/>
      <c r="P40" s="470">
        <v>0.25714287161827087</v>
      </c>
      <c r="Q40" s="466"/>
      <c r="R40" s="470">
        <v>1</v>
      </c>
      <c r="S40" s="466"/>
      <c r="T40" s="470">
        <v>1</v>
      </c>
      <c r="U40" s="264"/>
      <c r="V40" s="473">
        <v>1</v>
      </c>
      <c r="W40" s="474"/>
      <c r="X40" s="48"/>
    </row>
    <row r="41" spans="2:24">
      <c r="B41" s="859"/>
      <c r="C41" s="859"/>
      <c r="D41" s="859"/>
      <c r="E41" s="859"/>
      <c r="F41" s="859"/>
      <c r="G41" s="859"/>
      <c r="H41" s="859"/>
      <c r="I41" s="859"/>
      <c r="J41" s="859"/>
      <c r="K41" s="859"/>
      <c r="L41" s="859"/>
      <c r="M41" s="859"/>
      <c r="N41" s="841" t="s">
        <v>198</v>
      </c>
      <c r="O41" s="841"/>
      <c r="P41" s="470">
        <v>1</v>
      </c>
      <c r="Q41" s="466"/>
      <c r="R41" s="470">
        <v>1</v>
      </c>
      <c r="S41" s="466"/>
      <c r="T41" s="470">
        <v>4.7619055956602097E-2</v>
      </c>
      <c r="U41" s="552" t="s">
        <v>485</v>
      </c>
      <c r="V41" s="473">
        <v>1</v>
      </c>
      <c r="W41" s="474"/>
      <c r="X41" s="48"/>
    </row>
    <row r="42" spans="2:24">
      <c r="B42" s="859"/>
      <c r="C42" s="859"/>
      <c r="D42" s="859"/>
      <c r="E42" s="859"/>
      <c r="F42" s="859"/>
      <c r="G42" s="859"/>
      <c r="H42" s="859"/>
      <c r="I42" s="859"/>
      <c r="J42" s="859"/>
      <c r="K42" s="859"/>
      <c r="L42" s="859"/>
      <c r="M42" s="859"/>
      <c r="N42" s="841" t="s">
        <v>199</v>
      </c>
      <c r="O42" s="841"/>
      <c r="P42" s="470">
        <v>1</v>
      </c>
      <c r="Q42" s="466"/>
      <c r="R42" s="470">
        <v>1</v>
      </c>
      <c r="S42" s="466"/>
      <c r="T42" s="470">
        <v>0</v>
      </c>
      <c r="U42" s="552" t="s">
        <v>485</v>
      </c>
      <c r="V42" s="473">
        <v>1</v>
      </c>
      <c r="W42" s="474"/>
      <c r="X42" s="48"/>
    </row>
    <row r="43" spans="2:24">
      <c r="B43" s="859"/>
      <c r="C43" s="859"/>
      <c r="D43" s="859"/>
      <c r="E43" s="859"/>
      <c r="F43" s="859"/>
      <c r="G43" s="859"/>
      <c r="H43" s="859"/>
      <c r="I43" s="859"/>
      <c r="J43" s="859"/>
      <c r="K43" s="859"/>
      <c r="L43" s="859"/>
      <c r="M43" s="859"/>
      <c r="N43" s="841" t="s">
        <v>200</v>
      </c>
      <c r="O43" s="841"/>
      <c r="P43" s="470">
        <v>1</v>
      </c>
      <c r="Q43" s="466"/>
      <c r="R43" s="470">
        <v>1</v>
      </c>
      <c r="S43" s="466"/>
      <c r="T43" s="470">
        <v>0</v>
      </c>
      <c r="U43" s="552" t="s">
        <v>485</v>
      </c>
      <c r="V43" s="473">
        <v>1</v>
      </c>
      <c r="W43" s="474"/>
      <c r="X43" s="48"/>
    </row>
    <row r="44" spans="2:24">
      <c r="B44" s="859"/>
      <c r="C44" s="859"/>
      <c r="D44" s="859"/>
      <c r="E44" s="859"/>
      <c r="F44" s="859"/>
      <c r="G44" s="859"/>
      <c r="H44" s="859"/>
      <c r="I44" s="859"/>
      <c r="J44" s="859"/>
      <c r="K44" s="859"/>
      <c r="L44" s="859"/>
      <c r="M44" s="859"/>
      <c r="N44" s="841" t="s">
        <v>201</v>
      </c>
      <c r="O44" s="841"/>
      <c r="P44" s="470">
        <v>1</v>
      </c>
      <c r="Q44" s="466"/>
      <c r="R44" s="470">
        <v>1</v>
      </c>
      <c r="S44" s="466"/>
      <c r="T44" s="470">
        <v>0</v>
      </c>
      <c r="U44" s="552" t="s">
        <v>485</v>
      </c>
      <c r="V44" s="473">
        <v>1</v>
      </c>
      <c r="W44" s="474"/>
      <c r="X44" s="48"/>
    </row>
    <row r="45" spans="2:24">
      <c r="B45" s="859"/>
      <c r="C45" s="859"/>
      <c r="D45" s="859"/>
      <c r="E45" s="859"/>
      <c r="F45" s="859"/>
      <c r="G45" s="859"/>
      <c r="H45" s="859"/>
      <c r="I45" s="859"/>
      <c r="J45" s="859"/>
      <c r="K45" s="859"/>
      <c r="L45" s="859"/>
      <c r="M45" s="859"/>
      <c r="N45" s="841" t="s">
        <v>202</v>
      </c>
      <c r="O45" s="841"/>
      <c r="P45" s="470">
        <v>1</v>
      </c>
      <c r="Q45" s="466"/>
      <c r="R45" s="470">
        <v>1</v>
      </c>
      <c r="S45" s="466"/>
      <c r="T45" s="470">
        <v>0</v>
      </c>
      <c r="U45" s="552" t="s">
        <v>485</v>
      </c>
      <c r="V45" s="473">
        <v>1</v>
      </c>
      <c r="W45" s="474"/>
      <c r="X45" s="48"/>
    </row>
    <row r="46" spans="2:24">
      <c r="B46" s="859"/>
      <c r="C46" s="859"/>
      <c r="D46" s="859"/>
      <c r="E46" s="859"/>
      <c r="F46" s="859"/>
      <c r="G46" s="859"/>
      <c r="H46" s="859"/>
      <c r="I46" s="859"/>
      <c r="J46" s="859"/>
      <c r="K46" s="859"/>
      <c r="L46" s="859"/>
      <c r="M46" s="859"/>
      <c r="N46" s="841" t="s">
        <v>203</v>
      </c>
      <c r="O46" s="841"/>
      <c r="P46" s="470">
        <v>0.83809524774551392</v>
      </c>
      <c r="Q46" s="466"/>
      <c r="R46" s="470">
        <v>1</v>
      </c>
      <c r="S46" s="466"/>
      <c r="T46" s="470">
        <v>0.97142857313156128</v>
      </c>
      <c r="U46" s="552" t="s">
        <v>485</v>
      </c>
      <c r="V46" s="473">
        <v>1</v>
      </c>
      <c r="W46" s="474"/>
      <c r="X46" s="48"/>
    </row>
    <row r="47" spans="2:24">
      <c r="B47" s="860"/>
      <c r="C47" s="860"/>
      <c r="D47" s="860"/>
      <c r="E47" s="860"/>
      <c r="F47" s="860"/>
      <c r="G47" s="860"/>
      <c r="H47" s="860"/>
      <c r="I47" s="860"/>
      <c r="J47" s="860"/>
      <c r="K47" s="860"/>
      <c r="L47" s="860"/>
      <c r="M47" s="860"/>
      <c r="N47" s="842" t="s">
        <v>204</v>
      </c>
      <c r="O47" s="843"/>
      <c r="P47" s="471">
        <v>0</v>
      </c>
      <c r="Q47" s="467"/>
      <c r="R47" s="471">
        <v>1</v>
      </c>
      <c r="S47" s="467"/>
      <c r="T47" s="471">
        <v>1</v>
      </c>
      <c r="U47" s="265"/>
      <c r="V47" s="473">
        <v>1</v>
      </c>
      <c r="W47" s="474"/>
      <c r="X47" s="48"/>
    </row>
    <row r="48" spans="2:24" ht="24.75" customHeight="1">
      <c r="J48" s="463"/>
      <c r="K48" s="463"/>
      <c r="L48" s="463"/>
      <c r="M48" s="463"/>
      <c r="N48" s="342" t="str">
        <f>CONCATENATE("&amp; indicates that the number of days (with flood, drought or 0 flow) for IAH14, IAH20 and IAH21 respectively, is higher in ", REPORTS!$AB$2," than ",REPORTS!$AB$1)</f>
        <v>&amp; indicates that the number of days (with flood, drought or 0 flow) for IAH14, IAH20 and IAH21 respectively, is higher in Altered Flow than Natural Flow</v>
      </c>
      <c r="O48" s="342"/>
      <c r="P48" s="342"/>
      <c r="Q48" s="342"/>
      <c r="R48" s="342"/>
      <c r="S48" s="342"/>
      <c r="T48" s="342"/>
      <c r="U48" s="342"/>
      <c r="V48" s="475"/>
      <c r="W48" s="476"/>
      <c r="X48" s="48"/>
    </row>
    <row r="49" spans="2:13">
      <c r="B49" s="822" t="s">
        <v>440</v>
      </c>
      <c r="C49" s="822"/>
      <c r="D49" s="822"/>
      <c r="E49" s="822"/>
      <c r="F49" s="822"/>
      <c r="G49" s="822"/>
      <c r="H49" s="822"/>
      <c r="I49" s="209" t="s">
        <v>405</v>
      </c>
      <c r="J49" s="209" t="s">
        <v>406</v>
      </c>
      <c r="K49" s="209" t="s">
        <v>407</v>
      </c>
      <c r="L49" s="209" t="s">
        <v>408</v>
      </c>
      <c r="M49" s="209" t="s">
        <v>409</v>
      </c>
    </row>
    <row r="50" spans="2:13">
      <c r="B50" s="823" t="s">
        <v>291</v>
      </c>
      <c r="C50" s="824"/>
      <c r="D50" s="824"/>
      <c r="E50" s="824"/>
      <c r="F50" s="824"/>
      <c r="G50" s="296" t="s">
        <v>410</v>
      </c>
      <c r="H50" s="296" t="s">
        <v>411</v>
      </c>
      <c r="I50" s="238" t="s">
        <v>441</v>
      </c>
      <c r="J50" s="239" t="s">
        <v>442</v>
      </c>
      <c r="K50" s="240" t="s">
        <v>443</v>
      </c>
      <c r="L50" s="241" t="s">
        <v>444</v>
      </c>
      <c r="M50" s="242" t="s">
        <v>445</v>
      </c>
    </row>
    <row r="51" spans="2:13" ht="15">
      <c r="B51" s="857" t="s">
        <v>450</v>
      </c>
      <c r="C51" s="857"/>
      <c r="D51" s="857"/>
      <c r="E51" s="857"/>
      <c r="F51" s="857"/>
      <c r="G51" s="266">
        <v>0.38359427452087402</v>
      </c>
      <c r="H51" s="335" t="s">
        <v>486</v>
      </c>
      <c r="I51" s="237"/>
      <c r="J51" s="229"/>
      <c r="K51" s="237"/>
      <c r="L51" s="237"/>
      <c r="M51" s="237"/>
    </row>
    <row r="52" spans="2:13" ht="15">
      <c r="B52" s="861" t="s">
        <v>468</v>
      </c>
      <c r="C52" s="861"/>
      <c r="D52" s="861"/>
      <c r="E52" s="861"/>
      <c r="F52" s="861"/>
      <c r="G52" s="267">
        <v>0.27710223197937012</v>
      </c>
      <c r="H52" s="336" t="s">
        <v>487</v>
      </c>
      <c r="I52" s="236"/>
      <c r="J52" s="236"/>
      <c r="K52" s="230"/>
      <c r="L52" s="236"/>
      <c r="M52" s="236"/>
    </row>
  </sheetData>
  <mergeCells count="55">
    <mergeCell ref="B2:C2"/>
    <mergeCell ref="B3:C3"/>
    <mergeCell ref="G22:H22"/>
    <mergeCell ref="G19:H19"/>
    <mergeCell ref="G20:H20"/>
    <mergeCell ref="G16:H16"/>
    <mergeCell ref="D16:E16"/>
    <mergeCell ref="D2:V2"/>
    <mergeCell ref="D3:V3"/>
    <mergeCell ref="B5:D5"/>
    <mergeCell ref="B6:D6"/>
    <mergeCell ref="B12:V12"/>
    <mergeCell ref="B15:C16"/>
    <mergeCell ref="D15:H15"/>
    <mergeCell ref="B52:F52"/>
    <mergeCell ref="B32:M32"/>
    <mergeCell ref="B34:M34"/>
    <mergeCell ref="C17:C20"/>
    <mergeCell ref="C29:C30"/>
    <mergeCell ref="G29:H29"/>
    <mergeCell ref="G21:H21"/>
    <mergeCell ref="C25:C26"/>
    <mergeCell ref="G28:H28"/>
    <mergeCell ref="C27:C28"/>
    <mergeCell ref="G27:H27"/>
    <mergeCell ref="N43:O43"/>
    <mergeCell ref="N39:O39"/>
    <mergeCell ref="N35:O35"/>
    <mergeCell ref="N37:O37"/>
    <mergeCell ref="B51:F51"/>
    <mergeCell ref="N41:O41"/>
    <mergeCell ref="N45:O45"/>
    <mergeCell ref="B50:F50"/>
    <mergeCell ref="B35:M47"/>
    <mergeCell ref="N44:O44"/>
    <mergeCell ref="N36:O36"/>
    <mergeCell ref="N42:O42"/>
    <mergeCell ref="N40:O40"/>
    <mergeCell ref="N38:O38"/>
    <mergeCell ref="N34:U34"/>
    <mergeCell ref="N46:O46"/>
    <mergeCell ref="N47:O47"/>
    <mergeCell ref="B49:H49"/>
    <mergeCell ref="B7:D7"/>
    <mergeCell ref="G30:H30"/>
    <mergeCell ref="G17:H17"/>
    <mergeCell ref="G18:H18"/>
    <mergeCell ref="C21:C22"/>
    <mergeCell ref="G24:H24"/>
    <mergeCell ref="G23:H23"/>
    <mergeCell ref="B17:B24"/>
    <mergeCell ref="B25:B31"/>
    <mergeCell ref="G25:H25"/>
    <mergeCell ref="G31:H31"/>
    <mergeCell ref="G26:H26"/>
  </mergeCells>
  <phoneticPr fontId="24" type="noConversion"/>
  <pageMargins left="0.2" right="0.17" top="0.49" bottom="0.4" header="0.17" footer="0"/>
  <pageSetup paperSize="9" scale="75" orientation="landscape"/>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34">
    <pageSetUpPr fitToPage="1"/>
  </sheetPr>
  <dimension ref="A1:S38"/>
  <sheetViews>
    <sheetView showGridLines="0" zoomScale="75" zoomScaleNormal="75" workbookViewId="0">
      <selection activeCell="B3" sqref="B3:C3"/>
    </sheetView>
  </sheetViews>
  <sheetFormatPr baseColWidth="10" defaultRowHeight="12.5"/>
  <cols>
    <col min="1" max="1" width="2.81640625" customWidth="1"/>
    <col min="2" max="2" width="19.1796875" customWidth="1"/>
    <col min="3" max="3" width="17.1796875" customWidth="1"/>
    <col min="4" max="4" width="18.7265625" customWidth="1"/>
    <col min="5" max="5" width="18.1796875" customWidth="1"/>
    <col min="6" max="6" width="20.453125" customWidth="1"/>
    <col min="7" max="7" width="23.54296875" customWidth="1"/>
    <col min="8" max="8" width="20.81640625" customWidth="1"/>
    <col min="9" max="9" width="13.453125" customWidth="1"/>
    <col min="10" max="10" width="17" customWidth="1"/>
  </cols>
  <sheetData>
    <row r="1" spans="1:19" ht="11.25" customHeight="1">
      <c r="A1" s="15"/>
      <c r="C1" s="1"/>
      <c r="D1" s="2"/>
      <c r="E1" s="2"/>
      <c r="F1" s="2"/>
      <c r="G1" s="2"/>
      <c r="H1" s="2"/>
      <c r="I1" s="2"/>
      <c r="J1" s="2"/>
      <c r="K1" s="2"/>
      <c r="L1" s="2"/>
      <c r="M1" s="2"/>
      <c r="N1" s="3"/>
    </row>
    <row r="2" spans="1:19" ht="17.149999999999999" customHeight="1">
      <c r="B2" s="897" t="s">
        <v>274</v>
      </c>
      <c r="C2" s="897"/>
      <c r="D2" s="864" t="str">
        <f>CONCATENATE(UPPER(REPORTS!$AB$2)," INDICATOR P10-90 FOR HIGHLY ALTERED WATER BODY")</f>
        <v>ALTERED FLOW INDICATOR P10-90 FOR HIGHLY ALTERED WATER BODY</v>
      </c>
      <c r="E2" s="864"/>
      <c r="F2" s="864"/>
      <c r="G2" s="864"/>
      <c r="H2" s="864"/>
      <c r="I2" s="864"/>
      <c r="J2" s="864"/>
      <c r="K2" s="18"/>
      <c r="L2" s="18"/>
      <c r="M2" s="18"/>
      <c r="N2" s="18"/>
      <c r="O2" s="18"/>
      <c r="P2" s="18"/>
      <c r="Q2" s="18"/>
      <c r="R2" s="18"/>
      <c r="S2" s="18"/>
    </row>
    <row r="3" spans="1:19" ht="19.5" customHeight="1">
      <c r="B3" s="897" t="s">
        <v>488</v>
      </c>
      <c r="C3" s="897"/>
      <c r="D3" s="865" t="s">
        <v>489</v>
      </c>
      <c r="E3" s="865"/>
      <c r="F3" s="865"/>
      <c r="G3" s="865"/>
      <c r="H3" s="865"/>
      <c r="I3" s="865"/>
      <c r="J3" s="865"/>
      <c r="K3" s="19"/>
      <c r="L3" s="19"/>
      <c r="M3" s="19"/>
      <c r="N3" s="19"/>
      <c r="O3" s="19"/>
      <c r="P3" s="19"/>
      <c r="Q3" s="19"/>
      <c r="R3" s="19"/>
      <c r="S3" s="19"/>
    </row>
    <row r="4" spans="1:19" ht="17.149999999999999" customHeight="1">
      <c r="C4" s="1"/>
      <c r="D4" s="2"/>
      <c r="E4" s="2"/>
      <c r="F4" s="2"/>
      <c r="G4" s="2"/>
      <c r="H4" s="2"/>
      <c r="I4" s="2"/>
      <c r="J4" s="2"/>
      <c r="K4" s="2"/>
      <c r="L4" s="2"/>
      <c r="M4" s="2"/>
      <c r="N4" s="3"/>
    </row>
    <row r="5" spans="1:19" ht="17.149999999999999" customHeight="1">
      <c r="A5" s="556" t="s">
        <v>1</v>
      </c>
      <c r="B5" s="556"/>
      <c r="C5" s="556"/>
      <c r="D5" s="486" t="str">
        <f>REPORTS!E7</f>
        <v>Natural Flow (Nat_F)</v>
      </c>
      <c r="F5" s="13"/>
      <c r="G5" s="13"/>
      <c r="H5" s="13"/>
      <c r="I5" s="13"/>
      <c r="J5" s="13"/>
    </row>
    <row r="6" spans="1:19" ht="17.149999999999999" customHeight="1">
      <c r="A6" s="556" t="s">
        <v>2</v>
      </c>
      <c r="B6" s="556"/>
      <c r="C6" s="556"/>
      <c r="D6" s="486" t="str">
        <f>REPORTS!E8</f>
        <v>Altered Flow (Alt_F)</v>
      </c>
      <c r="F6" s="13"/>
      <c r="G6" s="13"/>
      <c r="H6" s="13"/>
      <c r="I6" s="13"/>
      <c r="J6" s="13"/>
    </row>
    <row r="7" spans="1:19" ht="17.149999999999999" customHeight="1">
      <c r="A7" s="556" t="s">
        <v>3</v>
      </c>
      <c r="B7" s="556"/>
      <c r="C7" s="556"/>
      <c r="D7" s="487" t="s">
        <v>4</v>
      </c>
      <c r="E7" s="493"/>
      <c r="F7" s="12"/>
      <c r="G7" s="12"/>
      <c r="H7" s="12"/>
      <c r="I7" s="12"/>
      <c r="J7" s="12"/>
    </row>
    <row r="8" spans="1:19" ht="17.149999999999999" customHeight="1">
      <c r="B8" s="481"/>
      <c r="C8" s="481"/>
      <c r="D8" s="487"/>
      <c r="E8" s="487"/>
      <c r="F8" s="12"/>
      <c r="G8" s="12"/>
      <c r="H8" s="12"/>
      <c r="I8" s="12"/>
      <c r="J8" s="12"/>
    </row>
    <row r="9" spans="1:19" ht="17.149999999999999" customHeight="1">
      <c r="B9" s="481"/>
      <c r="C9" s="481"/>
      <c r="D9" s="487"/>
      <c r="E9" s="487"/>
      <c r="F9" s="12"/>
      <c r="G9" s="12"/>
      <c r="H9" s="12"/>
      <c r="I9" s="12"/>
      <c r="J9" s="12"/>
    </row>
    <row r="10" spans="1:19" ht="17.149999999999999" customHeight="1">
      <c r="C10" s="1"/>
      <c r="D10" s="2"/>
      <c r="E10" s="2"/>
      <c r="F10" s="2"/>
      <c r="G10" s="2"/>
      <c r="H10" s="2"/>
      <c r="I10" s="2"/>
      <c r="J10" s="2"/>
      <c r="K10" s="23"/>
      <c r="L10" s="23"/>
      <c r="M10" s="23"/>
      <c r="N10" s="3"/>
    </row>
    <row r="11" spans="1:19" ht="17.149999999999999" customHeight="1">
      <c r="B11" s="867"/>
      <c r="C11" s="867"/>
      <c r="D11" s="867"/>
      <c r="E11" s="867"/>
      <c r="F11" s="867"/>
      <c r="G11" s="867"/>
      <c r="H11" s="867"/>
      <c r="I11" s="867"/>
      <c r="J11" s="867"/>
      <c r="K11" s="24"/>
      <c r="L11" s="877"/>
      <c r="M11" s="877"/>
      <c r="N11" s="20"/>
      <c r="O11" s="20"/>
      <c r="P11" s="20"/>
      <c r="Q11" s="20"/>
      <c r="R11" s="20"/>
      <c r="S11" s="20"/>
    </row>
    <row r="12" spans="1:19" ht="17.149999999999999" customHeight="1">
      <c r="B12" s="868" t="s">
        <v>490</v>
      </c>
      <c r="C12" s="893" t="str">
        <f>UPPER(REPORTS!$AA$1)</f>
        <v>NAT_F</v>
      </c>
      <c r="D12" s="893"/>
      <c r="E12" s="894"/>
      <c r="F12" s="884" t="str">
        <f>UPPER(REPORTS!$AA$2)</f>
        <v>ALT_F</v>
      </c>
      <c r="G12" s="885"/>
      <c r="H12" s="885"/>
      <c r="I12" s="885"/>
      <c r="J12" s="885"/>
      <c r="K12" s="24"/>
      <c r="L12" s="40"/>
      <c r="M12" s="40"/>
      <c r="N12" s="20"/>
      <c r="O12" s="20"/>
      <c r="P12" s="20"/>
      <c r="Q12" s="20"/>
      <c r="R12" s="20"/>
      <c r="S12" s="20"/>
    </row>
    <row r="13" spans="1:19" ht="17.149999999999999" customHeight="1">
      <c r="B13" s="892"/>
      <c r="C13" s="895"/>
      <c r="D13" s="895"/>
      <c r="E13" s="896"/>
      <c r="F13" s="886"/>
      <c r="G13" s="887"/>
      <c r="H13" s="887"/>
      <c r="I13" s="887"/>
      <c r="J13" s="887"/>
      <c r="K13" s="24"/>
      <c r="L13" s="40"/>
      <c r="M13" s="40"/>
      <c r="N13" s="20"/>
      <c r="O13" s="20"/>
      <c r="P13" s="20"/>
      <c r="Q13" s="20"/>
      <c r="R13" s="20"/>
      <c r="S13" s="20"/>
    </row>
    <row r="14" spans="1:19" ht="17.149999999999999" customHeight="1">
      <c r="B14" s="871" t="s">
        <v>436</v>
      </c>
      <c r="C14" s="868" t="s">
        <v>491</v>
      </c>
      <c r="D14" s="870" t="s">
        <v>253</v>
      </c>
      <c r="E14" s="868" t="s">
        <v>492</v>
      </c>
      <c r="F14" s="878" t="s">
        <v>493</v>
      </c>
      <c r="G14" s="882" t="s">
        <v>494</v>
      </c>
      <c r="H14" s="870" t="s">
        <v>495</v>
      </c>
      <c r="I14" s="870" t="s">
        <v>496</v>
      </c>
      <c r="J14" s="870" t="s">
        <v>497</v>
      </c>
      <c r="K14" s="25"/>
      <c r="L14" s="25"/>
      <c r="M14" s="25"/>
    </row>
    <row r="15" spans="1:19" ht="17.149999999999999" customHeight="1">
      <c r="B15" s="872"/>
      <c r="C15" s="869"/>
      <c r="D15" s="869"/>
      <c r="E15" s="869"/>
      <c r="F15" s="879"/>
      <c r="G15" s="883"/>
      <c r="H15" s="869"/>
      <c r="I15" s="869"/>
      <c r="J15" s="869"/>
      <c r="K15" s="21"/>
      <c r="L15" s="21"/>
      <c r="M15" s="21"/>
    </row>
    <row r="16" spans="1:19" ht="17.149999999999999" customHeight="1">
      <c r="B16" s="270" t="s">
        <v>8</v>
      </c>
      <c r="C16" s="275">
        <f>'Informe nº3c'!M4</f>
        <v>18.408330535888673</v>
      </c>
      <c r="D16" s="275">
        <f>'Informe nº 2'!$S6</f>
        <v>14.37298583984375</v>
      </c>
      <c r="E16" s="275">
        <f>'Informe nº3c'!M5</f>
        <v>10.637412261962892</v>
      </c>
      <c r="F16" s="276">
        <f>'Informe nº3'!T$6</f>
        <v>11.134283065795898</v>
      </c>
      <c r="G16" s="277">
        <f>COUNTIF('Informe nº3'!C$15:C$612,"&gt;="&amp;'Informe nº 8'!E16)-COUNTIF('Informe nº3'!C$15:C$612,"&gt;"&amp;'Informe nº 8'!C16)</f>
        <v>10</v>
      </c>
      <c r="H16" s="277">
        <f>C38</f>
        <v>21</v>
      </c>
      <c r="I16" s="277">
        <f t="shared" ref="I16:I28" si="0">(G16/H16)*100</f>
        <v>47.619047619047613</v>
      </c>
      <c r="J16" s="419">
        <f>I16</f>
        <v>47.619047619047613</v>
      </c>
      <c r="K16" s="6"/>
      <c r="L16" s="6"/>
      <c r="M16" s="6"/>
    </row>
    <row r="17" spans="2:13" ht="17.149999999999999" customHeight="1">
      <c r="B17" s="271" t="s">
        <v>498</v>
      </c>
      <c r="C17" s="275">
        <f>'Informe nº3c'!N4</f>
        <v>13.638981819152832</v>
      </c>
      <c r="D17" s="275">
        <f>'Informe nº 2'!$T6</f>
        <v>12.314159393310547</v>
      </c>
      <c r="E17" s="275">
        <f>'Informe nº3c'!N5</f>
        <v>9.2117437362670902</v>
      </c>
      <c r="F17" s="276">
        <f>'Informe nº3'!U$6</f>
        <v>10.854950904846191</v>
      </c>
      <c r="G17" s="277">
        <f>COUNTIF('Informe nº3'!D$15:D$612,"&gt;="&amp;'Informe nº 8'!E17)-COUNTIF('Informe nº3'!D$15:D$612,"&gt;"&amp;'Informe nº 8'!C17)</f>
        <v>11</v>
      </c>
      <c r="H17" s="277">
        <f>C38</f>
        <v>21</v>
      </c>
      <c r="I17" s="277">
        <f t="shared" si="0"/>
        <v>52.380952380952387</v>
      </c>
      <c r="J17" s="419">
        <f t="shared" ref="J17:J27" si="1">I17</f>
        <v>52.380952380952387</v>
      </c>
      <c r="K17" s="6"/>
      <c r="L17" s="6"/>
      <c r="M17" s="6"/>
    </row>
    <row r="18" spans="2:13" ht="17.149999999999999" customHeight="1">
      <c r="B18" s="271" t="s">
        <v>499</v>
      </c>
      <c r="C18" s="275">
        <f>'Informe nº3c'!O4</f>
        <v>16.254813766479494</v>
      </c>
      <c r="D18" s="275">
        <f>'Informe nº 2'!$U6</f>
        <v>11.537077903747559</v>
      </c>
      <c r="E18" s="275">
        <f>'Informe nº3c'!O5</f>
        <v>8.6295450210571296</v>
      </c>
      <c r="F18" s="276">
        <f>'Informe nº3'!V$6</f>
        <v>9.3216094970703125</v>
      </c>
      <c r="G18" s="277">
        <f>COUNTIF('Informe nº3'!E$15:E$612,"&gt;="&amp;'Informe nº 8'!E18)-COUNTIF('Informe nº3'!E$15:E612,"&gt;"&amp;'Informe nº 8'!C18)</f>
        <v>14</v>
      </c>
      <c r="H18" s="277">
        <f>C38</f>
        <v>21</v>
      </c>
      <c r="I18" s="277">
        <f t="shared" si="0"/>
        <v>66.666666666666657</v>
      </c>
      <c r="J18" s="419">
        <f t="shared" si="1"/>
        <v>66.666666666666657</v>
      </c>
      <c r="K18" s="6"/>
      <c r="L18" s="6"/>
      <c r="M18" s="6"/>
    </row>
    <row r="19" spans="2:13" ht="17.149999999999999" customHeight="1">
      <c r="B19" s="271" t="s">
        <v>500</v>
      </c>
      <c r="C19" s="275">
        <f>'Informe nº3c'!P4</f>
        <v>16.015778732299804</v>
      </c>
      <c r="D19" s="275">
        <f>'Informe nº 2'!$V6</f>
        <v>13.178936004638672</v>
      </c>
      <c r="E19" s="275">
        <f>'Informe nº3c'!P5</f>
        <v>10.558616065979004</v>
      </c>
      <c r="F19" s="276">
        <f>'Informe nº3'!W$6</f>
        <v>6.4912319183349609</v>
      </c>
      <c r="G19" s="277">
        <f>COUNTIF('Informe nº3'!F$14:F$612,"&gt;="&amp;'Informe nº 8'!E19)-COUNTIF('Informe nº3'!F$14:F$612,"&gt;"&amp;'Informe nº 8'!C19)</f>
        <v>1</v>
      </c>
      <c r="H19" s="277">
        <f>C38</f>
        <v>21</v>
      </c>
      <c r="I19" s="277">
        <f t="shared" si="0"/>
        <v>4.7619047619047619</v>
      </c>
      <c r="J19" s="419">
        <f t="shared" si="1"/>
        <v>4.7619047619047619</v>
      </c>
      <c r="K19" s="6"/>
      <c r="L19" s="6"/>
      <c r="M19" s="6"/>
    </row>
    <row r="20" spans="2:13" ht="17.149999999999999" customHeight="1">
      <c r="B20" s="271" t="s">
        <v>197</v>
      </c>
      <c r="C20" s="275">
        <f>'Informe nº3c'!Q4</f>
        <v>17.673725891113282</v>
      </c>
      <c r="D20" s="275">
        <f>'Informe nº 2'!$W6</f>
        <v>13.49222469329834</v>
      </c>
      <c r="E20" s="275">
        <f>'Informe nº3c'!Q5</f>
        <v>9.843812179565429</v>
      </c>
      <c r="F20" s="276">
        <f>'Informe nº3'!X$6</f>
        <v>3.027153491973877</v>
      </c>
      <c r="G20" s="277">
        <f>COUNTIF('Informe nº3'!G$15:G$612,"&gt;="&amp;'Informe nº 8'!E20)-COUNTIF('Informe nº3'!G$15:G$612,"&gt;"&amp;'Informe nº 8'!C20)</f>
        <v>0</v>
      </c>
      <c r="H20" s="277">
        <f>C38</f>
        <v>21</v>
      </c>
      <c r="I20" s="277">
        <f t="shared" si="0"/>
        <v>0</v>
      </c>
      <c r="J20" s="419">
        <f t="shared" si="1"/>
        <v>0</v>
      </c>
      <c r="K20" s="6"/>
      <c r="L20" s="6"/>
      <c r="M20" s="6"/>
    </row>
    <row r="21" spans="2:13" ht="17.149999999999999" customHeight="1">
      <c r="B21" s="271" t="s">
        <v>501</v>
      </c>
      <c r="C21" s="275">
        <f>'Informe nº3c'!R4</f>
        <v>6.9379540443420415</v>
      </c>
      <c r="D21" s="275">
        <f>'Informe nº 2'!$X6</f>
        <v>4.8620734214782715</v>
      </c>
      <c r="E21" s="275">
        <f>'Informe nº3c'!R5</f>
        <v>3.6979895114898684</v>
      </c>
      <c r="F21" s="276">
        <f>'Informe nº3'!Y$6</f>
        <v>0.640647292137146</v>
      </c>
      <c r="G21" s="277">
        <f>COUNTIF('Informe nº3'!H$14:H$612,"&gt;="&amp;'Informe nº 8'!E21)-COUNTIF('Informe nº3'!H$14:H$612,"&gt;"&amp;'Informe nº 8'!C21)</f>
        <v>0</v>
      </c>
      <c r="H21" s="277">
        <f>C38</f>
        <v>21</v>
      </c>
      <c r="I21" s="277">
        <f t="shared" si="0"/>
        <v>0</v>
      </c>
      <c r="J21" s="419">
        <f t="shared" si="1"/>
        <v>0</v>
      </c>
      <c r="K21" s="6"/>
      <c r="L21" s="6"/>
      <c r="M21" s="6"/>
    </row>
    <row r="22" spans="2:13" ht="17.149999999999999" customHeight="1">
      <c r="B22" s="271" t="s">
        <v>502</v>
      </c>
      <c r="C22" s="275">
        <f>'Informe nº3c'!S4</f>
        <v>1.5648924112319946</v>
      </c>
      <c r="D22" s="275">
        <f>'Informe nº 2'!$Y6</f>
        <v>1.1413267850875854</v>
      </c>
      <c r="E22" s="275">
        <f>'Informe nº3c'!S5</f>
        <v>0.91059907674789431</v>
      </c>
      <c r="F22" s="276">
        <f>'Informe nº3'!Z$6</f>
        <v>0.32523810863494873</v>
      </c>
      <c r="G22" s="277">
        <f>COUNTIF('Informe nº3'!I$15:I$612,"&gt;="&amp;'Informe nº 8'!E22)-COUNTIF('Informe nº3'!I$15:I$612,"&gt;"&amp;'Informe nº 8'!C22)</f>
        <v>0</v>
      </c>
      <c r="H22" s="277">
        <f>C38</f>
        <v>21</v>
      </c>
      <c r="I22" s="277">
        <f t="shared" si="0"/>
        <v>0</v>
      </c>
      <c r="J22" s="419">
        <f t="shared" si="1"/>
        <v>0</v>
      </c>
      <c r="K22" s="6"/>
      <c r="L22" s="6"/>
      <c r="M22" s="6"/>
    </row>
    <row r="23" spans="2:13" ht="17.149999999999999" customHeight="1">
      <c r="B23" s="271" t="s">
        <v>503</v>
      </c>
      <c r="C23" s="275">
        <f>'Informe nº3c'!T4</f>
        <v>0.62932039499282844</v>
      </c>
      <c r="D23" s="275">
        <f>'Informe nº 2'!$Z6</f>
        <v>0.4883846640586853</v>
      </c>
      <c r="E23" s="275">
        <f>'Informe nº3c'!T5</f>
        <v>0.42211068272590635</v>
      </c>
      <c r="F23" s="276">
        <f>'Informe nº3'!AA$6</f>
        <v>0.19344787299633026</v>
      </c>
      <c r="G23" s="277">
        <f>COUNTIF('Informe nº3'!J$14:J$612,"&gt;="&amp;'Informe nº 8'!E23)-COUNTIF('Informe nº3'!J$14:J$612,"&gt;"&amp;'Informe nº 8'!C23)</f>
        <v>0</v>
      </c>
      <c r="H23" s="277">
        <f>C38</f>
        <v>21</v>
      </c>
      <c r="I23" s="277">
        <f t="shared" si="0"/>
        <v>0</v>
      </c>
      <c r="J23" s="419">
        <f t="shared" si="1"/>
        <v>0</v>
      </c>
      <c r="K23" s="6"/>
      <c r="L23" s="6"/>
      <c r="M23" s="6"/>
    </row>
    <row r="24" spans="2:13" ht="17.149999999999999" customHeight="1">
      <c r="B24" s="271" t="s">
        <v>504</v>
      </c>
      <c r="C24" s="275">
        <f>'Informe nº3c'!U4</f>
        <v>0.93631687164306643</v>
      </c>
      <c r="D24" s="275">
        <f>'Informe nº 2'!$AA6</f>
        <v>0.55524098873138428</v>
      </c>
      <c r="E24" s="275">
        <f>'Informe nº3c'!U5</f>
        <v>0.36377109289169313</v>
      </c>
      <c r="F24" s="276">
        <f>'Informe nº3'!AB$6</f>
        <v>0.1700049489736557</v>
      </c>
      <c r="G24" s="277">
        <f>COUNTIF('Informe nº3'!K$15:K$612,"&gt;="&amp;'Informe nº 8'!E24)-COUNTIF('Informe nº3'!K$15:K$612,"&gt;"&amp;'Informe nº 8'!C24)</f>
        <v>1</v>
      </c>
      <c r="H24" s="277">
        <f>C38</f>
        <v>21</v>
      </c>
      <c r="I24" s="277">
        <f t="shared" si="0"/>
        <v>4.7619047619047619</v>
      </c>
      <c r="J24" s="419">
        <f t="shared" si="1"/>
        <v>4.7619047619047619</v>
      </c>
      <c r="K24" s="6"/>
      <c r="L24" s="6"/>
      <c r="M24" s="6"/>
    </row>
    <row r="25" spans="2:13" ht="17.149999999999999" customHeight="1">
      <c r="B25" s="271" t="s">
        <v>505</v>
      </c>
      <c r="C25" s="275">
        <f>'Informe nº3c'!V4</f>
        <v>5.2382213592529308</v>
      </c>
      <c r="D25" s="275">
        <f>'Informe nº 2'!$AB6</f>
        <v>2.9164323806762695</v>
      </c>
      <c r="E25" s="275">
        <f>'Informe nº3c'!V5</f>
        <v>1.7517235755920411</v>
      </c>
      <c r="F25" s="276">
        <f>'Informe nº3'!AC$6</f>
        <v>0.7970806360244751</v>
      </c>
      <c r="G25" s="277">
        <f>COUNTIF('Informe nº3'!L$14:L$612,"&gt;="&amp;'Informe nº 8'!E25)-COUNTIF('Informe nº3'!L$14:L$612,"&gt;"&amp;'Informe nº 8'!C25)</f>
        <v>4</v>
      </c>
      <c r="H25" s="277">
        <f>C38</f>
        <v>21</v>
      </c>
      <c r="I25" s="277">
        <f t="shared" si="0"/>
        <v>19.047619047619047</v>
      </c>
      <c r="J25" s="419">
        <f t="shared" si="1"/>
        <v>19.047619047619047</v>
      </c>
      <c r="K25" s="6"/>
      <c r="L25" s="6" t="s">
        <v>180</v>
      </c>
      <c r="M25" s="6"/>
    </row>
    <row r="26" spans="2:13" ht="17.149999999999999" customHeight="1">
      <c r="B26" s="271" t="s">
        <v>506</v>
      </c>
      <c r="C26" s="275">
        <f>'Informe nº3c'!W4</f>
        <v>12.767155456542969</v>
      </c>
      <c r="D26" s="275">
        <f>'Informe nº 2'!$AC6</f>
        <v>7.0796847343444824</v>
      </c>
      <c r="E26" s="275">
        <f>'Informe nº3c'!W5</f>
        <v>3.8849176406860351</v>
      </c>
      <c r="F26" s="276">
        <f>'Informe nº3'!AD$6</f>
        <v>3.5252237319946289</v>
      </c>
      <c r="G26" s="277">
        <f>COUNTIF('Informe nº3'!M$15:M$612,"&gt;="&amp;'Informe nº 8'!E26)-COUNTIF('Informe nº3'!M$15:M$612,"&gt;"&amp;'Informe nº 8'!C26)</f>
        <v>8</v>
      </c>
      <c r="H26" s="277">
        <f>C38</f>
        <v>21</v>
      </c>
      <c r="I26" s="277">
        <f t="shared" si="0"/>
        <v>38.095238095238095</v>
      </c>
      <c r="J26" s="419">
        <f t="shared" si="1"/>
        <v>38.095238095238095</v>
      </c>
      <c r="K26" s="6"/>
      <c r="L26" s="6"/>
      <c r="M26" s="6"/>
    </row>
    <row r="27" spans="2:13" ht="17.149999999999999" customHeight="1">
      <c r="B27" s="272" t="s">
        <v>507</v>
      </c>
      <c r="C27" s="275">
        <f>'Informe nº3c'!X4</f>
        <v>19.509172439575195</v>
      </c>
      <c r="D27" s="275">
        <f>'Informe nº 2'!$AD6</f>
        <v>14.289956092834473</v>
      </c>
      <c r="E27" s="275">
        <f>'Informe nº3c'!X5</f>
        <v>10.518405342102051</v>
      </c>
      <c r="F27" s="276">
        <f>'Informe nº3'!AE$6</f>
        <v>6.6811389923095703</v>
      </c>
      <c r="G27" s="277">
        <f>COUNTIF('Informe nº3'!N$14:N$612,"&gt;="&amp;'Informe nº 8'!E27)-COUNTIF('Informe nº3'!N$14:N$612,"&gt;"&amp;'Informe nº 8'!C27)</f>
        <v>0</v>
      </c>
      <c r="H27" s="278">
        <f>C38</f>
        <v>21</v>
      </c>
      <c r="I27" s="278">
        <f t="shared" si="0"/>
        <v>0</v>
      </c>
      <c r="J27" s="419">
        <f t="shared" si="1"/>
        <v>0</v>
      </c>
      <c r="K27" s="6"/>
      <c r="L27" s="6"/>
      <c r="M27" s="6"/>
    </row>
    <row r="28" spans="2:13" ht="17.149999999999999" customHeight="1">
      <c r="B28" s="269"/>
      <c r="C28" s="279"/>
      <c r="D28" s="280"/>
      <c r="E28" s="279"/>
      <c r="F28" s="325" t="s">
        <v>508</v>
      </c>
      <c r="G28" s="327">
        <f>SUM(G16:G27)</f>
        <v>49</v>
      </c>
      <c r="H28" s="327">
        <f>SUM(H16:H27)</f>
        <v>252</v>
      </c>
      <c r="I28" s="327">
        <f t="shared" si="0"/>
        <v>19.444444444444446</v>
      </c>
      <c r="J28" s="326" t="str">
        <f>IF(I28&gt;=50,"",IF(I28&lt;50,"MUY ALTERADA"))</f>
        <v>MUY ALTERADA</v>
      </c>
      <c r="K28" s="6"/>
      <c r="L28" s="6"/>
      <c r="M28" s="6"/>
    </row>
    <row r="29" spans="2:13">
      <c r="B29" s="22"/>
      <c r="C29" s="22"/>
      <c r="D29" s="22"/>
      <c r="E29" s="22"/>
      <c r="F29" s="22"/>
      <c r="G29" s="22"/>
      <c r="H29" s="22"/>
      <c r="I29" s="22"/>
      <c r="J29" s="22"/>
      <c r="K29" s="22"/>
      <c r="L29" s="22"/>
      <c r="M29" s="22"/>
    </row>
    <row r="30" spans="2:13" ht="18" customHeight="1">
      <c r="B30" s="888" t="s">
        <v>509</v>
      </c>
      <c r="C30" s="880" t="str">
        <f>UPPER(REPORTS!$AA$1)</f>
        <v>NAT_F</v>
      </c>
      <c r="D30" s="880"/>
      <c r="E30" s="890"/>
      <c r="F30" s="880" t="str">
        <f>UPPER(REPORTS!$AA$2)</f>
        <v>ALT_F</v>
      </c>
      <c r="G30" s="880"/>
      <c r="H30" s="880"/>
      <c r="I30" s="880"/>
      <c r="J30" s="880"/>
    </row>
    <row r="31" spans="2:13">
      <c r="B31" s="889"/>
      <c r="C31" s="881"/>
      <c r="D31" s="881"/>
      <c r="E31" s="891"/>
      <c r="F31" s="881"/>
      <c r="G31" s="881"/>
      <c r="H31" s="881"/>
      <c r="I31" s="881"/>
      <c r="J31" s="881"/>
    </row>
    <row r="32" spans="2:13" ht="13.75" customHeight="1">
      <c r="C32" s="868" t="s">
        <v>491</v>
      </c>
      <c r="D32" s="870" t="s">
        <v>253</v>
      </c>
      <c r="E32" s="868" t="s">
        <v>492</v>
      </c>
      <c r="F32" s="873" t="s">
        <v>510</v>
      </c>
      <c r="G32" s="873" t="s">
        <v>511</v>
      </c>
      <c r="H32" s="875" t="s">
        <v>512</v>
      </c>
      <c r="I32" s="875" t="s">
        <v>513</v>
      </c>
      <c r="J32" s="875" t="s">
        <v>514</v>
      </c>
    </row>
    <row r="33" spans="2:10">
      <c r="C33" s="869"/>
      <c r="D33" s="869"/>
      <c r="E33" s="869"/>
      <c r="F33" s="874"/>
      <c r="G33" s="874"/>
      <c r="H33" s="876"/>
      <c r="I33" s="876"/>
      <c r="J33" s="876"/>
    </row>
    <row r="34" spans="2:10">
      <c r="C34" s="273">
        <f>_xlfn.PERCENTILE.EXC('Informe nº1'!$C14:$C614,0.9)</f>
        <v>116.43325805664063</v>
      </c>
      <c r="D34" s="273">
        <f>_xlfn.PERCENTILE.EXC('Informe nº1'!$C14:$C614,0.5)</f>
        <v>99.479499816894531</v>
      </c>
      <c r="E34" s="273">
        <f>_xlfn.PERCENTILE.EXC('Informe nº1'!$C14:$C614,0.1)</f>
        <v>78.89297180175781</v>
      </c>
      <c r="F34" s="274">
        <f>_xlfn.PERCENTILE.EXC('Informe nº1a'!C14:C614,0.5)</f>
        <v>53.614456176757813</v>
      </c>
      <c r="G34" s="328">
        <f>COUNTIF('Informe nº1a'!C12:C612,"&gt;="&amp;'Informe nº 8'!E34)-COUNTIF('Informe nº1a'!C12:C612,"&gt;"&amp;'Informe nº 8'!C34)</f>
        <v>0</v>
      </c>
      <c r="H34" s="328">
        <f>C38</f>
        <v>21</v>
      </c>
      <c r="I34" s="328">
        <f>(G34/H34)*100</f>
        <v>0</v>
      </c>
      <c r="J34" s="329" t="str">
        <f>IF(I34&gt;=50,"",IF(I34&lt;50,"MUY ALTERADA"))</f>
        <v>MUY ALTERADA</v>
      </c>
    </row>
    <row r="36" spans="2:10">
      <c r="B36" s="866" t="s">
        <v>515</v>
      </c>
      <c r="C36" s="866"/>
      <c r="D36" s="866"/>
    </row>
    <row r="37" spans="2:10">
      <c r="B37" s="282" t="str">
        <f>REPORTS!$AA$1</f>
        <v>Nat_F</v>
      </c>
      <c r="C37" s="282" t="str">
        <f>REPORTS!$AA$2</f>
        <v>Alt_F</v>
      </c>
      <c r="D37" s="282" t="s">
        <v>516</v>
      </c>
    </row>
    <row r="38" spans="2:10">
      <c r="B38" s="281">
        <v>21</v>
      </c>
      <c r="C38" s="281">
        <v>21</v>
      </c>
      <c r="D38" s="281">
        <v>0</v>
      </c>
    </row>
  </sheetData>
  <sheetProtection sheet="1" selectLockedCells="1"/>
  <mergeCells count="33">
    <mergeCell ref="B2:C2"/>
    <mergeCell ref="B3:C3"/>
    <mergeCell ref="A5:C5"/>
    <mergeCell ref="A6:C6"/>
    <mergeCell ref="A7:C7"/>
    <mergeCell ref="B30:B31"/>
    <mergeCell ref="C30:E31"/>
    <mergeCell ref="B12:B13"/>
    <mergeCell ref="C12:E13"/>
    <mergeCell ref="I32:I33"/>
    <mergeCell ref="J32:J33"/>
    <mergeCell ref="L11:M11"/>
    <mergeCell ref="F14:F15"/>
    <mergeCell ref="I14:I15"/>
    <mergeCell ref="F30:J31"/>
    <mergeCell ref="G14:G15"/>
    <mergeCell ref="F12:J13"/>
    <mergeCell ref="D2:J2"/>
    <mergeCell ref="D3:J3"/>
    <mergeCell ref="B36:D36"/>
    <mergeCell ref="B11:J11"/>
    <mergeCell ref="C32:C33"/>
    <mergeCell ref="D32:D33"/>
    <mergeCell ref="B14:B15"/>
    <mergeCell ref="H14:H15"/>
    <mergeCell ref="J14:J15"/>
    <mergeCell ref="E32:E33"/>
    <mergeCell ref="E14:E15"/>
    <mergeCell ref="D14:D15"/>
    <mergeCell ref="C14:C15"/>
    <mergeCell ref="F32:F33"/>
    <mergeCell ref="G32:G33"/>
    <mergeCell ref="H32:H33"/>
  </mergeCells>
  <phoneticPr fontId="24" type="noConversion"/>
  <conditionalFormatting sqref="J16:J27">
    <cfRule type="cellIs" dxfId="2" priority="1" operator="greaterThan">
      <formula>50</formula>
    </cfRule>
    <cfRule type="cellIs" dxfId="1" priority="2" operator="lessThan">
      <formula>50.00001</formula>
    </cfRule>
    <cfRule type="cellIs" dxfId="0" priority="3" operator="greaterThan">
      <formula>50</formula>
    </cfRule>
  </conditionalFormatting>
  <pageMargins left="0.76" right="0.3" top="0.49" bottom="0.2" header="0" footer="0"/>
  <pageSetup paperSize="9" scale="73" orientation="landscape" horizontalDpi="1200" verticalDpi="12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36"/>
  <dimension ref="A1:V50"/>
  <sheetViews>
    <sheetView showGridLines="0" zoomScale="75" zoomScaleNormal="75" workbookViewId="0">
      <selection activeCell="B2" sqref="B2:I2"/>
    </sheetView>
  </sheetViews>
  <sheetFormatPr baseColWidth="10" defaultRowHeight="12.5"/>
  <cols>
    <col min="1" max="1" width="2.81640625" customWidth="1"/>
    <col min="2" max="2" width="16.1796875" customWidth="1"/>
    <col min="3" max="3" width="35" customWidth="1"/>
    <col min="4" max="4" width="3.1796875" customWidth="1"/>
    <col min="5" max="5" width="8.1796875" customWidth="1"/>
    <col min="6" max="6" width="10.1796875" customWidth="1"/>
    <col min="7" max="7" width="7.81640625" customWidth="1"/>
    <col min="8" max="8" width="13.453125" customWidth="1"/>
    <col min="9" max="9" width="73.90625" customWidth="1"/>
  </cols>
  <sheetData>
    <row r="1" spans="1:22" ht="11.25" customHeight="1">
      <c r="A1" s="15"/>
      <c r="C1" s="1"/>
      <c r="D1" s="2"/>
      <c r="E1" s="2"/>
      <c r="F1" s="2"/>
      <c r="G1" s="2"/>
      <c r="H1" s="2"/>
      <c r="I1" s="2"/>
      <c r="J1" s="2"/>
      <c r="K1" s="2"/>
      <c r="L1" s="2"/>
      <c r="M1" s="3"/>
    </row>
    <row r="2" spans="1:22" ht="17.149999999999999" customHeight="1">
      <c r="B2" s="268" t="s">
        <v>274</v>
      </c>
      <c r="C2" s="864" t="str">
        <f>CONCATENATE(UPPER(REPORTS!$AB$2)," INDICATOR IAH-MMA FOR HIGHLY ALTERED WATER BODY")</f>
        <v>ALTERED FLOW INDICATOR IAH-MMA FOR HIGHLY ALTERED WATER BODY</v>
      </c>
      <c r="D2" s="864"/>
      <c r="E2" s="864"/>
      <c r="F2" s="864"/>
      <c r="G2" s="864"/>
      <c r="H2" s="864"/>
      <c r="I2" s="864"/>
      <c r="J2" s="18"/>
      <c r="K2" s="18"/>
      <c r="L2" s="18"/>
      <c r="M2" s="18"/>
      <c r="N2" s="18"/>
      <c r="O2" s="18"/>
      <c r="P2" s="18"/>
      <c r="Q2" s="18"/>
    </row>
    <row r="3" spans="1:22" ht="19.5" customHeight="1">
      <c r="B3" s="268" t="s">
        <v>517</v>
      </c>
      <c r="C3" s="865" t="s">
        <v>489</v>
      </c>
      <c r="D3" s="865"/>
      <c r="E3" s="865"/>
      <c r="F3" s="865"/>
      <c r="G3" s="865"/>
      <c r="H3" s="865"/>
      <c r="I3" s="865"/>
      <c r="J3" s="19"/>
      <c r="K3" s="19"/>
      <c r="L3" s="19"/>
      <c r="M3" s="19"/>
      <c r="N3" s="19"/>
      <c r="O3" s="19"/>
      <c r="P3" s="19"/>
      <c r="Q3" s="19"/>
    </row>
    <row r="4" spans="1:22" ht="17.149999999999999" customHeight="1">
      <c r="C4" s="1"/>
      <c r="D4" s="2"/>
      <c r="E4" s="2"/>
      <c r="F4" s="2"/>
      <c r="G4" s="2"/>
      <c r="H4" s="2"/>
      <c r="I4" s="2"/>
      <c r="J4" s="2"/>
      <c r="K4" s="2"/>
      <c r="L4" s="2"/>
      <c r="M4" s="3"/>
    </row>
    <row r="5" spans="1:22" ht="17.149999999999999" customHeight="1">
      <c r="A5" s="556" t="s">
        <v>1</v>
      </c>
      <c r="B5" s="556"/>
      <c r="C5" s="556"/>
      <c r="D5" s="486" t="str">
        <f>REPORTS!E7</f>
        <v>Natural Flow (Nat_F)</v>
      </c>
      <c r="F5" s="492"/>
      <c r="G5" s="492"/>
      <c r="H5" s="492"/>
      <c r="I5" s="492"/>
    </row>
    <row r="6" spans="1:22" ht="17.149999999999999" customHeight="1">
      <c r="A6" s="556" t="s">
        <v>2</v>
      </c>
      <c r="B6" s="556"/>
      <c r="C6" s="556"/>
      <c r="D6" s="486" t="str">
        <f>REPORTS!E8</f>
        <v>Altered Flow (Alt_F)</v>
      </c>
      <c r="F6" s="492"/>
      <c r="G6" s="492"/>
      <c r="H6" s="492"/>
      <c r="I6" s="492"/>
      <c r="M6" s="34"/>
      <c r="N6" s="35" t="s">
        <v>518</v>
      </c>
      <c r="O6" s="34"/>
      <c r="P6" s="34"/>
      <c r="Q6" s="34"/>
      <c r="R6" s="34"/>
      <c r="S6" s="34"/>
      <c r="T6" s="35" t="s">
        <v>519</v>
      </c>
      <c r="U6" s="34"/>
      <c r="V6" s="34"/>
    </row>
    <row r="7" spans="1:22" ht="17.149999999999999" customHeight="1">
      <c r="A7" s="556" t="s">
        <v>3</v>
      </c>
      <c r="B7" s="556"/>
      <c r="C7" s="556"/>
      <c r="D7" s="486"/>
      <c r="E7" s="492" t="s">
        <v>4</v>
      </c>
      <c r="F7" s="492"/>
      <c r="G7" s="492"/>
      <c r="H7" s="492"/>
      <c r="I7" s="492"/>
      <c r="M7" s="34"/>
      <c r="N7" s="35" t="s">
        <v>520</v>
      </c>
      <c r="O7" s="34"/>
      <c r="P7" s="35" t="s">
        <v>521</v>
      </c>
      <c r="Q7" s="34"/>
      <c r="R7" s="34"/>
      <c r="S7" s="34"/>
      <c r="T7" s="35" t="s">
        <v>520</v>
      </c>
      <c r="U7" s="34"/>
      <c r="V7" s="34"/>
    </row>
    <row r="8" spans="1:22" ht="17.149999999999999" customHeight="1">
      <c r="B8" s="478"/>
      <c r="C8" s="478"/>
      <c r="D8" s="494"/>
      <c r="E8" s="486"/>
      <c r="F8" s="486"/>
      <c r="G8" s="486"/>
      <c r="H8" s="486"/>
      <c r="I8" s="486"/>
      <c r="M8" s="34"/>
      <c r="N8" s="35"/>
      <c r="O8" s="34"/>
      <c r="P8" s="35"/>
      <c r="Q8" s="34"/>
      <c r="R8" s="34"/>
      <c r="S8" s="34"/>
      <c r="T8" s="35"/>
      <c r="U8" s="34"/>
      <c r="V8" s="34"/>
    </row>
    <row r="9" spans="1:22" ht="17.149999999999999" customHeight="1">
      <c r="B9" s="478"/>
      <c r="C9" s="478"/>
      <c r="D9" s="486"/>
      <c r="E9" s="486"/>
      <c r="F9" s="486"/>
      <c r="G9" s="486"/>
      <c r="H9" s="486"/>
      <c r="I9" s="486"/>
      <c r="M9" s="34"/>
      <c r="N9" s="35"/>
      <c r="O9" s="34"/>
      <c r="P9" s="35"/>
      <c r="Q9" s="34"/>
      <c r="R9" s="34"/>
      <c r="S9" s="34"/>
      <c r="T9" s="35"/>
      <c r="U9" s="34"/>
      <c r="V9" s="34"/>
    </row>
    <row r="10" spans="1:22" ht="17.149999999999999" customHeight="1">
      <c r="C10" s="1"/>
      <c r="D10" s="2"/>
      <c r="E10" s="2"/>
      <c r="F10" s="2"/>
      <c r="G10" s="2"/>
      <c r="H10" s="2"/>
      <c r="I10" s="2"/>
      <c r="J10" s="23"/>
      <c r="K10" s="23"/>
      <c r="L10" s="23"/>
      <c r="M10" s="35"/>
      <c r="N10" s="35"/>
      <c r="O10" s="34" t="str">
        <f>'Informe nº 7d'!P35</f>
        <v>IAH14</v>
      </c>
      <c r="P10" s="34" t="str">
        <f>'Informe nº 7d'!T35</f>
        <v>IAH21</v>
      </c>
      <c r="Q10" s="34" t="str">
        <f>O10</f>
        <v>IAH14</v>
      </c>
      <c r="R10" s="34" t="str">
        <f>P10</f>
        <v>IAH21</v>
      </c>
      <c r="S10" s="34"/>
      <c r="T10" s="34"/>
      <c r="U10" s="35" t="s">
        <v>522</v>
      </c>
      <c r="V10" s="35" t="s">
        <v>521</v>
      </c>
    </row>
    <row r="11" spans="1:22" ht="13">
      <c r="B11" s="904" t="s">
        <v>285</v>
      </c>
      <c r="C11" s="905"/>
      <c r="D11" s="905"/>
      <c r="E11" s="905"/>
      <c r="F11" s="905"/>
      <c r="G11" s="905"/>
      <c r="H11" s="3"/>
      <c r="M11" s="34"/>
      <c r="N11" s="34">
        <v>1</v>
      </c>
      <c r="O11" s="36">
        <f>'Informe nº 7d'!P36</f>
        <v>0.40952378511428833</v>
      </c>
      <c r="P11" s="36">
        <f>'Informe nº 7d'!T36</f>
        <v>1</v>
      </c>
      <c r="Q11" s="34">
        <f>IF(O11&lt;=0.5,1,0)</f>
        <v>1</v>
      </c>
      <c r="R11" s="34">
        <f>IF(P11&lt;=0.5,1,0)</f>
        <v>0</v>
      </c>
      <c r="S11" s="34"/>
      <c r="T11" s="34">
        <v>1</v>
      </c>
      <c r="U11" s="36">
        <f>'Informe nº 7c'!F29</f>
        <v>0.7583305835723877</v>
      </c>
      <c r="V11" s="34">
        <f>IF(U11&lt;=0.5,1,0)</f>
        <v>0</v>
      </c>
    </row>
    <row r="12" spans="1:22" ht="13">
      <c r="B12" s="511" t="s">
        <v>411</v>
      </c>
      <c r="C12" s="511" t="s">
        <v>523</v>
      </c>
      <c r="D12" s="902" t="s">
        <v>524</v>
      </c>
      <c r="E12" s="903"/>
      <c r="F12" s="902" t="s">
        <v>525</v>
      </c>
      <c r="G12" s="903"/>
      <c r="H12" s="27"/>
      <c r="I12" s="27"/>
      <c r="J12" s="27"/>
      <c r="M12" s="34"/>
      <c r="N12" s="34">
        <v>2</v>
      </c>
      <c r="O12" s="36">
        <f>'Informe nº 7d'!P37</f>
        <v>0.53333336114883423</v>
      </c>
      <c r="P12" s="36">
        <f>'Informe nº 7d'!T37</f>
        <v>1</v>
      </c>
      <c r="Q12" s="34">
        <f t="shared" ref="Q12:R22" si="0">IF(O12&lt;=0.5,1,0)</f>
        <v>0</v>
      </c>
      <c r="R12" s="34">
        <f t="shared" si="0"/>
        <v>0</v>
      </c>
      <c r="S12" s="34"/>
      <c r="T12" s="34">
        <v>2</v>
      </c>
      <c r="U12" s="36">
        <f>'Informe nº 7c'!F30</f>
        <v>0.98561954498291016</v>
      </c>
      <c r="V12" s="34">
        <f t="shared" ref="V12:V22" si="1">IF(U12&lt;=0.5,1,0)</f>
        <v>0</v>
      </c>
    </row>
    <row r="13" spans="1:22">
      <c r="B13" s="292" t="s">
        <v>419</v>
      </c>
      <c r="C13" s="283" t="s">
        <v>526</v>
      </c>
      <c r="D13" s="900">
        <f>'Informe nº 7c'!D17</f>
        <v>0.55761575698852539</v>
      </c>
      <c r="E13" s="900"/>
      <c r="F13" s="901" t="str">
        <f>IF(D13&lt;=0.5,"YES","NO")</f>
        <v>NO</v>
      </c>
      <c r="G13" s="901"/>
      <c r="H13" s="27"/>
      <c r="I13" s="27"/>
      <c r="J13" s="27"/>
      <c r="M13" s="34"/>
      <c r="N13" s="34">
        <v>3</v>
      </c>
      <c r="O13" s="36">
        <f>'Informe nº 7d'!P38</f>
        <v>0.9523809552192688</v>
      </c>
      <c r="P13" s="36">
        <f>'Informe nº 7d'!T38</f>
        <v>1</v>
      </c>
      <c r="Q13" s="34">
        <f t="shared" si="0"/>
        <v>0</v>
      </c>
      <c r="R13" s="34">
        <f t="shared" si="0"/>
        <v>0</v>
      </c>
      <c r="S13" s="34"/>
      <c r="T13" s="34">
        <v>3</v>
      </c>
      <c r="U13" s="36">
        <f>'Informe nº 7c'!F31</f>
        <v>0.79169726371765137</v>
      </c>
      <c r="V13" s="34">
        <f t="shared" si="1"/>
        <v>0</v>
      </c>
    </row>
    <row r="14" spans="1:22">
      <c r="B14" s="291" t="s">
        <v>527</v>
      </c>
      <c r="C14" s="283" t="s">
        <v>528</v>
      </c>
      <c r="D14" s="288">
        <f>V23</f>
        <v>9</v>
      </c>
      <c r="E14" s="285" t="s">
        <v>529</v>
      </c>
      <c r="F14" s="289" t="str">
        <f>V24</f>
        <v>YES</v>
      </c>
      <c r="G14" s="287" t="s">
        <v>530</v>
      </c>
      <c r="H14" s="27"/>
      <c r="I14" s="27"/>
      <c r="J14" s="27"/>
      <c r="M14" s="34"/>
      <c r="N14" s="34">
        <v>4</v>
      </c>
      <c r="O14" s="36">
        <f>'Informe nº 7d'!P39</f>
        <v>0.64761906862258911</v>
      </c>
      <c r="P14" s="36">
        <f>'Informe nº 7d'!T39</f>
        <v>1</v>
      </c>
      <c r="Q14" s="34">
        <f t="shared" si="0"/>
        <v>0</v>
      </c>
      <c r="R14" s="34">
        <f t="shared" si="0"/>
        <v>0</v>
      </c>
      <c r="S14" s="34"/>
      <c r="T14" s="34">
        <v>4</v>
      </c>
      <c r="U14" s="36">
        <f>'Informe nº 7c'!F32</f>
        <v>0.48390671610832214</v>
      </c>
      <c r="V14" s="34">
        <f t="shared" si="1"/>
        <v>1</v>
      </c>
    </row>
    <row r="15" spans="1:22">
      <c r="B15" s="291" t="s">
        <v>424</v>
      </c>
      <c r="C15" s="513" t="s">
        <v>425</v>
      </c>
      <c r="D15" s="898">
        <f>'Informe nº 7c'!D18</f>
        <v>0.47033208608627319</v>
      </c>
      <c r="E15" s="898"/>
      <c r="F15" s="899" t="str">
        <f t="shared" ref="F15:F20" si="2">IF(D15&lt;=0.5,"YES","NO")</f>
        <v>YES</v>
      </c>
      <c r="G15" s="899"/>
      <c r="H15" s="27"/>
      <c r="I15" s="27"/>
      <c r="J15" s="27"/>
      <c r="M15" s="34"/>
      <c r="N15" s="34">
        <v>5</v>
      </c>
      <c r="O15" s="36">
        <f>'Informe nº 7d'!P40</f>
        <v>0.25714287161827087</v>
      </c>
      <c r="P15" s="36">
        <f>'Informe nº 7d'!T40</f>
        <v>1</v>
      </c>
      <c r="Q15" s="34">
        <f t="shared" si="0"/>
        <v>1</v>
      </c>
      <c r="R15" s="34">
        <f t="shared" si="0"/>
        <v>0</v>
      </c>
      <c r="S15" s="34"/>
      <c r="T15" s="34">
        <v>5</v>
      </c>
      <c r="U15" s="36">
        <f>'Informe nº 7c'!F33</f>
        <v>0.23092541098594666</v>
      </c>
      <c r="V15" s="34">
        <f t="shared" si="1"/>
        <v>1</v>
      </c>
    </row>
    <row r="16" spans="1:22">
      <c r="B16" s="291" t="s">
        <v>531</v>
      </c>
      <c r="C16" s="513" t="s">
        <v>432</v>
      </c>
      <c r="D16" s="898">
        <f>'Informe nº 7c'!D20</f>
        <v>0.55169570446014404</v>
      </c>
      <c r="E16" s="898"/>
      <c r="F16" s="899" t="str">
        <f t="shared" si="2"/>
        <v>NO</v>
      </c>
      <c r="G16" s="899"/>
      <c r="H16" s="27"/>
      <c r="I16" s="27"/>
      <c r="J16" s="27"/>
      <c r="M16" s="34"/>
      <c r="N16" s="34">
        <v>6</v>
      </c>
      <c r="O16" s="36">
        <f>'Informe nº 7d'!P41</f>
        <v>1</v>
      </c>
      <c r="P16" s="36">
        <f>'Informe nº 7d'!T41</f>
        <v>4.7619055956602097E-2</v>
      </c>
      <c r="Q16" s="34">
        <f t="shared" si="0"/>
        <v>0</v>
      </c>
      <c r="R16" s="34">
        <f t="shared" si="0"/>
        <v>1</v>
      </c>
      <c r="S16" s="34"/>
      <c r="T16" s="34">
        <v>6</v>
      </c>
      <c r="U16" s="36">
        <f>'Informe nº 7c'!F34</f>
        <v>0.13467922806739807</v>
      </c>
      <c r="V16" s="34">
        <f t="shared" si="1"/>
        <v>1</v>
      </c>
    </row>
    <row r="17" spans="2:22">
      <c r="B17" s="291" t="s">
        <v>532</v>
      </c>
      <c r="C17" s="513" t="s">
        <v>434</v>
      </c>
      <c r="D17" s="898">
        <f>'Informe nº 7c'!D21</f>
        <v>0.78627479076385498</v>
      </c>
      <c r="E17" s="898"/>
      <c r="F17" s="899" t="str">
        <f t="shared" si="2"/>
        <v>NO</v>
      </c>
      <c r="G17" s="899"/>
      <c r="H17" s="27"/>
      <c r="I17" s="27"/>
      <c r="J17" s="27"/>
      <c r="M17" s="34"/>
      <c r="N17" s="34">
        <v>7</v>
      </c>
      <c r="O17" s="36">
        <f>'Informe nº 7d'!P42</f>
        <v>1</v>
      </c>
      <c r="P17" s="36">
        <f>'Informe nº 7d'!T42</f>
        <v>0</v>
      </c>
      <c r="Q17" s="34">
        <f t="shared" si="0"/>
        <v>0</v>
      </c>
      <c r="R17" s="34">
        <f t="shared" si="0"/>
        <v>1</v>
      </c>
      <c r="S17" s="34"/>
      <c r="T17" s="34">
        <v>7</v>
      </c>
      <c r="U17" s="36">
        <f>'Informe nº 7c'!F35</f>
        <v>0.26545462012290955</v>
      </c>
      <c r="V17" s="34">
        <f t="shared" si="1"/>
        <v>1</v>
      </c>
    </row>
    <row r="18" spans="2:22">
      <c r="B18" s="291" t="s">
        <v>453</v>
      </c>
      <c r="C18" s="513" t="s">
        <v>454</v>
      </c>
      <c r="D18" s="898">
        <f>'Informe nº 7d'!D18</f>
        <v>0.91661876440048218</v>
      </c>
      <c r="E18" s="898"/>
      <c r="F18" s="899" t="str">
        <f t="shared" si="2"/>
        <v>NO</v>
      </c>
      <c r="G18" s="899"/>
      <c r="H18" s="27"/>
      <c r="I18" s="27"/>
      <c r="J18" s="27"/>
      <c r="M18" s="34"/>
      <c r="N18" s="34">
        <v>8</v>
      </c>
      <c r="O18" s="36">
        <f>'Informe nº 7d'!P43</f>
        <v>1</v>
      </c>
      <c r="P18" s="36">
        <f>'Informe nº 7d'!T43</f>
        <v>0</v>
      </c>
      <c r="Q18" s="34">
        <f t="shared" si="0"/>
        <v>0</v>
      </c>
      <c r="R18" s="34">
        <f t="shared" si="0"/>
        <v>1</v>
      </c>
      <c r="S18" s="34"/>
      <c r="T18" s="34">
        <v>8</v>
      </c>
      <c r="U18" s="36">
        <f>'Informe nº 7c'!F36</f>
        <v>0.39351627230644226</v>
      </c>
      <c r="V18" s="34">
        <f t="shared" si="1"/>
        <v>1</v>
      </c>
    </row>
    <row r="19" spans="2:22">
      <c r="B19" s="291" t="s">
        <v>457</v>
      </c>
      <c r="C19" s="513" t="s">
        <v>458</v>
      </c>
      <c r="D19" s="898">
        <f>'Informe nº 7d'!D20</f>
        <v>0.76355481147766113</v>
      </c>
      <c r="E19" s="898"/>
      <c r="F19" s="899" t="str">
        <f t="shared" si="2"/>
        <v>NO</v>
      </c>
      <c r="G19" s="899"/>
      <c r="H19" s="27"/>
      <c r="I19" s="27"/>
      <c r="J19" s="27"/>
      <c r="M19" s="34"/>
      <c r="N19" s="34">
        <v>9</v>
      </c>
      <c r="O19" s="36">
        <f>'Informe nº 7d'!P44</f>
        <v>1</v>
      </c>
      <c r="P19" s="36">
        <f>'Informe nº 7d'!T44</f>
        <v>0</v>
      </c>
      <c r="Q19" s="34">
        <f t="shared" si="0"/>
        <v>0</v>
      </c>
      <c r="R19" s="34">
        <f t="shared" si="0"/>
        <v>1</v>
      </c>
      <c r="S19" s="34"/>
      <c r="T19" s="34">
        <v>9</v>
      </c>
      <c r="U19" s="36">
        <f>'Informe nº 7c'!F37</f>
        <v>0.29920622706413269</v>
      </c>
      <c r="V19" s="34">
        <f t="shared" si="1"/>
        <v>1</v>
      </c>
    </row>
    <row r="20" spans="2:22">
      <c r="B20" s="291" t="s">
        <v>464</v>
      </c>
      <c r="C20" s="513" t="s">
        <v>465</v>
      </c>
      <c r="D20" s="898">
        <f>'Informe nº 7d'!D23</f>
        <v>0.28372091054916382</v>
      </c>
      <c r="E20" s="898"/>
      <c r="F20" s="899" t="str">
        <f t="shared" si="2"/>
        <v>YES</v>
      </c>
      <c r="G20" s="899"/>
      <c r="H20" s="27"/>
      <c r="I20" s="27"/>
      <c r="J20" s="27"/>
      <c r="M20" s="34"/>
      <c r="N20" s="34">
        <v>10</v>
      </c>
      <c r="O20" s="36">
        <f>'Informe nº 7d'!P45</f>
        <v>1</v>
      </c>
      <c r="P20" s="36">
        <f>'Informe nº 7d'!T45</f>
        <v>0</v>
      </c>
      <c r="Q20" s="34">
        <f t="shared" si="0"/>
        <v>0</v>
      </c>
      <c r="R20" s="34">
        <f t="shared" si="0"/>
        <v>1</v>
      </c>
      <c r="S20" s="34"/>
      <c r="T20" s="34">
        <v>10</v>
      </c>
      <c r="U20" s="36">
        <f>'Informe nº 7c'!F38</f>
        <v>0.34487864375114441</v>
      </c>
      <c r="V20" s="34">
        <f t="shared" si="1"/>
        <v>1</v>
      </c>
    </row>
    <row r="21" spans="2:22">
      <c r="B21" s="291" t="s">
        <v>533</v>
      </c>
      <c r="C21" s="513" t="s">
        <v>534</v>
      </c>
      <c r="D21" s="290">
        <f>Q23</f>
        <v>3</v>
      </c>
      <c r="E21" s="285" t="s">
        <v>529</v>
      </c>
      <c r="F21" s="286" t="str">
        <f>Q24</f>
        <v>YES</v>
      </c>
      <c r="G21" s="287" t="s">
        <v>530</v>
      </c>
      <c r="H21" s="27"/>
      <c r="I21" s="27"/>
      <c r="J21" s="27"/>
      <c r="M21" s="34"/>
      <c r="N21" s="34">
        <v>11</v>
      </c>
      <c r="O21" s="36">
        <f>'Informe nº 7d'!P46</f>
        <v>0.83809524774551392</v>
      </c>
      <c r="P21" s="36">
        <f>'Informe nº 7d'!T46</f>
        <v>0.97142857313156128</v>
      </c>
      <c r="Q21" s="34">
        <f t="shared" si="0"/>
        <v>0</v>
      </c>
      <c r="R21" s="34">
        <f t="shared" si="0"/>
        <v>0</v>
      </c>
      <c r="S21" s="34"/>
      <c r="T21" s="34">
        <v>11</v>
      </c>
      <c r="U21" s="36">
        <f>'Informe nº 7c'!F39</f>
        <v>0.48768830299377441</v>
      </c>
      <c r="V21" s="34">
        <f t="shared" si="1"/>
        <v>1</v>
      </c>
    </row>
    <row r="22" spans="2:22">
      <c r="B22" s="291" t="s">
        <v>471</v>
      </c>
      <c r="C22" s="513" t="s">
        <v>472</v>
      </c>
      <c r="D22" s="898">
        <f>'Informe nº 7d'!D26</f>
        <v>0.38288885354995728</v>
      </c>
      <c r="E22" s="898"/>
      <c r="F22" s="899" t="str">
        <f>IF(D22&lt;=0.5,"YES","NO")</f>
        <v>YES</v>
      </c>
      <c r="G22" s="899"/>
      <c r="H22" s="27"/>
      <c r="I22" s="27"/>
      <c r="J22" s="27"/>
      <c r="M22" s="34"/>
      <c r="N22" s="34">
        <v>12</v>
      </c>
      <c r="O22" s="36">
        <f>'Informe nº 7d'!P47</f>
        <v>0</v>
      </c>
      <c r="P22" s="36">
        <f>'Informe nº 7d'!T47</f>
        <v>1</v>
      </c>
      <c r="Q22" s="34">
        <f t="shared" si="0"/>
        <v>1</v>
      </c>
      <c r="R22" s="34">
        <f t="shared" si="0"/>
        <v>0</v>
      </c>
      <c r="S22" s="34"/>
      <c r="T22" s="34">
        <v>12</v>
      </c>
      <c r="U22" s="36">
        <f>'Informe nº 7c'!F40</f>
        <v>0.46808207035064697</v>
      </c>
      <c r="V22" s="34">
        <f t="shared" si="1"/>
        <v>1</v>
      </c>
    </row>
    <row r="23" spans="2:22" ht="13">
      <c r="B23" s="291" t="s">
        <v>477</v>
      </c>
      <c r="C23" s="513" t="s">
        <v>478</v>
      </c>
      <c r="D23" s="898">
        <f>'Informe nº 7d'!D29</f>
        <v>0.11493073403835297</v>
      </c>
      <c r="E23" s="898"/>
      <c r="F23" s="899" t="str">
        <f>IF(D23&lt;=0.5,"YES","NO")</f>
        <v>YES</v>
      </c>
      <c r="G23" s="899"/>
      <c r="H23" s="27"/>
      <c r="I23" s="27"/>
      <c r="J23" s="27"/>
      <c r="M23" s="34"/>
      <c r="N23" s="34"/>
      <c r="O23" s="34"/>
      <c r="P23" s="35" t="s">
        <v>535</v>
      </c>
      <c r="Q23" s="37">
        <f>SUM(Q11:Q22)</f>
        <v>3</v>
      </c>
      <c r="R23" s="37">
        <f>SUM(R11:R22)</f>
        <v>5</v>
      </c>
      <c r="S23" s="34"/>
      <c r="T23" s="34"/>
      <c r="U23" s="35" t="s">
        <v>535</v>
      </c>
      <c r="V23" s="39">
        <f>SUM(V11:V22)</f>
        <v>9</v>
      </c>
    </row>
    <row r="24" spans="2:22">
      <c r="B24" s="291" t="s">
        <v>536</v>
      </c>
      <c r="C24" s="512" t="s">
        <v>537</v>
      </c>
      <c r="D24" s="284">
        <f>R23</f>
        <v>5</v>
      </c>
      <c r="E24" s="285" t="s">
        <v>529</v>
      </c>
      <c r="F24" s="286" t="str">
        <f>R24</f>
        <v>YES</v>
      </c>
      <c r="G24" s="287" t="s">
        <v>530</v>
      </c>
      <c r="H24" s="27"/>
      <c r="I24" s="27"/>
      <c r="M24" s="34"/>
      <c r="N24" s="34"/>
      <c r="O24" s="34"/>
      <c r="P24" s="38" t="s">
        <v>538</v>
      </c>
      <c r="Q24" s="37" t="str">
        <f>IF(Q23&gt;=3,"YES","NO")</f>
        <v>YES</v>
      </c>
      <c r="R24" s="37" t="str">
        <f>IF(R23&gt;=3,"YES","NO")</f>
        <v>YES</v>
      </c>
      <c r="S24" s="34"/>
      <c r="T24" s="34"/>
      <c r="U24" s="38" t="s">
        <v>538</v>
      </c>
      <c r="V24" s="37" t="str">
        <f>IF(V23&gt;=3,"YES","NO")</f>
        <v>YES</v>
      </c>
    </row>
    <row r="25" spans="2:22" ht="13">
      <c r="B25" s="3"/>
      <c r="C25" s="3"/>
      <c r="D25" s="11"/>
      <c r="E25" s="32" t="s">
        <v>539</v>
      </c>
      <c r="F25" s="11"/>
      <c r="H25" s="27"/>
      <c r="I25" s="27"/>
      <c r="M25" s="34"/>
      <c r="N25" s="34"/>
      <c r="O25" s="34"/>
      <c r="P25" s="35"/>
      <c r="Q25" s="34"/>
      <c r="R25" s="34"/>
      <c r="S25" s="34"/>
      <c r="T25" s="34"/>
      <c r="U25" s="34"/>
      <c r="V25" s="34"/>
    </row>
    <row r="26" spans="2:22" ht="13">
      <c r="E26" s="32" t="s">
        <v>540</v>
      </c>
      <c r="M26" s="34"/>
      <c r="N26" s="35" t="s">
        <v>541</v>
      </c>
      <c r="O26" s="34"/>
      <c r="P26" s="34"/>
      <c r="Q26" s="34"/>
      <c r="R26" s="34"/>
      <c r="S26" s="34"/>
      <c r="T26" s="34"/>
      <c r="U26" s="34"/>
      <c r="V26" s="34"/>
    </row>
    <row r="27" spans="2:22" ht="13">
      <c r="C27" s="28"/>
      <c r="D27" s="28" t="s">
        <v>542</v>
      </c>
      <c r="E27" s="14">
        <f>COUNTIF(F13:F24,"YES")</f>
        <v>7</v>
      </c>
      <c r="M27" s="34"/>
      <c r="N27" s="34"/>
      <c r="O27" s="34"/>
      <c r="P27" s="34"/>
      <c r="Q27" s="34"/>
      <c r="R27" s="34"/>
      <c r="S27" s="34"/>
      <c r="T27" s="34"/>
      <c r="U27" s="34"/>
      <c r="V27" s="34"/>
    </row>
    <row r="28" spans="2:22">
      <c r="M28" s="34"/>
      <c r="N28" s="34"/>
      <c r="O28" s="34"/>
      <c r="P28" s="34"/>
      <c r="Q28" s="34"/>
      <c r="R28" s="34"/>
      <c r="S28" s="34"/>
      <c r="T28" s="34"/>
      <c r="U28" s="34"/>
      <c r="V28" s="34"/>
    </row>
    <row r="29" spans="2:22" ht="15.5">
      <c r="C29" s="29"/>
      <c r="D29" s="28" t="s">
        <v>543</v>
      </c>
      <c r="E29" s="14" t="str">
        <f>IF(E27=6,"C1a","C1")</f>
        <v>C1</v>
      </c>
      <c r="M29" s="34"/>
      <c r="N29" s="34"/>
      <c r="O29" s="34"/>
      <c r="P29" s="34"/>
      <c r="Q29" s="34"/>
      <c r="R29" s="34"/>
      <c r="S29" s="34"/>
      <c r="T29" s="34"/>
      <c r="U29" s="34"/>
      <c r="V29" s="34"/>
    </row>
    <row r="30" spans="2:22" ht="18">
      <c r="C30" s="26"/>
      <c r="D30" s="30" t="s">
        <v>544</v>
      </c>
      <c r="E30" s="31" t="str">
        <f>IF(E27&gt;6,"HIGHLY ALTERED WATER BODY",IF(E27&lt;6,"UNCLASSIFIED",O50))</f>
        <v>HIGHLY ALTERED WATER BODY</v>
      </c>
      <c r="M30" s="34"/>
      <c r="N30" s="34"/>
      <c r="O30" s="34"/>
      <c r="P30" s="35" t="s">
        <v>545</v>
      </c>
      <c r="Q30" s="34"/>
      <c r="R30" s="34"/>
      <c r="S30" s="34"/>
      <c r="T30" s="34"/>
      <c r="U30" s="34"/>
      <c r="V30" s="34"/>
    </row>
    <row r="31" spans="2:22">
      <c r="M31" s="34"/>
      <c r="N31" s="34"/>
      <c r="O31" s="34"/>
      <c r="P31" s="34"/>
      <c r="Q31" s="34"/>
      <c r="R31" s="34"/>
      <c r="S31" s="34"/>
      <c r="T31" s="34"/>
      <c r="U31" s="34"/>
      <c r="V31" s="34"/>
    </row>
    <row r="32" spans="2:22" ht="13">
      <c r="M32" s="34"/>
      <c r="N32" s="34"/>
      <c r="O32" s="34"/>
      <c r="P32" s="35" t="s">
        <v>521</v>
      </c>
      <c r="Q32" s="34"/>
      <c r="R32" s="34"/>
      <c r="S32" s="34"/>
      <c r="T32" s="34"/>
      <c r="U32" s="34"/>
      <c r="V32" s="34"/>
    </row>
    <row r="33" spans="13:22">
      <c r="M33" s="35" t="s">
        <v>546</v>
      </c>
      <c r="N33" s="35" t="s">
        <v>419</v>
      </c>
      <c r="O33" s="36">
        <f>D13</f>
        <v>0.55761575698852539</v>
      </c>
      <c r="P33" s="34"/>
      <c r="Q33" s="34"/>
      <c r="R33" s="34"/>
      <c r="S33" s="34"/>
      <c r="T33" s="34"/>
      <c r="U33" s="34"/>
      <c r="V33" s="34"/>
    </row>
    <row r="34" spans="13:22">
      <c r="M34" s="34"/>
      <c r="N34" s="35" t="s">
        <v>421</v>
      </c>
      <c r="O34" s="36">
        <f>'Informe nº 7c'!D17</f>
        <v>0.55761575698852539</v>
      </c>
      <c r="P34" s="34"/>
      <c r="Q34" s="34"/>
      <c r="R34" s="34"/>
      <c r="S34" s="34"/>
      <c r="T34" s="34"/>
      <c r="U34" s="34"/>
      <c r="V34" s="34"/>
    </row>
    <row r="35" spans="13:22">
      <c r="M35" s="34"/>
      <c r="N35" s="35" t="s">
        <v>453</v>
      </c>
      <c r="O35" s="36">
        <f>D18</f>
        <v>0.91661876440048218</v>
      </c>
      <c r="P35" s="34"/>
      <c r="Q35" s="34"/>
      <c r="R35" s="34"/>
      <c r="S35" s="34"/>
      <c r="T35" s="34"/>
      <c r="U35" s="34"/>
      <c r="V35" s="34"/>
    </row>
    <row r="36" spans="13:22">
      <c r="M36" s="34"/>
      <c r="N36" s="35" t="s">
        <v>457</v>
      </c>
      <c r="O36" s="36">
        <f>D19</f>
        <v>0.76355481147766113</v>
      </c>
      <c r="P36" s="34"/>
      <c r="Q36" s="34"/>
      <c r="R36" s="34"/>
      <c r="S36" s="34"/>
      <c r="T36" s="34"/>
      <c r="U36" s="34"/>
      <c r="V36" s="34"/>
    </row>
    <row r="37" spans="13:22">
      <c r="M37" s="34"/>
      <c r="N37" s="35" t="s">
        <v>471</v>
      </c>
      <c r="O37" s="36">
        <f>D22</f>
        <v>0.38288885354995728</v>
      </c>
      <c r="P37" s="34"/>
      <c r="Q37" s="34"/>
      <c r="R37" s="34"/>
      <c r="S37" s="34"/>
      <c r="T37" s="34"/>
      <c r="U37" s="34"/>
      <c r="V37" s="34"/>
    </row>
    <row r="38" spans="13:22">
      <c r="M38" s="35"/>
      <c r="N38" s="35" t="s">
        <v>547</v>
      </c>
      <c r="O38" s="36">
        <f>AVERAGE(O33:O37)</f>
        <v>0.63565878868103032</v>
      </c>
      <c r="P38" s="34">
        <f>IF(O38&lt;=0.5,1,0)</f>
        <v>0</v>
      </c>
      <c r="Q38" s="34"/>
      <c r="R38" s="34"/>
      <c r="S38" s="34"/>
      <c r="T38" s="34"/>
      <c r="U38" s="34"/>
      <c r="V38" s="34"/>
    </row>
    <row r="39" spans="13:22">
      <c r="M39" s="35" t="s">
        <v>548</v>
      </c>
      <c r="N39" s="35" t="s">
        <v>424</v>
      </c>
      <c r="O39" s="36">
        <f>D15</f>
        <v>0.47033208608627319</v>
      </c>
      <c r="P39" s="34"/>
      <c r="Q39" s="34"/>
      <c r="R39" s="34"/>
      <c r="S39" s="34"/>
      <c r="T39" s="34"/>
      <c r="U39" s="34"/>
      <c r="V39" s="34"/>
    </row>
    <row r="40" spans="13:22">
      <c r="M40" s="34"/>
      <c r="N40" s="35" t="s">
        <v>464</v>
      </c>
      <c r="O40" s="36">
        <f>D20</f>
        <v>0.28372091054916382</v>
      </c>
      <c r="P40" s="34"/>
      <c r="Q40" s="34"/>
      <c r="R40" s="34"/>
      <c r="S40" s="34"/>
      <c r="T40" s="34"/>
      <c r="U40" s="34"/>
      <c r="V40" s="34"/>
    </row>
    <row r="41" spans="13:22">
      <c r="M41" s="34"/>
      <c r="N41" s="35" t="s">
        <v>477</v>
      </c>
      <c r="O41" s="36">
        <f>D23</f>
        <v>0.11493073403835297</v>
      </c>
      <c r="P41" s="34"/>
      <c r="Q41" s="34"/>
      <c r="R41" s="34"/>
      <c r="S41" s="34"/>
      <c r="T41" s="34"/>
      <c r="U41" s="34"/>
      <c r="V41" s="34"/>
    </row>
    <row r="42" spans="13:22">
      <c r="M42" s="35"/>
      <c r="N42" s="35" t="s">
        <v>547</v>
      </c>
      <c r="O42" s="36">
        <f>AVERAGE(O39:O41)</f>
        <v>0.28966124355792999</v>
      </c>
      <c r="P42" s="34">
        <f>IF(O42&lt;=0.5,1,0)</f>
        <v>1</v>
      </c>
      <c r="Q42" s="34"/>
      <c r="R42" s="34"/>
      <c r="S42" s="34"/>
      <c r="T42" s="34"/>
      <c r="U42" s="34"/>
      <c r="V42" s="34"/>
    </row>
    <row r="43" spans="13:22">
      <c r="M43" s="35" t="s">
        <v>549</v>
      </c>
      <c r="N43" s="35" t="s">
        <v>531</v>
      </c>
      <c r="O43" s="36">
        <f>D16</f>
        <v>0.55169570446014404</v>
      </c>
      <c r="P43" s="34"/>
      <c r="Q43" s="34"/>
      <c r="R43" s="34"/>
      <c r="S43" s="34"/>
      <c r="T43" s="34"/>
      <c r="U43" s="34"/>
      <c r="V43" s="34"/>
    </row>
    <row r="44" spans="13:22">
      <c r="M44" s="35"/>
      <c r="N44" s="35" t="s">
        <v>532</v>
      </c>
      <c r="O44" s="36">
        <f>D17</f>
        <v>0.78627479076385498</v>
      </c>
      <c r="P44" s="34"/>
      <c r="Q44" s="34"/>
      <c r="R44" s="34"/>
      <c r="S44" s="34"/>
      <c r="T44" s="34"/>
      <c r="U44" s="34"/>
      <c r="V44" s="34"/>
    </row>
    <row r="45" spans="13:22">
      <c r="M45" s="34"/>
      <c r="N45" s="35" t="s">
        <v>466</v>
      </c>
      <c r="O45" s="36">
        <f>'Informe nº 7d'!D24</f>
        <v>0.71984130144119263</v>
      </c>
      <c r="P45" s="34"/>
      <c r="Q45" s="34"/>
      <c r="R45" s="34"/>
      <c r="S45" s="34"/>
      <c r="T45" s="34"/>
      <c r="U45" s="34"/>
      <c r="V45" s="34"/>
    </row>
    <row r="46" spans="13:22">
      <c r="M46" s="34"/>
      <c r="N46" s="35" t="s">
        <v>481</v>
      </c>
      <c r="O46" s="36">
        <f>'Informe nº 7d'!D31</f>
        <v>0.58492058515548706</v>
      </c>
      <c r="P46" s="34"/>
      <c r="Q46" s="34"/>
      <c r="R46" s="34"/>
      <c r="S46" s="34"/>
      <c r="T46" s="34"/>
      <c r="U46" s="34"/>
      <c r="V46" s="34"/>
    </row>
    <row r="47" spans="13:22">
      <c r="M47" s="35"/>
      <c r="N47" s="35" t="s">
        <v>547</v>
      </c>
      <c r="O47" s="36">
        <f>AVERAGE(O43:O46)</f>
        <v>0.66068309545516968</v>
      </c>
      <c r="P47" s="34">
        <f>IF(O47&lt;=0.5,1,0)</f>
        <v>0</v>
      </c>
      <c r="Q47" s="34"/>
      <c r="R47" s="34"/>
      <c r="S47" s="34"/>
      <c r="T47" s="34"/>
      <c r="U47" s="34"/>
      <c r="V47" s="34"/>
    </row>
    <row r="48" spans="13:22">
      <c r="M48" s="34"/>
      <c r="N48" s="34"/>
      <c r="O48" s="34"/>
      <c r="P48" s="34">
        <f>SUM(P38:P47)</f>
        <v>1</v>
      </c>
      <c r="Q48" s="34"/>
      <c r="R48" s="34"/>
      <c r="S48" s="34"/>
      <c r="T48" s="34"/>
      <c r="U48" s="34"/>
      <c r="V48" s="34"/>
    </row>
    <row r="49" spans="13:22">
      <c r="M49" s="34"/>
      <c r="N49" s="34"/>
      <c r="O49" s="34"/>
      <c r="P49" s="34"/>
      <c r="Q49" s="34"/>
      <c r="R49" s="34"/>
      <c r="S49" s="34"/>
      <c r="T49" s="34"/>
      <c r="U49" s="34"/>
      <c r="V49" s="34"/>
    </row>
    <row r="50" spans="13:22">
      <c r="M50" s="34"/>
      <c r="N50" s="34" t="s">
        <v>550</v>
      </c>
      <c r="O50" s="34" t="str">
        <f>IF(P48&gt;1,"MASA MUY ALTERADA","SIN CLASIFICAR")</f>
        <v>SIN CLASIFICAR</v>
      </c>
      <c r="P50" s="34"/>
      <c r="Q50" s="34"/>
      <c r="R50" s="34"/>
      <c r="S50" s="34"/>
      <c r="T50" s="34"/>
      <c r="U50" s="34"/>
      <c r="V50" s="34"/>
    </row>
  </sheetData>
  <sheetProtection sheet="1" selectLockedCells="1"/>
  <mergeCells count="26">
    <mergeCell ref="C2:I2"/>
    <mergeCell ref="C3:I3"/>
    <mergeCell ref="D12:E12"/>
    <mergeCell ref="F12:G12"/>
    <mergeCell ref="B11:G11"/>
    <mergeCell ref="A5:C5"/>
    <mergeCell ref="A6:C6"/>
    <mergeCell ref="A7:C7"/>
    <mergeCell ref="D13:E13"/>
    <mergeCell ref="D17:E17"/>
    <mergeCell ref="F17:G17"/>
    <mergeCell ref="D15:E15"/>
    <mergeCell ref="F15:G15"/>
    <mergeCell ref="D16:E16"/>
    <mergeCell ref="F16:G16"/>
    <mergeCell ref="F13:G13"/>
    <mergeCell ref="D18:E18"/>
    <mergeCell ref="F18:G18"/>
    <mergeCell ref="D19:E19"/>
    <mergeCell ref="F19:G19"/>
    <mergeCell ref="D23:E23"/>
    <mergeCell ref="F23:G23"/>
    <mergeCell ref="D20:E20"/>
    <mergeCell ref="F20:G20"/>
    <mergeCell ref="D22:E22"/>
    <mergeCell ref="F22:G22"/>
  </mergeCells>
  <phoneticPr fontId="44" type="noConversion"/>
  <pageMargins left="0.99" right="0.70866141732283472" top="0.45" bottom="0.17" header="0.31496062992125984" footer="0.17"/>
  <pageSetup paperSize="9"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Hoja44"/>
  <dimension ref="B1:S92"/>
  <sheetViews>
    <sheetView showGridLines="0" topLeftCell="A3" zoomScale="70" zoomScaleNormal="70" workbookViewId="0">
      <selection activeCell="B3" sqref="B3:C3"/>
    </sheetView>
  </sheetViews>
  <sheetFormatPr baseColWidth="10" defaultRowHeight="12.5"/>
  <cols>
    <col min="2" max="2" width="15.1796875" customWidth="1"/>
    <col min="4" max="4" width="13" customWidth="1"/>
    <col min="5" max="5" width="14.36328125" customWidth="1"/>
    <col min="6" max="6" width="7.81640625" customWidth="1"/>
    <col min="7" max="8" width="9.81640625" customWidth="1"/>
    <col min="9" max="10" width="8.453125" customWidth="1"/>
    <col min="12" max="12" width="9.453125" customWidth="1"/>
    <col min="13" max="13" width="8.81640625" customWidth="1"/>
    <col min="19" max="19" width="17.81640625" customWidth="1"/>
  </cols>
  <sheetData>
    <row r="1" spans="2:19">
      <c r="C1" s="360"/>
      <c r="D1" s="361"/>
      <c r="E1" s="361"/>
      <c r="F1" s="361"/>
      <c r="G1" s="361"/>
      <c r="H1" s="361"/>
      <c r="I1" s="361"/>
      <c r="J1" s="361"/>
      <c r="K1" s="361"/>
      <c r="L1" s="361"/>
      <c r="M1" s="361"/>
      <c r="N1" s="294"/>
    </row>
    <row r="2" spans="2:19" ht="18">
      <c r="B2" s="830" t="s">
        <v>274</v>
      </c>
      <c r="C2" s="830"/>
      <c r="D2" s="838" t="s">
        <v>551</v>
      </c>
      <c r="E2" s="838"/>
      <c r="F2" s="838"/>
      <c r="G2" s="838"/>
      <c r="H2" s="838"/>
      <c r="I2" s="838"/>
      <c r="J2" s="838"/>
      <c r="K2" s="838"/>
      <c r="L2" s="838"/>
      <c r="M2" s="838"/>
      <c r="N2" s="838"/>
      <c r="O2" s="838"/>
      <c r="P2" s="838"/>
      <c r="Q2" s="838"/>
      <c r="R2" s="838"/>
      <c r="S2" s="838"/>
    </row>
    <row r="3" spans="2:19" ht="18">
      <c r="B3" s="830" t="s">
        <v>552</v>
      </c>
      <c r="C3" s="830"/>
      <c r="D3" s="839" t="s">
        <v>553</v>
      </c>
      <c r="E3" s="839"/>
      <c r="F3" s="839"/>
      <c r="G3" s="839"/>
      <c r="H3" s="839"/>
      <c r="I3" s="839"/>
      <c r="J3" s="839"/>
      <c r="K3" s="839"/>
      <c r="L3" s="839"/>
      <c r="M3" s="839"/>
      <c r="N3" s="839"/>
      <c r="O3" s="839"/>
      <c r="P3" s="839"/>
      <c r="Q3" s="839"/>
      <c r="R3" s="839"/>
      <c r="S3" s="839"/>
    </row>
    <row r="4" spans="2:19" ht="13.25" customHeight="1">
      <c r="P4" s="964"/>
      <c r="Q4" s="964"/>
      <c r="R4" s="964"/>
      <c r="S4" s="964"/>
    </row>
    <row r="5" spans="2:19" ht="12" customHeight="1">
      <c r="B5" s="556" t="s">
        <v>1</v>
      </c>
      <c r="C5" s="556"/>
      <c r="D5" s="556"/>
      <c r="E5" s="558" t="str">
        <f>REPORTS!E7</f>
        <v>Natural Flow (Nat_F)</v>
      </c>
      <c r="F5" s="558"/>
      <c r="G5" s="558"/>
      <c r="H5" s="558"/>
      <c r="I5" s="359"/>
      <c r="J5" s="359"/>
      <c r="P5" s="964"/>
      <c r="Q5" s="964"/>
      <c r="R5" s="964"/>
      <c r="S5" s="964"/>
    </row>
    <row r="6" spans="2:19" ht="12" customHeight="1">
      <c r="B6" s="556" t="s">
        <v>2</v>
      </c>
      <c r="C6" s="556"/>
      <c r="D6" s="556"/>
      <c r="E6" s="558" t="str">
        <f>REPORTS!E8</f>
        <v>Altered Flow (Alt_F)</v>
      </c>
      <c r="F6" s="558"/>
      <c r="G6" s="558"/>
      <c r="H6" s="558"/>
      <c r="I6" s="359"/>
      <c r="J6" s="359"/>
      <c r="P6" s="964"/>
      <c r="Q6" s="964"/>
      <c r="R6" s="964"/>
      <c r="S6" s="964"/>
    </row>
    <row r="7" spans="2:19" ht="12" customHeight="1">
      <c r="B7" s="556" t="s">
        <v>3</v>
      </c>
      <c r="C7" s="556"/>
      <c r="D7" s="556"/>
      <c r="E7" s="558" t="s">
        <v>4</v>
      </c>
      <c r="F7" s="558"/>
      <c r="G7" s="558"/>
      <c r="H7" s="558"/>
      <c r="I7" s="359"/>
      <c r="J7" s="359"/>
      <c r="P7" s="964"/>
      <c r="Q7" s="964"/>
      <c r="R7" s="964"/>
      <c r="S7" s="964"/>
    </row>
    <row r="8" spans="2:19" ht="12" customHeight="1">
      <c r="B8" s="481"/>
      <c r="C8" s="481"/>
      <c r="D8" s="481"/>
      <c r="E8" s="359"/>
      <c r="F8" s="359"/>
      <c r="G8" s="359"/>
      <c r="H8" s="359"/>
      <c r="I8" s="359"/>
      <c r="J8" s="359"/>
      <c r="P8" s="964"/>
      <c r="Q8" s="964"/>
      <c r="R8" s="964"/>
      <c r="S8" s="964"/>
    </row>
    <row r="9" spans="2:19" ht="12" customHeight="1">
      <c r="B9" s="481"/>
      <c r="C9" s="481"/>
      <c r="D9" s="481"/>
      <c r="E9" s="359"/>
      <c r="F9" s="359"/>
      <c r="G9" s="359"/>
      <c r="H9" s="359"/>
      <c r="I9" s="359"/>
      <c r="J9" s="359"/>
      <c r="P9" s="964"/>
      <c r="Q9" s="964"/>
      <c r="R9" s="964"/>
      <c r="S9" s="964"/>
    </row>
    <row r="10" spans="2:19" ht="13.25" customHeight="1">
      <c r="P10" s="964"/>
      <c r="Q10" s="964"/>
      <c r="R10" s="964"/>
      <c r="S10" s="964"/>
    </row>
    <row r="11" spans="2:19" ht="13.25" customHeight="1">
      <c r="P11" s="964"/>
      <c r="Q11" s="964"/>
      <c r="R11" s="964"/>
      <c r="S11" s="964"/>
    </row>
    <row r="12" spans="2:19" ht="26.25" customHeight="1">
      <c r="B12" s="933" t="s">
        <v>554</v>
      </c>
      <c r="C12" s="933"/>
      <c r="D12" s="933"/>
      <c r="E12" s="933"/>
      <c r="F12" s="933"/>
      <c r="G12" s="933"/>
      <c r="H12" s="933"/>
      <c r="I12" s="933"/>
      <c r="J12" s="933"/>
      <c r="K12" s="933"/>
      <c r="L12" s="933"/>
      <c r="M12" s="933"/>
      <c r="N12" s="933"/>
      <c r="O12" s="933"/>
      <c r="P12" s="933"/>
      <c r="Q12" s="933"/>
      <c r="R12" s="933"/>
      <c r="S12" s="933"/>
    </row>
    <row r="14" spans="2:19" ht="12.75" customHeight="1">
      <c r="B14" s="934" t="s">
        <v>555</v>
      </c>
      <c r="C14" s="935"/>
      <c r="D14" s="935"/>
      <c r="E14" s="940" t="s">
        <v>556</v>
      </c>
      <c r="F14" s="940"/>
      <c r="G14" s="940"/>
      <c r="H14" s="940"/>
      <c r="I14" s="940"/>
      <c r="J14" s="940"/>
      <c r="K14" s="940"/>
      <c r="L14" s="934" t="s">
        <v>557</v>
      </c>
      <c r="M14" s="934"/>
      <c r="N14" s="935" t="s">
        <v>558</v>
      </c>
      <c r="O14" s="935"/>
      <c r="P14" s="935"/>
      <c r="Q14" s="935"/>
      <c r="R14" s="935"/>
      <c r="S14" s="935"/>
    </row>
    <row r="15" spans="2:19">
      <c r="B15" s="936"/>
      <c r="C15" s="936"/>
      <c r="D15" s="936"/>
      <c r="E15" s="941"/>
      <c r="F15" s="941"/>
      <c r="G15" s="941"/>
      <c r="H15" s="941"/>
      <c r="I15" s="941"/>
      <c r="J15" s="941"/>
      <c r="K15" s="941"/>
      <c r="L15" s="939"/>
      <c r="M15" s="939"/>
      <c r="N15" s="936"/>
      <c r="O15" s="936"/>
      <c r="P15" s="936"/>
      <c r="Q15" s="936"/>
      <c r="R15" s="936"/>
      <c r="S15" s="936"/>
    </row>
    <row r="16" spans="2:19" ht="32.25" customHeight="1">
      <c r="B16" s="937"/>
      <c r="C16" s="937"/>
      <c r="D16" s="937"/>
      <c r="E16" s="389" t="s">
        <v>559</v>
      </c>
      <c r="F16" s="938" t="s">
        <v>523</v>
      </c>
      <c r="G16" s="938"/>
      <c r="H16" s="938"/>
      <c r="I16" s="938"/>
      <c r="J16" s="938"/>
      <c r="K16" s="389" t="s">
        <v>410</v>
      </c>
      <c r="L16" s="937" t="s">
        <v>560</v>
      </c>
      <c r="M16" s="937"/>
      <c r="N16" s="937"/>
      <c r="O16" s="937"/>
      <c r="P16" s="937"/>
      <c r="Q16" s="937"/>
      <c r="R16" s="937"/>
      <c r="S16" s="937"/>
    </row>
    <row r="17" spans="2:19" ht="45.75" customHeight="1">
      <c r="B17" s="596" t="s">
        <v>450</v>
      </c>
      <c r="C17" s="930" t="s">
        <v>297</v>
      </c>
      <c r="D17" s="931"/>
      <c r="E17" s="383" t="s">
        <v>561</v>
      </c>
      <c r="F17" s="931" t="s">
        <v>562</v>
      </c>
      <c r="G17" s="955"/>
      <c r="H17" s="955"/>
      <c r="I17" s="955"/>
      <c r="J17" s="955"/>
      <c r="K17" s="384">
        <f>'Informe nº 7d'!D18</f>
        <v>0.91661876440048218</v>
      </c>
      <c r="L17" s="385" t="str">
        <f>IF(K17&lt;=0.4,"YES","")</f>
        <v/>
      </c>
      <c r="M17" s="385" t="str">
        <f>IF(K17&gt;0.4,"NO","")</f>
        <v>NO</v>
      </c>
      <c r="N17" s="961" t="s">
        <v>563</v>
      </c>
      <c r="O17" s="962"/>
      <c r="P17" s="962"/>
      <c r="Q17" s="962"/>
      <c r="R17" s="962"/>
      <c r="S17" s="962"/>
    </row>
    <row r="18" spans="2:19" ht="23.25" customHeight="1">
      <c r="B18" s="596"/>
      <c r="C18" s="911" t="s">
        <v>303</v>
      </c>
      <c r="D18" s="920"/>
      <c r="E18" s="386" t="s">
        <v>564</v>
      </c>
      <c r="F18" s="909" t="s">
        <v>565</v>
      </c>
      <c r="G18" s="963"/>
      <c r="H18" s="963"/>
      <c r="I18" s="963"/>
      <c r="J18" s="963"/>
      <c r="K18" s="387">
        <f>'Informe nº 7d'!D21</f>
        <v>0.68557900190353394</v>
      </c>
      <c r="L18" s="388" t="str">
        <f>IF(K18&lt;=0.4,"YES","")</f>
        <v/>
      </c>
      <c r="M18" s="388" t="str">
        <f t="shared" ref="M18:M19" si="0">IF(K18&gt;0.4,"NO","")</f>
        <v>NO</v>
      </c>
      <c r="N18" s="918" t="s">
        <v>566</v>
      </c>
      <c r="O18" s="913"/>
      <c r="P18" s="913"/>
      <c r="Q18" s="913"/>
      <c r="R18" s="913"/>
      <c r="S18" s="913"/>
    </row>
    <row r="19" spans="2:19" ht="24" customHeight="1">
      <c r="B19" s="946"/>
      <c r="C19" s="925" t="s">
        <v>327</v>
      </c>
      <c r="D19" s="926"/>
      <c r="E19" s="368" t="s">
        <v>567</v>
      </c>
      <c r="F19" s="925" t="s">
        <v>568</v>
      </c>
      <c r="G19" s="926"/>
      <c r="H19" s="926"/>
      <c r="I19" s="926"/>
      <c r="J19" s="926"/>
      <c r="K19" s="369">
        <f>'Informe nº 7d'!D23</f>
        <v>0.28372091054916382</v>
      </c>
      <c r="L19" s="370" t="str">
        <f>IF(K19&lt;=0.4,"YES","")</f>
        <v>YES</v>
      </c>
      <c r="M19" s="370" t="str">
        <f t="shared" si="0"/>
        <v/>
      </c>
      <c r="N19" s="945"/>
      <c r="O19" s="945"/>
      <c r="P19" s="945"/>
      <c r="Q19" s="945"/>
      <c r="R19" s="945"/>
      <c r="S19" s="945"/>
    </row>
    <row r="22" spans="2:19" ht="27" customHeight="1">
      <c r="B22" s="933" t="s">
        <v>569</v>
      </c>
      <c r="C22" s="933"/>
      <c r="D22" s="933"/>
      <c r="E22" s="933"/>
      <c r="F22" s="933"/>
      <c r="G22" s="933"/>
      <c r="H22" s="933"/>
      <c r="I22" s="933"/>
      <c r="J22" s="933"/>
      <c r="K22" s="933"/>
      <c r="L22" s="933"/>
      <c r="M22" s="933"/>
      <c r="N22" s="933"/>
      <c r="O22" s="933"/>
      <c r="P22" s="933"/>
      <c r="Q22" s="933"/>
      <c r="R22" s="933"/>
      <c r="S22" s="933"/>
    </row>
    <row r="24" spans="2:19" ht="12.75" customHeight="1">
      <c r="B24" s="934" t="s">
        <v>555</v>
      </c>
      <c r="C24" s="935"/>
      <c r="D24" s="935"/>
      <c r="E24" s="940" t="s">
        <v>556</v>
      </c>
      <c r="F24" s="940"/>
      <c r="G24" s="940"/>
      <c r="H24" s="940"/>
      <c r="I24" s="940"/>
      <c r="J24" s="940"/>
      <c r="K24" s="940"/>
      <c r="L24" s="934" t="s">
        <v>557</v>
      </c>
      <c r="M24" s="934"/>
      <c r="N24" s="935" t="s">
        <v>558</v>
      </c>
      <c r="O24" s="935"/>
      <c r="P24" s="935"/>
      <c r="Q24" s="935"/>
      <c r="R24" s="935"/>
      <c r="S24" s="935"/>
    </row>
    <row r="25" spans="2:19">
      <c r="B25" s="936"/>
      <c r="C25" s="936"/>
      <c r="D25" s="936"/>
      <c r="E25" s="941"/>
      <c r="F25" s="941"/>
      <c r="G25" s="941"/>
      <c r="H25" s="941"/>
      <c r="I25" s="941"/>
      <c r="J25" s="941"/>
      <c r="K25" s="941"/>
      <c r="L25" s="939"/>
      <c r="M25" s="939"/>
      <c r="N25" s="936"/>
      <c r="O25" s="936"/>
      <c r="P25" s="936"/>
      <c r="Q25" s="936"/>
      <c r="R25" s="936"/>
      <c r="S25" s="936"/>
    </row>
    <row r="26" spans="2:19" ht="32.25" customHeight="1">
      <c r="B26" s="937"/>
      <c r="C26" s="937"/>
      <c r="D26" s="937"/>
      <c r="E26" s="389" t="s">
        <v>559</v>
      </c>
      <c r="F26" s="938" t="s">
        <v>523</v>
      </c>
      <c r="G26" s="938"/>
      <c r="H26" s="938"/>
      <c r="I26" s="938"/>
      <c r="J26" s="938"/>
      <c r="K26" s="389" t="s">
        <v>410</v>
      </c>
      <c r="L26" s="937" t="s">
        <v>560</v>
      </c>
      <c r="M26" s="937"/>
      <c r="N26" s="937"/>
      <c r="O26" s="937"/>
      <c r="P26" s="937"/>
      <c r="Q26" s="937"/>
      <c r="R26" s="937"/>
      <c r="S26" s="937"/>
    </row>
    <row r="27" spans="2:19" ht="15" customHeight="1">
      <c r="B27" s="928" t="s">
        <v>450</v>
      </c>
      <c r="C27" s="958" t="s">
        <v>570</v>
      </c>
      <c r="D27" s="959"/>
      <c r="E27" s="362" t="s">
        <v>571</v>
      </c>
      <c r="F27" s="931" t="s">
        <v>572</v>
      </c>
      <c r="G27" s="955"/>
      <c r="H27" s="955"/>
      <c r="I27" s="955"/>
      <c r="J27" s="955"/>
      <c r="K27" s="363">
        <f>'Informe nº 7d'!D20</f>
        <v>0.76355481147766113</v>
      </c>
      <c r="L27" s="364" t="str">
        <f t="shared" ref="L27:L35" si="1">IF(K27&lt;=0.4,"YES","")</f>
        <v/>
      </c>
      <c r="M27" s="364" t="str">
        <f>IF(K27&gt;0.4,"NO","")</f>
        <v>NO</v>
      </c>
      <c r="N27" s="930" t="s">
        <v>573</v>
      </c>
      <c r="O27" s="930"/>
      <c r="P27" s="930"/>
      <c r="Q27" s="930"/>
      <c r="R27" s="930"/>
      <c r="S27" s="930"/>
    </row>
    <row r="28" spans="2:19">
      <c r="B28" s="596"/>
      <c r="C28" s="921" t="s">
        <v>574</v>
      </c>
      <c r="D28" s="952"/>
      <c r="E28" s="365" t="s">
        <v>575</v>
      </c>
      <c r="F28" s="921" t="s">
        <v>576</v>
      </c>
      <c r="G28" s="952"/>
      <c r="H28" s="952"/>
      <c r="I28" s="952"/>
      <c r="J28" s="952"/>
      <c r="K28" s="366">
        <f>'Informe nº 7d'!D22</f>
        <v>0.67962998151779175</v>
      </c>
      <c r="L28" s="367" t="str">
        <f t="shared" si="1"/>
        <v/>
      </c>
      <c r="M28" s="367" t="str">
        <f t="shared" ref="M28:M35" si="2">IF(K28&gt;0.4,"NO","")</f>
        <v>NO</v>
      </c>
      <c r="N28" s="943"/>
      <c r="O28" s="943"/>
      <c r="P28" s="943"/>
      <c r="Q28" s="943"/>
      <c r="R28" s="943"/>
      <c r="S28" s="943"/>
    </row>
    <row r="29" spans="2:19">
      <c r="B29" s="596"/>
      <c r="C29" s="921" t="s">
        <v>430</v>
      </c>
      <c r="D29" s="921"/>
      <c r="E29" s="365" t="s">
        <v>577</v>
      </c>
      <c r="F29" s="921" t="s">
        <v>578</v>
      </c>
      <c r="G29" s="921"/>
      <c r="H29" s="921"/>
      <c r="I29" s="921"/>
      <c r="J29" s="921"/>
      <c r="K29" s="366">
        <f>'Informe nº 7d'!D24</f>
        <v>0.71984130144119263</v>
      </c>
      <c r="L29" s="367" t="str">
        <f t="shared" si="1"/>
        <v/>
      </c>
      <c r="M29" s="367" t="str">
        <f t="shared" si="2"/>
        <v>NO</v>
      </c>
      <c r="N29" s="943"/>
      <c r="O29" s="943"/>
      <c r="P29" s="943"/>
      <c r="Q29" s="943"/>
      <c r="R29" s="943"/>
      <c r="S29" s="943"/>
    </row>
    <row r="30" spans="2:19" ht="12" customHeight="1">
      <c r="B30" s="929"/>
      <c r="C30" s="927" t="s">
        <v>327</v>
      </c>
      <c r="D30" s="953"/>
      <c r="E30" s="376" t="s">
        <v>567</v>
      </c>
      <c r="F30" s="927" t="s">
        <v>579</v>
      </c>
      <c r="G30" s="953"/>
      <c r="H30" s="953"/>
      <c r="I30" s="953"/>
      <c r="J30" s="953"/>
      <c r="K30" s="377">
        <f>'Informe nº 7d'!D23</f>
        <v>0.28372091054916382</v>
      </c>
      <c r="L30" s="378" t="str">
        <f t="shared" si="1"/>
        <v>YES</v>
      </c>
      <c r="M30" s="378" t="str">
        <f t="shared" si="2"/>
        <v/>
      </c>
      <c r="N30" s="960"/>
      <c r="O30" s="960"/>
      <c r="P30" s="960"/>
      <c r="Q30" s="960"/>
      <c r="R30" s="960"/>
      <c r="S30" s="960"/>
    </row>
    <row r="31" spans="2:19" ht="28.5" customHeight="1">
      <c r="B31" s="912" t="s">
        <v>468</v>
      </c>
      <c r="C31" s="958" t="s">
        <v>570</v>
      </c>
      <c r="D31" s="959"/>
      <c r="E31" s="379" t="s">
        <v>580</v>
      </c>
      <c r="F31" s="910" t="s">
        <v>581</v>
      </c>
      <c r="G31" s="916"/>
      <c r="H31" s="916"/>
      <c r="I31" s="916"/>
      <c r="J31" s="916"/>
      <c r="K31" s="380">
        <f>'Informe nº 7d'!D26</f>
        <v>0.38288885354995728</v>
      </c>
      <c r="L31" s="381" t="str">
        <f t="shared" si="1"/>
        <v>YES</v>
      </c>
      <c r="M31" s="381" t="str">
        <f t="shared" si="2"/>
        <v/>
      </c>
      <c r="N31" s="917" t="s">
        <v>582</v>
      </c>
      <c r="O31" s="912"/>
      <c r="P31" s="912"/>
      <c r="Q31" s="912"/>
      <c r="R31" s="912"/>
      <c r="S31" s="912"/>
    </row>
    <row r="32" spans="2:19" ht="24.75" customHeight="1">
      <c r="B32" s="914"/>
      <c r="C32" s="921" t="s">
        <v>574</v>
      </c>
      <c r="D32" s="952"/>
      <c r="E32" s="376" t="s">
        <v>583</v>
      </c>
      <c r="F32" s="927" t="s">
        <v>584</v>
      </c>
      <c r="G32" s="953"/>
      <c r="H32" s="953"/>
      <c r="I32" s="953"/>
      <c r="J32" s="953"/>
      <c r="K32" s="377">
        <f>'Informe nº 7d'!D28</f>
        <v>0.65613138675689697</v>
      </c>
      <c r="L32" s="378" t="str">
        <f t="shared" si="1"/>
        <v/>
      </c>
      <c r="M32" s="378" t="str">
        <f t="shared" si="2"/>
        <v>NO</v>
      </c>
      <c r="N32" s="914"/>
      <c r="O32" s="914"/>
      <c r="P32" s="914"/>
      <c r="Q32" s="914"/>
      <c r="R32" s="914"/>
      <c r="S32" s="914"/>
    </row>
    <row r="33" spans="2:19" ht="16.5" customHeight="1">
      <c r="B33" s="906" t="s">
        <v>295</v>
      </c>
      <c r="C33" s="951" t="s">
        <v>297</v>
      </c>
      <c r="D33" s="951"/>
      <c r="E33" s="379" t="s">
        <v>419</v>
      </c>
      <c r="F33" s="950" t="s">
        <v>585</v>
      </c>
      <c r="G33" s="951"/>
      <c r="H33" s="951"/>
      <c r="I33" s="951"/>
      <c r="J33" s="951"/>
      <c r="K33" s="380">
        <f>'Informe nº 7c'!D17</f>
        <v>0.55761575698852539</v>
      </c>
      <c r="L33" s="381" t="str">
        <f t="shared" si="1"/>
        <v/>
      </c>
      <c r="M33" s="381" t="str">
        <f t="shared" si="2"/>
        <v>NO</v>
      </c>
      <c r="N33" s="918" t="s">
        <v>586</v>
      </c>
      <c r="O33" s="913"/>
      <c r="P33" s="913"/>
      <c r="Q33" s="913"/>
      <c r="R33" s="913"/>
      <c r="S33" s="913"/>
    </row>
    <row r="34" spans="2:19" ht="17.25" customHeight="1">
      <c r="B34" s="913"/>
      <c r="C34" s="921" t="s">
        <v>574</v>
      </c>
      <c r="D34" s="952"/>
      <c r="E34" s="365" t="s">
        <v>424</v>
      </c>
      <c r="F34" s="950" t="s">
        <v>587</v>
      </c>
      <c r="G34" s="951"/>
      <c r="H34" s="951"/>
      <c r="I34" s="951"/>
      <c r="J34" s="951"/>
      <c r="K34" s="366">
        <f>'Informe nº 7c'!D19</f>
        <v>0.74218344688415527</v>
      </c>
      <c r="L34" s="367" t="str">
        <f t="shared" si="1"/>
        <v/>
      </c>
      <c r="M34" s="388" t="str">
        <f t="shared" si="2"/>
        <v>NO</v>
      </c>
      <c r="N34" s="913"/>
      <c r="O34" s="913"/>
      <c r="P34" s="913"/>
      <c r="Q34" s="913"/>
      <c r="R34" s="913"/>
      <c r="S34" s="913"/>
    </row>
    <row r="35" spans="2:19" ht="20.25" customHeight="1">
      <c r="B35" s="945"/>
      <c r="C35" s="957" t="s">
        <v>192</v>
      </c>
      <c r="D35" s="957"/>
      <c r="E35" s="368" t="s">
        <v>429</v>
      </c>
      <c r="F35" s="925" t="s">
        <v>588</v>
      </c>
      <c r="G35" s="926"/>
      <c r="H35" s="926"/>
      <c r="I35" s="926"/>
      <c r="J35" s="926"/>
      <c r="K35" s="369">
        <f>'Informe nº 7c'!D21</f>
        <v>0.78627479076385498</v>
      </c>
      <c r="L35" s="370" t="str">
        <f t="shared" si="1"/>
        <v/>
      </c>
      <c r="M35" s="370" t="str">
        <f t="shared" si="2"/>
        <v>NO</v>
      </c>
      <c r="N35" s="945"/>
      <c r="O35" s="945"/>
      <c r="P35" s="945"/>
      <c r="Q35" s="945"/>
      <c r="R35" s="945"/>
      <c r="S35" s="945"/>
    </row>
    <row r="38" spans="2:19" ht="27" customHeight="1">
      <c r="B38" s="933" t="s">
        <v>589</v>
      </c>
      <c r="C38" s="933"/>
      <c r="D38" s="933"/>
      <c r="E38" s="933"/>
      <c r="F38" s="933"/>
      <c r="G38" s="933"/>
      <c r="H38" s="933"/>
      <c r="I38" s="933"/>
      <c r="J38" s="933"/>
      <c r="K38" s="933"/>
      <c r="L38" s="933"/>
      <c r="M38" s="933"/>
      <c r="N38" s="933"/>
      <c r="O38" s="933"/>
      <c r="P38" s="933"/>
      <c r="Q38" s="933"/>
      <c r="R38" s="933"/>
      <c r="S38" s="933"/>
    </row>
    <row r="40" spans="2:19" ht="12.75" customHeight="1">
      <c r="B40" s="934" t="s">
        <v>555</v>
      </c>
      <c r="C40" s="935"/>
      <c r="D40" s="935"/>
      <c r="E40" s="940" t="s">
        <v>556</v>
      </c>
      <c r="F40" s="940"/>
      <c r="G40" s="940"/>
      <c r="H40" s="940"/>
      <c r="I40" s="940"/>
      <c r="J40" s="940"/>
      <c r="K40" s="940"/>
      <c r="L40" s="934" t="s">
        <v>557</v>
      </c>
      <c r="M40" s="934"/>
      <c r="N40" s="935" t="s">
        <v>558</v>
      </c>
      <c r="O40" s="935"/>
      <c r="P40" s="935"/>
      <c r="Q40" s="935"/>
      <c r="R40" s="935"/>
      <c r="S40" s="935"/>
    </row>
    <row r="41" spans="2:19">
      <c r="B41" s="936"/>
      <c r="C41" s="936"/>
      <c r="D41" s="936"/>
      <c r="E41" s="941"/>
      <c r="F41" s="941"/>
      <c r="G41" s="941"/>
      <c r="H41" s="941"/>
      <c r="I41" s="941"/>
      <c r="J41" s="941"/>
      <c r="K41" s="941"/>
      <c r="L41" s="939"/>
      <c r="M41" s="939"/>
      <c r="N41" s="936"/>
      <c r="O41" s="936"/>
      <c r="P41" s="936"/>
      <c r="Q41" s="936"/>
      <c r="R41" s="936"/>
      <c r="S41" s="936"/>
    </row>
    <row r="42" spans="2:19" ht="32.25" customHeight="1">
      <c r="B42" s="937"/>
      <c r="C42" s="937"/>
      <c r="D42" s="937"/>
      <c r="E42" s="389" t="s">
        <v>559</v>
      </c>
      <c r="F42" s="938" t="s">
        <v>523</v>
      </c>
      <c r="G42" s="938"/>
      <c r="H42" s="938"/>
      <c r="I42" s="938"/>
      <c r="J42" s="938"/>
      <c r="K42" s="389" t="s">
        <v>410</v>
      </c>
      <c r="L42" s="937" t="s">
        <v>560</v>
      </c>
      <c r="M42" s="937"/>
      <c r="N42" s="937"/>
      <c r="O42" s="937"/>
      <c r="P42" s="937"/>
      <c r="Q42" s="937"/>
      <c r="R42" s="937"/>
      <c r="S42" s="937"/>
    </row>
    <row r="43" spans="2:19" ht="21.75" customHeight="1">
      <c r="B43" s="928" t="s">
        <v>450</v>
      </c>
      <c r="C43" s="930" t="s">
        <v>590</v>
      </c>
      <c r="D43" s="930"/>
      <c r="E43" s="931" t="s">
        <v>591</v>
      </c>
      <c r="F43" s="931" t="s">
        <v>592</v>
      </c>
      <c r="G43" s="931"/>
      <c r="H43" s="931"/>
      <c r="I43" s="931"/>
      <c r="J43" s="931"/>
      <c r="K43" s="956">
        <f>'Informe nº 7d'!D19</f>
        <v>0.2575838565826416</v>
      </c>
      <c r="L43" s="955" t="str">
        <f>IF(K43&lt;=0.4,"YES","")</f>
        <v>YES</v>
      </c>
      <c r="M43" s="955" t="str">
        <f>IF(K43&gt;0.4,"NO","")</f>
        <v/>
      </c>
      <c r="N43" s="932" t="s">
        <v>593</v>
      </c>
      <c r="O43" s="932"/>
      <c r="P43" s="932"/>
      <c r="Q43" s="932"/>
      <c r="R43" s="932"/>
      <c r="S43" s="932"/>
    </row>
    <row r="44" spans="2:19" ht="4.5" customHeight="1">
      <c r="B44" s="596"/>
      <c r="C44" s="943"/>
      <c r="D44" s="943"/>
      <c r="E44" s="911"/>
      <c r="F44" s="911"/>
      <c r="G44" s="911"/>
      <c r="H44" s="911"/>
      <c r="I44" s="911"/>
      <c r="J44" s="911"/>
      <c r="K44" s="923"/>
      <c r="L44" s="920"/>
      <c r="M44" s="920"/>
      <c r="N44" s="918"/>
      <c r="O44" s="918"/>
      <c r="P44" s="918"/>
      <c r="Q44" s="918"/>
      <c r="R44" s="918"/>
      <c r="S44" s="918"/>
    </row>
    <row r="45" spans="2:19" ht="21" customHeight="1">
      <c r="B45" s="596"/>
      <c r="C45" s="921" t="s">
        <v>430</v>
      </c>
      <c r="D45" s="921"/>
      <c r="E45" s="365" t="s">
        <v>577</v>
      </c>
      <c r="F45" s="921" t="s">
        <v>594</v>
      </c>
      <c r="G45" s="921"/>
      <c r="H45" s="921"/>
      <c r="I45" s="921"/>
      <c r="J45" s="921"/>
      <c r="K45" s="366">
        <f>'Informe nº 7d'!D24</f>
        <v>0.71984130144119263</v>
      </c>
      <c r="L45" s="367" t="str">
        <f t="shared" ref="L45:L51" si="3">IF(K45&lt;=0.4,"YES","")</f>
        <v/>
      </c>
      <c r="M45" s="367" t="str">
        <f t="shared" ref="M45:M51" si="4">IF(K45&gt;0.4,"NO","")</f>
        <v>NO</v>
      </c>
      <c r="N45" s="918"/>
      <c r="O45" s="918"/>
      <c r="P45" s="918"/>
      <c r="Q45" s="918"/>
      <c r="R45" s="918"/>
      <c r="S45" s="918"/>
    </row>
    <row r="46" spans="2:19" ht="24" customHeight="1">
      <c r="B46" s="929"/>
      <c r="C46" s="927" t="s">
        <v>327</v>
      </c>
      <c r="D46" s="953"/>
      <c r="E46" s="376" t="s">
        <v>567</v>
      </c>
      <c r="F46" s="927" t="s">
        <v>579</v>
      </c>
      <c r="G46" s="953"/>
      <c r="H46" s="953"/>
      <c r="I46" s="953"/>
      <c r="J46" s="953"/>
      <c r="K46" s="377">
        <f>'Informe nº 7d'!D23</f>
        <v>0.28372091054916382</v>
      </c>
      <c r="L46" s="378" t="str">
        <f t="shared" si="3"/>
        <v>YES</v>
      </c>
      <c r="M46" s="378" t="str">
        <f t="shared" si="4"/>
        <v/>
      </c>
      <c r="N46" s="919"/>
      <c r="O46" s="919"/>
      <c r="P46" s="919"/>
      <c r="Q46" s="919"/>
      <c r="R46" s="919"/>
      <c r="S46" s="919"/>
    </row>
    <row r="47" spans="2:19" ht="13.25" customHeight="1">
      <c r="B47" s="912" t="s">
        <v>468</v>
      </c>
      <c r="C47" s="949" t="s">
        <v>595</v>
      </c>
      <c r="D47" s="949"/>
      <c r="E47" s="379" t="s">
        <v>596</v>
      </c>
      <c r="F47" s="950" t="s">
        <v>597</v>
      </c>
      <c r="G47" s="951"/>
      <c r="H47" s="951"/>
      <c r="I47" s="951"/>
      <c r="J47" s="951"/>
      <c r="K47" s="380">
        <f>'Informe nº 7d'!D25</f>
        <v>0.38417032361030579</v>
      </c>
      <c r="L47" s="381" t="str">
        <f t="shared" si="3"/>
        <v>YES</v>
      </c>
      <c r="M47" s="381" t="str">
        <f t="shared" si="4"/>
        <v/>
      </c>
      <c r="N47" s="917" t="s">
        <v>598</v>
      </c>
      <c r="O47" s="917"/>
      <c r="P47" s="917"/>
      <c r="Q47" s="917"/>
      <c r="R47" s="917"/>
      <c r="S47" s="917"/>
    </row>
    <row r="48" spans="2:19">
      <c r="B48" s="913"/>
      <c r="C48" s="921" t="s">
        <v>599</v>
      </c>
      <c r="D48" s="952"/>
      <c r="E48" s="365" t="s">
        <v>600</v>
      </c>
      <c r="F48" s="921" t="s">
        <v>601</v>
      </c>
      <c r="G48" s="952"/>
      <c r="H48" s="952"/>
      <c r="I48" s="952"/>
      <c r="J48" s="952"/>
      <c r="K48" s="366">
        <f>'Informe nº 7d'!D27</f>
        <v>0.63478875160217285</v>
      </c>
      <c r="L48" s="367" t="str">
        <f t="shared" si="3"/>
        <v/>
      </c>
      <c r="M48" s="367" t="str">
        <f t="shared" si="4"/>
        <v>NO</v>
      </c>
      <c r="N48" s="918"/>
      <c r="O48" s="918"/>
      <c r="P48" s="918"/>
      <c r="Q48" s="918"/>
      <c r="R48" s="918"/>
      <c r="S48" s="918"/>
    </row>
    <row r="49" spans="2:19">
      <c r="B49" s="913"/>
      <c r="C49" s="921" t="s">
        <v>430</v>
      </c>
      <c r="D49" s="921"/>
      <c r="E49" s="365" t="s">
        <v>602</v>
      </c>
      <c r="F49" s="921" t="s">
        <v>603</v>
      </c>
      <c r="G49" s="921"/>
      <c r="H49" s="921"/>
      <c r="I49" s="921"/>
      <c r="J49" s="921"/>
      <c r="K49" s="366">
        <f>'Informe nº 7d'!D31</f>
        <v>0.58492058515548706</v>
      </c>
      <c r="L49" s="367" t="str">
        <f t="shared" si="3"/>
        <v/>
      </c>
      <c r="M49" s="367"/>
      <c r="N49" s="918"/>
      <c r="O49" s="918"/>
      <c r="P49" s="918"/>
      <c r="Q49" s="918"/>
      <c r="R49" s="918"/>
      <c r="S49" s="918"/>
    </row>
    <row r="50" spans="2:19">
      <c r="B50" s="914"/>
      <c r="C50" s="927" t="s">
        <v>327</v>
      </c>
      <c r="D50" s="953"/>
      <c r="E50" s="376" t="s">
        <v>604</v>
      </c>
      <c r="F50" s="954" t="s">
        <v>605</v>
      </c>
      <c r="G50" s="954"/>
      <c r="H50" s="954"/>
      <c r="I50" s="954"/>
      <c r="J50" s="954"/>
      <c r="K50" s="377">
        <f>'Informe nº 7d'!D29</f>
        <v>0.11493073403835297</v>
      </c>
      <c r="L50" s="378" t="str">
        <f t="shared" si="3"/>
        <v>YES</v>
      </c>
      <c r="M50" s="378"/>
      <c r="N50" s="919"/>
      <c r="O50" s="919"/>
      <c r="P50" s="919"/>
      <c r="Q50" s="919"/>
      <c r="R50" s="919"/>
      <c r="S50" s="919"/>
    </row>
    <row r="51" spans="2:19" ht="13.25" customHeight="1">
      <c r="B51" s="906" t="s">
        <v>295</v>
      </c>
      <c r="C51" s="913" t="s">
        <v>574</v>
      </c>
      <c r="D51" s="913"/>
      <c r="E51" s="596" t="s">
        <v>424</v>
      </c>
      <c r="F51" s="596" t="s">
        <v>587</v>
      </c>
      <c r="G51" s="596"/>
      <c r="H51" s="596"/>
      <c r="I51" s="596"/>
      <c r="J51" s="596"/>
      <c r="K51" s="947">
        <f>'Informe nº 7c'!D19</f>
        <v>0.74218344688415527</v>
      </c>
      <c r="L51" s="913" t="str">
        <f t="shared" si="3"/>
        <v/>
      </c>
      <c r="M51" s="913" t="str">
        <f t="shared" si="4"/>
        <v>NO</v>
      </c>
      <c r="N51" s="918" t="s">
        <v>606</v>
      </c>
      <c r="O51" s="913"/>
      <c r="P51" s="913"/>
      <c r="Q51" s="913"/>
      <c r="R51" s="913"/>
      <c r="S51" s="913"/>
    </row>
    <row r="52" spans="2:19">
      <c r="B52" s="913"/>
      <c r="C52" s="913"/>
      <c r="D52" s="913"/>
      <c r="E52" s="596"/>
      <c r="F52" s="596"/>
      <c r="G52" s="596"/>
      <c r="H52" s="596"/>
      <c r="I52" s="596"/>
      <c r="J52" s="596"/>
      <c r="K52" s="947"/>
      <c r="L52" s="913"/>
      <c r="M52" s="913"/>
      <c r="N52" s="913"/>
      <c r="O52" s="913"/>
      <c r="P52" s="913"/>
      <c r="Q52" s="913"/>
      <c r="R52" s="913"/>
      <c r="S52" s="913"/>
    </row>
    <row r="53" spans="2:19" ht="8.25" customHeight="1">
      <c r="B53" s="945"/>
      <c r="C53" s="945"/>
      <c r="D53" s="945"/>
      <c r="E53" s="946"/>
      <c r="F53" s="946"/>
      <c r="G53" s="946"/>
      <c r="H53" s="946"/>
      <c r="I53" s="946"/>
      <c r="J53" s="946"/>
      <c r="K53" s="948"/>
      <c r="L53" s="945"/>
      <c r="M53" s="945"/>
      <c r="N53" s="945"/>
      <c r="O53" s="945"/>
      <c r="P53" s="945"/>
      <c r="Q53" s="945"/>
      <c r="R53" s="945"/>
      <c r="S53" s="945"/>
    </row>
    <row r="56" spans="2:19" ht="27" customHeight="1">
      <c r="B56" s="933" t="s">
        <v>607</v>
      </c>
      <c r="C56" s="933"/>
      <c r="D56" s="933"/>
      <c r="E56" s="933"/>
      <c r="F56" s="933"/>
      <c r="G56" s="933"/>
      <c r="H56" s="933"/>
      <c r="I56" s="933"/>
      <c r="J56" s="933"/>
      <c r="K56" s="933"/>
      <c r="L56" s="933"/>
      <c r="M56" s="933"/>
      <c r="N56" s="933"/>
      <c r="O56" s="933"/>
      <c r="P56" s="933"/>
      <c r="Q56" s="933"/>
      <c r="R56" s="933"/>
      <c r="S56" s="933"/>
    </row>
    <row r="58" spans="2:19" ht="12.75" customHeight="1">
      <c r="B58" s="934" t="s">
        <v>555</v>
      </c>
      <c r="C58" s="935"/>
      <c r="D58" s="935"/>
      <c r="E58" s="940" t="s">
        <v>556</v>
      </c>
      <c r="F58" s="940"/>
      <c r="G58" s="940"/>
      <c r="H58" s="940"/>
      <c r="I58" s="940"/>
      <c r="J58" s="940"/>
      <c r="K58" s="940"/>
      <c r="L58" s="934" t="s">
        <v>557</v>
      </c>
      <c r="M58" s="934"/>
      <c r="N58" s="935" t="s">
        <v>558</v>
      </c>
      <c r="O58" s="935"/>
      <c r="P58" s="935"/>
      <c r="Q58" s="935"/>
      <c r="R58" s="935"/>
      <c r="S58" s="935"/>
    </row>
    <row r="59" spans="2:19">
      <c r="B59" s="936"/>
      <c r="C59" s="936"/>
      <c r="D59" s="936"/>
      <c r="E59" s="941"/>
      <c r="F59" s="941"/>
      <c r="G59" s="941"/>
      <c r="H59" s="941"/>
      <c r="I59" s="941"/>
      <c r="J59" s="941"/>
      <c r="K59" s="941"/>
      <c r="L59" s="939"/>
      <c r="M59" s="939"/>
      <c r="N59" s="936"/>
      <c r="O59" s="936"/>
      <c r="P59" s="936"/>
      <c r="Q59" s="936"/>
      <c r="R59" s="936"/>
      <c r="S59" s="936"/>
    </row>
    <row r="60" spans="2:19" ht="32.25" customHeight="1">
      <c r="B60" s="937"/>
      <c r="C60" s="937"/>
      <c r="D60" s="937"/>
      <c r="E60" s="389" t="s">
        <v>559</v>
      </c>
      <c r="F60" s="938" t="s">
        <v>523</v>
      </c>
      <c r="G60" s="938"/>
      <c r="H60" s="938"/>
      <c r="I60" s="938"/>
      <c r="J60" s="938"/>
      <c r="K60" s="389" t="s">
        <v>410</v>
      </c>
      <c r="L60" s="937" t="s">
        <v>608</v>
      </c>
      <c r="M60" s="937"/>
      <c r="N60" s="937"/>
      <c r="O60" s="937"/>
      <c r="P60" s="937"/>
      <c r="Q60" s="937"/>
      <c r="R60" s="937"/>
      <c r="S60" s="937"/>
    </row>
    <row r="61" spans="2:19" ht="27" customHeight="1">
      <c r="B61" s="928" t="s">
        <v>450</v>
      </c>
      <c r="C61" s="930" t="s">
        <v>297</v>
      </c>
      <c r="D61" s="930"/>
      <c r="E61" s="362" t="s">
        <v>609</v>
      </c>
      <c r="F61" s="931" t="s">
        <v>610</v>
      </c>
      <c r="G61" s="931"/>
      <c r="H61" s="931"/>
      <c r="I61" s="931"/>
      <c r="J61" s="931"/>
      <c r="K61" s="363">
        <f>'Informe nº 7d'!D17</f>
        <v>0.801380455493927</v>
      </c>
      <c r="L61" s="364" t="str">
        <f t="shared" ref="L61:L68" si="5">IF(K61&lt;=0.4,"YES","")</f>
        <v/>
      </c>
      <c r="M61" s="364" t="str">
        <f t="shared" ref="M61:M68" si="6">IF(K61&gt;0.4,"NO","")</f>
        <v>NO</v>
      </c>
      <c r="N61" s="932" t="s">
        <v>611</v>
      </c>
      <c r="O61" s="932"/>
      <c r="P61" s="932"/>
      <c r="Q61" s="932"/>
      <c r="R61" s="932"/>
      <c r="S61" s="932"/>
    </row>
    <row r="62" spans="2:19" ht="24" customHeight="1">
      <c r="B62" s="929"/>
      <c r="C62" s="921" t="s">
        <v>430</v>
      </c>
      <c r="D62" s="921"/>
      <c r="E62" s="376" t="s">
        <v>577</v>
      </c>
      <c r="F62" s="927" t="s">
        <v>594</v>
      </c>
      <c r="G62" s="927"/>
      <c r="H62" s="927"/>
      <c r="I62" s="927"/>
      <c r="J62" s="927"/>
      <c r="K62" s="377">
        <f>'Informe nº 7d'!D24</f>
        <v>0.71984130144119263</v>
      </c>
      <c r="L62" s="378" t="str">
        <f t="shared" si="5"/>
        <v/>
      </c>
      <c r="M62" s="378" t="str">
        <f t="shared" si="6"/>
        <v>NO</v>
      </c>
      <c r="N62" s="919"/>
      <c r="O62" s="919"/>
      <c r="P62" s="919"/>
      <c r="Q62" s="919"/>
      <c r="R62" s="919"/>
      <c r="S62" s="919"/>
    </row>
    <row r="63" spans="2:19" ht="13.25" customHeight="1">
      <c r="B63" s="912" t="s">
        <v>468</v>
      </c>
      <c r="C63" s="915" t="s">
        <v>595</v>
      </c>
      <c r="D63" s="915"/>
      <c r="E63" s="379" t="s">
        <v>596</v>
      </c>
      <c r="F63" s="910" t="s">
        <v>597</v>
      </c>
      <c r="G63" s="916"/>
      <c r="H63" s="916"/>
      <c r="I63" s="916"/>
      <c r="J63" s="916"/>
      <c r="K63" s="382">
        <f>'Informe nº 7d'!D25</f>
        <v>0.38417032361030579</v>
      </c>
      <c r="L63" s="381" t="str">
        <f t="shared" si="5"/>
        <v>YES</v>
      </c>
      <c r="M63" s="381" t="str">
        <f t="shared" si="6"/>
        <v/>
      </c>
      <c r="N63" s="917" t="s">
        <v>612</v>
      </c>
      <c r="O63" s="917"/>
      <c r="P63" s="917"/>
      <c r="Q63" s="917"/>
      <c r="R63" s="917"/>
      <c r="S63" s="917"/>
    </row>
    <row r="64" spans="2:19">
      <c r="B64" s="913"/>
      <c r="C64" s="911" t="s">
        <v>599</v>
      </c>
      <c r="D64" s="911"/>
      <c r="E64" s="365" t="s">
        <v>600</v>
      </c>
      <c r="F64" s="911" t="s">
        <v>613</v>
      </c>
      <c r="G64" s="920"/>
      <c r="H64" s="920"/>
      <c r="I64" s="920"/>
      <c r="J64" s="920"/>
      <c r="K64" s="366">
        <f>'Informe nº 7d'!D27</f>
        <v>0.63478875160217285</v>
      </c>
      <c r="L64" s="367" t="str">
        <f t="shared" si="5"/>
        <v/>
      </c>
      <c r="M64" s="367" t="str">
        <f t="shared" si="6"/>
        <v>NO</v>
      </c>
      <c r="N64" s="918"/>
      <c r="O64" s="918"/>
      <c r="P64" s="918"/>
      <c r="Q64" s="918"/>
      <c r="R64" s="918"/>
      <c r="S64" s="918"/>
    </row>
    <row r="65" spans="2:19">
      <c r="B65" s="913"/>
      <c r="C65" s="921" t="s">
        <v>430</v>
      </c>
      <c r="D65" s="921"/>
      <c r="E65" s="365" t="s">
        <v>602</v>
      </c>
      <c r="F65" s="911" t="s">
        <v>614</v>
      </c>
      <c r="G65" s="911"/>
      <c r="H65" s="911"/>
      <c r="I65" s="911"/>
      <c r="J65" s="911"/>
      <c r="K65" s="366">
        <f>'Informe nº 7d'!D31</f>
        <v>0.58492058515548706</v>
      </c>
      <c r="L65" s="367" t="str">
        <f t="shared" si="5"/>
        <v/>
      </c>
      <c r="M65" s="367" t="str">
        <f t="shared" si="6"/>
        <v>NO</v>
      </c>
      <c r="N65" s="918"/>
      <c r="O65" s="918"/>
      <c r="P65" s="918"/>
      <c r="Q65" s="918"/>
      <c r="R65" s="918"/>
      <c r="S65" s="918"/>
    </row>
    <row r="66" spans="2:19">
      <c r="B66" s="913"/>
      <c r="C66" s="911" t="s">
        <v>615</v>
      </c>
      <c r="D66" s="911"/>
      <c r="E66" s="365" t="s">
        <v>604</v>
      </c>
      <c r="F66" s="911" t="s">
        <v>605</v>
      </c>
      <c r="G66" s="911"/>
      <c r="H66" s="911"/>
      <c r="I66" s="911"/>
      <c r="J66" s="911"/>
      <c r="K66" s="366">
        <f>'Informe nº 7d'!D29</f>
        <v>0.11493073403835297</v>
      </c>
      <c r="L66" s="367" t="str">
        <f t="shared" si="5"/>
        <v>YES</v>
      </c>
      <c r="M66" s="367" t="str">
        <f t="shared" si="6"/>
        <v/>
      </c>
      <c r="N66" s="918"/>
      <c r="O66" s="918"/>
      <c r="P66" s="918"/>
      <c r="Q66" s="918"/>
      <c r="R66" s="918"/>
      <c r="S66" s="918"/>
    </row>
    <row r="67" spans="2:19">
      <c r="B67" s="914"/>
      <c r="C67" s="927" t="s">
        <v>616</v>
      </c>
      <c r="D67" s="927"/>
      <c r="E67" s="376" t="s">
        <v>617</v>
      </c>
      <c r="F67" s="927" t="s">
        <v>618</v>
      </c>
      <c r="G67" s="927"/>
      <c r="H67" s="927"/>
      <c r="I67" s="927"/>
      <c r="J67" s="927"/>
      <c r="K67" s="377">
        <f>'Informe nº 7d'!D30</f>
        <v>1</v>
      </c>
      <c r="L67" s="367" t="str">
        <f t="shared" si="5"/>
        <v/>
      </c>
      <c r="M67" s="378" t="str">
        <f t="shared" si="6"/>
        <v>NO</v>
      </c>
      <c r="N67" s="919"/>
      <c r="O67" s="919"/>
      <c r="P67" s="919"/>
      <c r="Q67" s="919"/>
      <c r="R67" s="919"/>
      <c r="S67" s="919"/>
    </row>
    <row r="68" spans="2:19" ht="12.75" customHeight="1">
      <c r="B68" s="906" t="s">
        <v>295</v>
      </c>
      <c r="C68" s="910" t="s">
        <v>619</v>
      </c>
      <c r="D68" s="916"/>
      <c r="E68" s="910" t="s">
        <v>421</v>
      </c>
      <c r="F68" s="910" t="s">
        <v>620</v>
      </c>
      <c r="G68" s="910"/>
      <c r="H68" s="910"/>
      <c r="I68" s="910"/>
      <c r="J68" s="910"/>
      <c r="K68" s="922">
        <f>'Informe nº 7c'!D18</f>
        <v>0.47033208608627319</v>
      </c>
      <c r="L68" s="916" t="str">
        <f t="shared" si="5"/>
        <v/>
      </c>
      <c r="M68" s="916" t="str">
        <f t="shared" si="6"/>
        <v>NO</v>
      </c>
      <c r="N68" s="942" t="s">
        <v>621</v>
      </c>
      <c r="O68" s="942"/>
      <c r="P68" s="942"/>
      <c r="Q68" s="942"/>
      <c r="R68" s="942"/>
      <c r="S68" s="942"/>
    </row>
    <row r="69" spans="2:19" ht="1.5" customHeight="1">
      <c r="B69" s="906"/>
      <c r="C69" s="920"/>
      <c r="D69" s="920"/>
      <c r="E69" s="911"/>
      <c r="F69" s="911"/>
      <c r="G69" s="911"/>
      <c r="H69" s="911"/>
      <c r="I69" s="911"/>
      <c r="J69" s="911"/>
      <c r="K69" s="923"/>
      <c r="L69" s="920"/>
      <c r="M69" s="920"/>
      <c r="N69" s="943"/>
      <c r="O69" s="943"/>
      <c r="P69" s="943"/>
      <c r="Q69" s="943"/>
      <c r="R69" s="943"/>
      <c r="S69" s="943"/>
    </row>
    <row r="70" spans="2:19" ht="3" hidden="1" customHeight="1">
      <c r="B70" s="906"/>
      <c r="C70" s="920"/>
      <c r="D70" s="920"/>
      <c r="E70" s="911"/>
      <c r="F70" s="911"/>
      <c r="G70" s="911"/>
      <c r="H70" s="911"/>
      <c r="I70" s="911"/>
      <c r="J70" s="911"/>
      <c r="K70" s="923"/>
      <c r="L70" s="920"/>
      <c r="M70" s="920"/>
      <c r="N70" s="943"/>
      <c r="O70" s="943"/>
      <c r="P70" s="943"/>
      <c r="Q70" s="943"/>
      <c r="R70" s="943"/>
      <c r="S70" s="943"/>
    </row>
    <row r="71" spans="2:19">
      <c r="B71" s="906"/>
      <c r="C71" s="911" t="s">
        <v>622</v>
      </c>
      <c r="D71" s="920"/>
      <c r="E71" s="365" t="s">
        <v>531</v>
      </c>
      <c r="F71" s="911" t="s">
        <v>623</v>
      </c>
      <c r="G71" s="920"/>
      <c r="H71" s="920"/>
      <c r="I71" s="920"/>
      <c r="J71" s="920"/>
      <c r="K71" s="371">
        <f>'Informe nº 7c'!D22</f>
        <v>0.83333331346511841</v>
      </c>
      <c r="L71" s="372" t="str">
        <f>IF(K71&lt;=0.4,"YES","")</f>
        <v/>
      </c>
      <c r="M71" s="367" t="str">
        <f>IF(K71&gt;0.4,"NO","")</f>
        <v>NO</v>
      </c>
      <c r="N71" s="943"/>
      <c r="O71" s="943"/>
      <c r="P71" s="943"/>
      <c r="Q71" s="943"/>
      <c r="R71" s="943"/>
      <c r="S71" s="943"/>
    </row>
    <row r="72" spans="2:19">
      <c r="B72" s="907"/>
      <c r="C72" s="925" t="s">
        <v>624</v>
      </c>
      <c r="D72" s="925"/>
      <c r="E72" s="368" t="s">
        <v>532</v>
      </c>
      <c r="F72" s="925" t="s">
        <v>625</v>
      </c>
      <c r="G72" s="926"/>
      <c r="H72" s="926"/>
      <c r="I72" s="926"/>
      <c r="J72" s="926"/>
      <c r="K72" s="373">
        <f>'Informe nº 7c'!D23</f>
        <v>0.83333331346511841</v>
      </c>
      <c r="L72" s="374" t="str">
        <f>IF(K72&lt;=0.4,"YES","")</f>
        <v/>
      </c>
      <c r="M72" s="370" t="str">
        <f>IF(K72&gt;0.4,"NO","")</f>
        <v>NO</v>
      </c>
      <c r="N72" s="944"/>
      <c r="O72" s="944"/>
      <c r="P72" s="944"/>
      <c r="Q72" s="944"/>
      <c r="R72" s="944"/>
      <c r="S72" s="944"/>
    </row>
    <row r="73" spans="2:19">
      <c r="L73" s="375"/>
    </row>
    <row r="75" spans="2:19" ht="27" customHeight="1">
      <c r="B75" s="933" t="s">
        <v>626</v>
      </c>
      <c r="C75" s="933"/>
      <c r="D75" s="933"/>
      <c r="E75" s="933"/>
      <c r="F75" s="933"/>
      <c r="G75" s="933"/>
      <c r="H75" s="933"/>
      <c r="I75" s="933"/>
      <c r="J75" s="933"/>
      <c r="K75" s="933"/>
      <c r="L75" s="933"/>
      <c r="M75" s="933"/>
      <c r="N75" s="933"/>
      <c r="O75" s="933"/>
      <c r="P75" s="933"/>
      <c r="Q75" s="933"/>
      <c r="R75" s="933"/>
      <c r="S75" s="933"/>
    </row>
    <row r="77" spans="2:19" ht="12.75" customHeight="1">
      <c r="B77" s="934" t="s">
        <v>555</v>
      </c>
      <c r="C77" s="935"/>
      <c r="D77" s="935"/>
      <c r="E77" s="940" t="s">
        <v>556</v>
      </c>
      <c r="F77" s="940"/>
      <c r="G77" s="940"/>
      <c r="H77" s="940"/>
      <c r="I77" s="940"/>
      <c r="J77" s="940"/>
      <c r="K77" s="940"/>
      <c r="L77" s="934" t="s">
        <v>557</v>
      </c>
      <c r="M77" s="934"/>
      <c r="N77" s="935" t="s">
        <v>558</v>
      </c>
      <c r="O77" s="935"/>
      <c r="P77" s="935"/>
      <c r="Q77" s="935"/>
      <c r="R77" s="935"/>
      <c r="S77" s="935"/>
    </row>
    <row r="78" spans="2:19">
      <c r="B78" s="936"/>
      <c r="C78" s="936"/>
      <c r="D78" s="936"/>
      <c r="E78" s="941"/>
      <c r="F78" s="941"/>
      <c r="G78" s="941"/>
      <c r="H78" s="941"/>
      <c r="I78" s="941"/>
      <c r="J78" s="941"/>
      <c r="K78" s="941"/>
      <c r="L78" s="939"/>
      <c r="M78" s="939"/>
      <c r="N78" s="936"/>
      <c r="O78" s="936"/>
      <c r="P78" s="936"/>
      <c r="Q78" s="936"/>
      <c r="R78" s="936"/>
      <c r="S78" s="936"/>
    </row>
    <row r="79" spans="2:19" ht="32.25" customHeight="1">
      <c r="B79" s="937"/>
      <c r="C79" s="937"/>
      <c r="D79" s="937"/>
      <c r="E79" s="389" t="s">
        <v>559</v>
      </c>
      <c r="F79" s="938" t="s">
        <v>523</v>
      </c>
      <c r="G79" s="938"/>
      <c r="H79" s="938"/>
      <c r="I79" s="938"/>
      <c r="J79" s="938"/>
      <c r="K79" s="389" t="s">
        <v>410</v>
      </c>
      <c r="L79" s="937" t="s">
        <v>608</v>
      </c>
      <c r="M79" s="937"/>
      <c r="N79" s="937"/>
      <c r="O79" s="937"/>
      <c r="P79" s="937"/>
      <c r="Q79" s="937"/>
      <c r="R79" s="937"/>
      <c r="S79" s="937"/>
    </row>
    <row r="80" spans="2:19" ht="21" customHeight="1">
      <c r="B80" s="928" t="s">
        <v>450</v>
      </c>
      <c r="C80" s="930" t="s">
        <v>297</v>
      </c>
      <c r="D80" s="931"/>
      <c r="E80" s="362" t="s">
        <v>609</v>
      </c>
      <c r="F80" s="931" t="s">
        <v>610</v>
      </c>
      <c r="G80" s="931"/>
      <c r="H80" s="931"/>
      <c r="I80" s="931"/>
      <c r="J80" s="931"/>
      <c r="K80" s="363">
        <f>'Informe nº 7d'!D17</f>
        <v>0.801380455493927</v>
      </c>
      <c r="L80" s="364" t="str">
        <f t="shared" ref="L80:L88" si="7">IF(K80&lt;=0.4,"YES","")</f>
        <v/>
      </c>
      <c r="M80" s="390" t="str">
        <f t="shared" ref="M80:M88" si="8">IF(K80&gt;0.4,"NO","")</f>
        <v>NO</v>
      </c>
      <c r="N80" s="932" t="s">
        <v>627</v>
      </c>
      <c r="O80" s="932"/>
      <c r="P80" s="932"/>
      <c r="Q80" s="932"/>
      <c r="R80" s="932"/>
      <c r="S80" s="932"/>
    </row>
    <row r="81" spans="2:19" ht="19.5" customHeight="1">
      <c r="B81" s="596"/>
      <c r="C81" s="911" t="s">
        <v>303</v>
      </c>
      <c r="D81" s="920"/>
      <c r="E81" s="365" t="s">
        <v>564</v>
      </c>
      <c r="F81" s="911" t="s">
        <v>628</v>
      </c>
      <c r="G81" s="911"/>
      <c r="H81" s="911"/>
      <c r="I81" s="911"/>
      <c r="J81" s="911"/>
      <c r="K81" s="366">
        <f>'Informe nº 7d'!D21</f>
        <v>0.68557900190353394</v>
      </c>
      <c r="L81" s="367" t="str">
        <f t="shared" si="7"/>
        <v/>
      </c>
      <c r="M81" s="388" t="str">
        <f t="shared" si="8"/>
        <v>NO</v>
      </c>
      <c r="N81" s="918"/>
      <c r="O81" s="918"/>
      <c r="P81" s="918"/>
      <c r="Q81" s="918"/>
      <c r="R81" s="918"/>
      <c r="S81" s="918"/>
    </row>
    <row r="82" spans="2:19" ht="16.5" customHeight="1">
      <c r="B82" s="929"/>
      <c r="C82" s="921" t="s">
        <v>430</v>
      </c>
      <c r="D82" s="921"/>
      <c r="E82" s="376" t="s">
        <v>577</v>
      </c>
      <c r="F82" s="927" t="s">
        <v>594</v>
      </c>
      <c r="G82" s="927"/>
      <c r="H82" s="927"/>
      <c r="I82" s="927"/>
      <c r="J82" s="927"/>
      <c r="K82" s="377">
        <f>'Informe nº 7d'!D24</f>
        <v>0.71984130144119263</v>
      </c>
      <c r="L82" s="378" t="str">
        <f t="shared" si="7"/>
        <v/>
      </c>
      <c r="M82" s="378" t="str">
        <f t="shared" si="8"/>
        <v>NO</v>
      </c>
      <c r="N82" s="919"/>
      <c r="O82" s="919"/>
      <c r="P82" s="919"/>
      <c r="Q82" s="919"/>
      <c r="R82" s="919"/>
      <c r="S82" s="919"/>
    </row>
    <row r="83" spans="2:19" ht="13.25" customHeight="1">
      <c r="B83" s="912" t="s">
        <v>468</v>
      </c>
      <c r="C83" s="915" t="s">
        <v>595</v>
      </c>
      <c r="D83" s="915"/>
      <c r="E83" s="379" t="s">
        <v>596</v>
      </c>
      <c r="F83" s="910" t="s">
        <v>597</v>
      </c>
      <c r="G83" s="916"/>
      <c r="H83" s="916"/>
      <c r="I83" s="916"/>
      <c r="J83" s="916"/>
      <c r="K83" s="382">
        <f>'Informe nº 7d'!D25</f>
        <v>0.38417032361030579</v>
      </c>
      <c r="L83" s="381" t="str">
        <f t="shared" si="7"/>
        <v>YES</v>
      </c>
      <c r="M83" s="381" t="str">
        <f t="shared" si="8"/>
        <v/>
      </c>
      <c r="N83" s="917" t="s">
        <v>629</v>
      </c>
      <c r="O83" s="917"/>
      <c r="P83" s="917"/>
      <c r="Q83" s="917"/>
      <c r="R83" s="917"/>
      <c r="S83" s="917"/>
    </row>
    <row r="84" spans="2:19">
      <c r="B84" s="913"/>
      <c r="C84" s="911" t="s">
        <v>599</v>
      </c>
      <c r="D84" s="911"/>
      <c r="E84" s="365" t="s">
        <v>600</v>
      </c>
      <c r="F84" s="911" t="s">
        <v>613</v>
      </c>
      <c r="G84" s="920"/>
      <c r="H84" s="920"/>
      <c r="I84" s="920"/>
      <c r="J84" s="920"/>
      <c r="K84" s="366">
        <f>'Informe nº 7d'!D27</f>
        <v>0.63478875160217285</v>
      </c>
      <c r="L84" s="367" t="str">
        <f t="shared" si="7"/>
        <v/>
      </c>
      <c r="M84" s="367" t="str">
        <f t="shared" si="8"/>
        <v>NO</v>
      </c>
      <c r="N84" s="918"/>
      <c r="O84" s="918"/>
      <c r="P84" s="918"/>
      <c r="Q84" s="918"/>
      <c r="R84" s="918"/>
      <c r="S84" s="918"/>
    </row>
    <row r="85" spans="2:19">
      <c r="B85" s="913"/>
      <c r="C85" s="921" t="s">
        <v>430</v>
      </c>
      <c r="D85" s="921"/>
      <c r="E85" s="365" t="s">
        <v>602</v>
      </c>
      <c r="F85" s="911" t="s">
        <v>614</v>
      </c>
      <c r="G85" s="911"/>
      <c r="H85" s="911"/>
      <c r="I85" s="911"/>
      <c r="J85" s="911"/>
      <c r="K85" s="366">
        <f>'Informe nº 7d'!D31</f>
        <v>0.58492058515548706</v>
      </c>
      <c r="L85" s="367" t="str">
        <f t="shared" si="7"/>
        <v/>
      </c>
      <c r="M85" s="367" t="str">
        <f t="shared" si="8"/>
        <v>NO</v>
      </c>
      <c r="N85" s="918"/>
      <c r="O85" s="918"/>
      <c r="P85" s="918"/>
      <c r="Q85" s="918"/>
      <c r="R85" s="918"/>
      <c r="S85" s="918"/>
    </row>
    <row r="86" spans="2:19">
      <c r="B86" s="913"/>
      <c r="C86" s="911" t="s">
        <v>615</v>
      </c>
      <c r="D86" s="911"/>
      <c r="E86" s="365" t="s">
        <v>604</v>
      </c>
      <c r="F86" s="911" t="s">
        <v>605</v>
      </c>
      <c r="G86" s="911"/>
      <c r="H86" s="911"/>
      <c r="I86" s="911"/>
      <c r="J86" s="911"/>
      <c r="K86" s="366">
        <f>'Informe nº 7d'!D29</f>
        <v>0.11493073403835297</v>
      </c>
      <c r="L86" s="367" t="str">
        <f t="shared" si="7"/>
        <v>YES</v>
      </c>
      <c r="M86" s="367" t="str">
        <f t="shared" si="8"/>
        <v/>
      </c>
      <c r="N86" s="918"/>
      <c r="O86" s="918"/>
      <c r="P86" s="918"/>
      <c r="Q86" s="918"/>
      <c r="R86" s="918"/>
      <c r="S86" s="918"/>
    </row>
    <row r="87" spans="2:19">
      <c r="B87" s="914"/>
      <c r="C87" s="927" t="s">
        <v>616</v>
      </c>
      <c r="D87" s="927"/>
      <c r="E87" s="376" t="s">
        <v>617</v>
      </c>
      <c r="F87" s="927" t="s">
        <v>618</v>
      </c>
      <c r="G87" s="927"/>
      <c r="H87" s="927"/>
      <c r="I87" s="927"/>
      <c r="J87" s="927"/>
      <c r="K87" s="377">
        <f>'Informe nº 7d'!D30</f>
        <v>1</v>
      </c>
      <c r="L87" s="367" t="str">
        <f t="shared" si="7"/>
        <v/>
      </c>
      <c r="M87" s="378" t="str">
        <f t="shared" si="8"/>
        <v>NO</v>
      </c>
      <c r="N87" s="919"/>
      <c r="O87" s="919"/>
      <c r="P87" s="919"/>
      <c r="Q87" s="919"/>
      <c r="R87" s="919"/>
      <c r="S87" s="919"/>
    </row>
    <row r="88" spans="2:19" ht="12.75" customHeight="1">
      <c r="B88" s="906" t="s">
        <v>295</v>
      </c>
      <c r="C88" s="908" t="s">
        <v>619</v>
      </c>
      <c r="D88" s="908"/>
      <c r="E88" s="910" t="s">
        <v>421</v>
      </c>
      <c r="F88" s="910" t="s">
        <v>620</v>
      </c>
      <c r="G88" s="910"/>
      <c r="H88" s="910"/>
      <c r="I88" s="910"/>
      <c r="J88" s="910"/>
      <c r="K88" s="922">
        <f>'Informe nº 7c'!D18</f>
        <v>0.47033208608627319</v>
      </c>
      <c r="L88" s="916" t="str">
        <f t="shared" si="7"/>
        <v/>
      </c>
      <c r="M88" s="916" t="str">
        <f t="shared" si="8"/>
        <v>NO</v>
      </c>
      <c r="N88" s="918" t="s">
        <v>630</v>
      </c>
      <c r="O88" s="918"/>
      <c r="P88" s="918"/>
      <c r="Q88" s="918"/>
      <c r="R88" s="918"/>
      <c r="S88" s="918"/>
    </row>
    <row r="89" spans="2:19" ht="13.25" hidden="1" customHeight="1">
      <c r="B89" s="906"/>
      <c r="C89" s="596"/>
      <c r="D89" s="596"/>
      <c r="E89" s="911"/>
      <c r="F89" s="911"/>
      <c r="G89" s="911"/>
      <c r="H89" s="911"/>
      <c r="I89" s="911"/>
      <c r="J89" s="911"/>
      <c r="K89" s="923"/>
      <c r="L89" s="920"/>
      <c r="M89" s="920"/>
      <c r="N89" s="918"/>
      <c r="O89" s="918"/>
      <c r="P89" s="918"/>
      <c r="Q89" s="918"/>
      <c r="R89" s="918"/>
      <c r="S89" s="918"/>
    </row>
    <row r="90" spans="2:19" ht="3.75" customHeight="1">
      <c r="B90" s="906"/>
      <c r="C90" s="909"/>
      <c r="D90" s="909"/>
      <c r="E90" s="911"/>
      <c r="F90" s="911"/>
      <c r="G90" s="911"/>
      <c r="H90" s="911"/>
      <c r="I90" s="911"/>
      <c r="J90" s="911"/>
      <c r="K90" s="923"/>
      <c r="L90" s="920"/>
      <c r="M90" s="920"/>
      <c r="N90" s="918"/>
      <c r="O90" s="918"/>
      <c r="P90" s="918"/>
      <c r="Q90" s="918"/>
      <c r="R90" s="918"/>
      <c r="S90" s="918"/>
    </row>
    <row r="91" spans="2:19" ht="15.75" customHeight="1">
      <c r="B91" s="906"/>
      <c r="C91" s="911" t="s">
        <v>631</v>
      </c>
      <c r="D91" s="911"/>
      <c r="E91" s="365" t="s">
        <v>427</v>
      </c>
      <c r="F91" s="911" t="s">
        <v>632</v>
      </c>
      <c r="G91" s="920"/>
      <c r="H91" s="920"/>
      <c r="I91" s="920"/>
      <c r="J91" s="920"/>
      <c r="K91" s="366">
        <f>'Informe nº 7c'!D20</f>
        <v>0.55169570446014404</v>
      </c>
      <c r="L91" s="367" t="str">
        <f>IF(K91&lt;=0.4,"YES","")</f>
        <v/>
      </c>
      <c r="M91" s="367" t="str">
        <f>IF(K91&gt;0.4,"NO","")</f>
        <v>NO</v>
      </c>
      <c r="N91" s="918"/>
      <c r="O91" s="918"/>
      <c r="P91" s="918"/>
      <c r="Q91" s="918"/>
      <c r="R91" s="918"/>
      <c r="S91" s="918"/>
    </row>
    <row r="92" spans="2:19" ht="16.5" customHeight="1">
      <c r="B92" s="907"/>
      <c r="C92" s="911" t="s">
        <v>622</v>
      </c>
      <c r="D92" s="920"/>
      <c r="E92" s="368" t="s">
        <v>531</v>
      </c>
      <c r="F92" s="925" t="s">
        <v>633</v>
      </c>
      <c r="G92" s="926"/>
      <c r="H92" s="926"/>
      <c r="I92" s="926"/>
      <c r="J92" s="926"/>
      <c r="K92" s="369">
        <f>'Informe nº 7c'!D22</f>
        <v>0.83333331346511841</v>
      </c>
      <c r="L92" s="370" t="str">
        <f>IF(K92&lt;=0.4,"YES","")</f>
        <v/>
      </c>
      <c r="M92" s="370" t="str">
        <f>IF(K92&gt;0.4,"NO","")</f>
        <v>NO</v>
      </c>
      <c r="N92" s="924"/>
      <c r="O92" s="924"/>
      <c r="P92" s="924"/>
      <c r="Q92" s="924"/>
      <c r="R92" s="924"/>
      <c r="S92" s="924"/>
    </row>
  </sheetData>
  <mergeCells count="171">
    <mergeCell ref="B2:C2"/>
    <mergeCell ref="B3:C3"/>
    <mergeCell ref="D2:S2"/>
    <mergeCell ref="D3:S3"/>
    <mergeCell ref="B12:S12"/>
    <mergeCell ref="B14:D16"/>
    <mergeCell ref="N14:S16"/>
    <mergeCell ref="F16:J16"/>
    <mergeCell ref="L16:M16"/>
    <mergeCell ref="B5:D5"/>
    <mergeCell ref="E5:H5"/>
    <mergeCell ref="B6:D6"/>
    <mergeCell ref="E6:H6"/>
    <mergeCell ref="B7:D7"/>
    <mergeCell ref="E7:H7"/>
    <mergeCell ref="L14:M15"/>
    <mergeCell ref="E14:K15"/>
    <mergeCell ref="P4:S11"/>
    <mergeCell ref="B24:D26"/>
    <mergeCell ref="N24:S26"/>
    <mergeCell ref="F26:J26"/>
    <mergeCell ref="L26:M26"/>
    <mergeCell ref="B17:B19"/>
    <mergeCell ref="C17:D17"/>
    <mergeCell ref="F17:J17"/>
    <mergeCell ref="N17:S17"/>
    <mergeCell ref="C18:D18"/>
    <mergeCell ref="F18:J18"/>
    <mergeCell ref="N18:S19"/>
    <mergeCell ref="C19:D19"/>
    <mergeCell ref="F19:J19"/>
    <mergeCell ref="L24:M25"/>
    <mergeCell ref="E24:K25"/>
    <mergeCell ref="B22:S22"/>
    <mergeCell ref="B27:B30"/>
    <mergeCell ref="C27:D27"/>
    <mergeCell ref="F27:J27"/>
    <mergeCell ref="N27:S30"/>
    <mergeCell ref="C28:D28"/>
    <mergeCell ref="F28:J28"/>
    <mergeCell ref="C29:D29"/>
    <mergeCell ref="F29:J29"/>
    <mergeCell ref="C30:D30"/>
    <mergeCell ref="F30:J30"/>
    <mergeCell ref="B31:B32"/>
    <mergeCell ref="C31:D31"/>
    <mergeCell ref="F31:J31"/>
    <mergeCell ref="N31:S32"/>
    <mergeCell ref="C32:D32"/>
    <mergeCell ref="F32:J32"/>
    <mergeCell ref="B33:B35"/>
    <mergeCell ref="C33:D33"/>
    <mergeCell ref="F33:J33"/>
    <mergeCell ref="N33:S35"/>
    <mergeCell ref="C34:D34"/>
    <mergeCell ref="F34:J34"/>
    <mergeCell ref="C35:D35"/>
    <mergeCell ref="F35:J35"/>
    <mergeCell ref="B38:S38"/>
    <mergeCell ref="B40:D42"/>
    <mergeCell ref="N40:S42"/>
    <mergeCell ref="F42:J42"/>
    <mergeCell ref="L42:M42"/>
    <mergeCell ref="L40:M41"/>
    <mergeCell ref="E40:K41"/>
    <mergeCell ref="B43:B46"/>
    <mergeCell ref="C43:D44"/>
    <mergeCell ref="E43:E44"/>
    <mergeCell ref="F43:J44"/>
    <mergeCell ref="K43:K44"/>
    <mergeCell ref="M43:M44"/>
    <mergeCell ref="N43:S46"/>
    <mergeCell ref="C45:D45"/>
    <mergeCell ref="F45:J45"/>
    <mergeCell ref="C46:D46"/>
    <mergeCell ref="F46:J46"/>
    <mergeCell ref="L43:L44"/>
    <mergeCell ref="B47:B50"/>
    <mergeCell ref="C47:D47"/>
    <mergeCell ref="F47:J47"/>
    <mergeCell ref="N47:S50"/>
    <mergeCell ref="C48:D48"/>
    <mergeCell ref="F48:J48"/>
    <mergeCell ref="C49:D49"/>
    <mergeCell ref="F49:J49"/>
    <mergeCell ref="C50:D50"/>
    <mergeCell ref="F50:J50"/>
    <mergeCell ref="M51:M53"/>
    <mergeCell ref="N51:S53"/>
    <mergeCell ref="B56:S56"/>
    <mergeCell ref="B58:D60"/>
    <mergeCell ref="N58:S60"/>
    <mergeCell ref="F60:J60"/>
    <mergeCell ref="L60:M60"/>
    <mergeCell ref="B51:B53"/>
    <mergeCell ref="C51:D53"/>
    <mergeCell ref="E51:E53"/>
    <mergeCell ref="F51:J53"/>
    <mergeCell ref="K51:K53"/>
    <mergeCell ref="L51:L53"/>
    <mergeCell ref="L58:M59"/>
    <mergeCell ref="E58:K59"/>
    <mergeCell ref="B61:B62"/>
    <mergeCell ref="C61:D61"/>
    <mergeCell ref="F61:J61"/>
    <mergeCell ref="N61:S62"/>
    <mergeCell ref="C62:D62"/>
    <mergeCell ref="F62:J62"/>
    <mergeCell ref="K68:K70"/>
    <mergeCell ref="L68:L70"/>
    <mergeCell ref="M68:M70"/>
    <mergeCell ref="N68:S72"/>
    <mergeCell ref="C71:D71"/>
    <mergeCell ref="F71:J71"/>
    <mergeCell ref="C72:D72"/>
    <mergeCell ref="F72:J72"/>
    <mergeCell ref="N63:S67"/>
    <mergeCell ref="C64:D64"/>
    <mergeCell ref="F64:J64"/>
    <mergeCell ref="C65:D65"/>
    <mergeCell ref="F65:J65"/>
    <mergeCell ref="C66:D66"/>
    <mergeCell ref="F66:J66"/>
    <mergeCell ref="C67:D67"/>
    <mergeCell ref="F67:J67"/>
    <mergeCell ref="B68:B72"/>
    <mergeCell ref="C68:D70"/>
    <mergeCell ref="E68:E70"/>
    <mergeCell ref="F68:J70"/>
    <mergeCell ref="B63:B67"/>
    <mergeCell ref="C63:D63"/>
    <mergeCell ref="F63:J63"/>
    <mergeCell ref="B75:S75"/>
    <mergeCell ref="B77:D79"/>
    <mergeCell ref="N77:S79"/>
    <mergeCell ref="F79:J79"/>
    <mergeCell ref="L79:M79"/>
    <mergeCell ref="L77:M78"/>
    <mergeCell ref="E77:K78"/>
    <mergeCell ref="B80:B82"/>
    <mergeCell ref="C80:D80"/>
    <mergeCell ref="F80:J80"/>
    <mergeCell ref="N80:S82"/>
    <mergeCell ref="C81:D81"/>
    <mergeCell ref="F81:J81"/>
    <mergeCell ref="C82:D82"/>
    <mergeCell ref="F82:J82"/>
    <mergeCell ref="K88:K90"/>
    <mergeCell ref="L88:L90"/>
    <mergeCell ref="M88:M90"/>
    <mergeCell ref="N88:S92"/>
    <mergeCell ref="C91:D91"/>
    <mergeCell ref="F91:J91"/>
    <mergeCell ref="C92:D92"/>
    <mergeCell ref="F92:J92"/>
    <mergeCell ref="N83:S87"/>
    <mergeCell ref="C84:D84"/>
    <mergeCell ref="F84:J84"/>
    <mergeCell ref="C85:D85"/>
    <mergeCell ref="F85:J85"/>
    <mergeCell ref="C86:D86"/>
    <mergeCell ref="F86:J86"/>
    <mergeCell ref="C87:D87"/>
    <mergeCell ref="F87:J87"/>
    <mergeCell ref="B88:B92"/>
    <mergeCell ref="C88:D90"/>
    <mergeCell ref="E88:E90"/>
    <mergeCell ref="F88:J90"/>
    <mergeCell ref="B83:B87"/>
    <mergeCell ref="C83:D83"/>
    <mergeCell ref="F83:J83"/>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23</vt:i4>
      </vt:variant>
      <vt:variant>
        <vt:lpstr>Rangos con nombre</vt:lpstr>
      </vt:variant>
      <vt:variant>
        <vt:i4>9</vt:i4>
      </vt:variant>
    </vt:vector>
  </HeadingPairs>
  <TitlesOfParts>
    <vt:vector size="32" baseType="lpstr">
      <vt:lpstr>REPORTS</vt:lpstr>
      <vt:lpstr>Informe nº1</vt:lpstr>
      <vt:lpstr>Informe nº1a</vt:lpstr>
      <vt:lpstr>Informe nº 1b</vt:lpstr>
      <vt:lpstr>Informe nº 2</vt:lpstr>
      <vt:lpstr>Informe nº2a</vt:lpstr>
      <vt:lpstr>Informe nº3</vt:lpstr>
      <vt:lpstr>Informe nº3a</vt:lpstr>
      <vt:lpstr>Informe nº 3b</vt:lpstr>
      <vt:lpstr>Informe nº3c</vt:lpstr>
      <vt:lpstr>Informe nº4</vt:lpstr>
      <vt:lpstr>Informe nº5</vt:lpstr>
      <vt:lpstr>Informe nº 6</vt:lpstr>
      <vt:lpstr>Informe nº 6a</vt:lpstr>
      <vt:lpstr>Informe nº6b</vt:lpstr>
      <vt:lpstr>Informe nº6c</vt:lpstr>
      <vt:lpstr>Informe nº6d</vt:lpstr>
      <vt:lpstr>Informe nº6e</vt:lpstr>
      <vt:lpstr>Informe nº 7c</vt:lpstr>
      <vt:lpstr>Informe nº 7d</vt:lpstr>
      <vt:lpstr>Informe nº 8</vt:lpstr>
      <vt:lpstr>Informe nº8b</vt:lpstr>
      <vt:lpstr>Informe nº 10c</vt:lpstr>
      <vt:lpstr>'Informe nº 2'!Área_de_impresión</vt:lpstr>
      <vt:lpstr>'Informe nº 7c'!Área_de_impresión</vt:lpstr>
      <vt:lpstr>'Informe nº 7d'!Área_de_impresión</vt:lpstr>
      <vt:lpstr>'Informe nº 8'!Área_de_impresión</vt:lpstr>
      <vt:lpstr>'Informe nº2a'!Área_de_impresión</vt:lpstr>
      <vt:lpstr>'Informe nº3'!Área_de_impresión</vt:lpstr>
      <vt:lpstr>'Informe nº3a'!Área_de_impresión</vt:lpstr>
      <vt:lpstr>'Informe nº8b'!Área_de_impresión</vt:lpstr>
      <vt:lpstr>REPORTS!Títulos_a_imprimir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2025-02-21T12:43:26Z</dcterms:created>
  <dcterms:modified xsi:type="dcterms:W3CDTF">2026-05-18T14:57:37Z</dcterms:modified>
</cp:coreProperties>
</file>